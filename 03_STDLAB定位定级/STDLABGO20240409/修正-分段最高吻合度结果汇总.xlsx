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6" windowHeight="10320"/>
  </bookViews>
  <sheets>
    <sheet name="最高吻合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<sst xmlns="http://schemas.openxmlformats.org/spreadsheetml/2006/main" count="36" uniqueCount="36">
  <si>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工作表名称</t>
  </si>
  <si>
    <t>吻合度最高</t>
  </si>
  <si>
    <t>数据总数</t>
  </si>
  <si>
    <t>吻合数据量</t>
  </si>
  <si>
    <t>辰时-震三-阳遁</t>
  </si>
  <si>
    <t>子丑巳午申亥-辰未寅卯酉戌, 丑寅巳午申亥-辰子酉卯未戌: 0.6557377049180327</t>
  </si>
  <si>
    <t>辰时-震三-阴遁</t>
  </si>
  <si>
    <t>丑寅巳午未亥-辰子申卯酉戌, 寅辰巳午未亥-子丑申卯酉戌, 寅巳午未戌亥-辰子丑申卯酉: 0.84</t>
  </si>
  <si>
    <t>亥时-乾六-阳遁</t>
  </si>
  <si>
    <t>丑寅辰巳未酉-戌卯亥午子申, 丑寅巳午未酉-戌卯亥辰子申: 0.6577540106951871</t>
  </si>
  <si>
    <t>酉时-乾六-阴遁</t>
  </si>
  <si>
    <t>丑辰巳午未申-戌子亥酉卯寅, 丑辰巳未申酉-戌子亥午卯寅: 0.7659574468085106</t>
  </si>
  <si>
    <t>巳时-离九-阳遁</t>
  </si>
  <si>
    <t>丑卯辰午未酉-申亥子寅戌巳: 0.6141304347826086</t>
  </si>
  <si>
    <t>卯时-离九-阴遁</t>
  </si>
  <si>
    <t>寅卯辰巳午酉-戌亥未申子丑, 寅卯辰巳申酉-戌亥未午子丑, 寅卯辰巳酉戌-亥未申午子丑, 寅卯辰巳酉亥-戌未申午子丑, 寅卯辰午申酉-戌亥未子丑巳, 寅卯辰午酉戌-亥未申子丑巳, 寅卯辰午酉亥-戌未申子丑巳, 寅卯辰申酉戌-亥未午子丑巳, 寅卯辰申酉亥-戌未午子丑巳, 寅卯辰酉戌亥-未申午子丑巳, 寅卯巳午申酉-戌亥未子丑辰, 寅卯巳午酉戌-亥未申子丑辰, 寅卯巳午酉亥-戌未申子丑辰, 寅卯巳申酉戌-亥未午子丑辰, 寅卯巳申酉亥-戌未午子丑辰, 寅卯巳酉戌亥-未申午子丑辰, 寅卯午申酉戌-亥未子丑辰巳, 寅卯午申酉亥-戌未子丑辰巳, 寅卯午酉戌亥-未申子丑辰巳, 寅卯申酉戌亥-未午子丑辰巳: 0.8333333333333334</t>
  </si>
  <si>
    <t>酉时-艮八-阳遁</t>
  </si>
  <si>
    <t>丑巳午未戌亥-申子卯酉辰寅: 0.6446280991735537</t>
  </si>
  <si>
    <t>未时-艮八-阴遁</t>
  </si>
  <si>
    <t>子丑卯未酉戌-辰申亥巳午寅: 0.6935483870967742</t>
  </si>
  <si>
    <t>卯时-兑七-阳遁</t>
  </si>
  <si>
    <t>子丑卯巳酉亥-戌寅未申午辰, 子丑辰巳酉亥-卯戌寅未申午, 子丑巳申酉亥-卯戌寅未午辰: 0.8518518518518519</t>
  </si>
  <si>
    <t>戌时-兑七-阴遁</t>
  </si>
  <si>
    <t>丑未申酉戌亥-子辰巳午卯寅, 巳未申酉戌亥-子辰午卯丑寅: 0.6822429906542056</t>
  </si>
  <si>
    <t>酉时-坤二-阳遁</t>
  </si>
  <si>
    <t>子寅辰巳午未-丑申戌亥酉卯: 0.6632653061224489</t>
  </si>
  <si>
    <t>丑时-坤二-阴遁</t>
  </si>
  <si>
    <t>子丑巳未申酉-辰戌亥午寅卯, 子卯巳未申酉-辰戌亥午寅丑: 0.7164179104477612</t>
  </si>
  <si>
    <t>寅时-巽四-阳遁</t>
  </si>
  <si>
    <t>子寅巳午未亥-卯申丑辰酉戌: 0.734375</t>
  </si>
  <si>
    <t>酉时-巽四-阴遁</t>
  </si>
  <si>
    <t>子卯辰巳未戌-丑申亥午酉寅: 0.6384180790960452</t>
  </si>
  <si>
    <t>子时-坎一-阳遁</t>
  </si>
  <si>
    <t>子丑卯辰午申-酉未巳戌寅亥, 子寅卯辰午申-酉丑未巳戌亥, 子卯辰午未申-酉丑巳戌寅亥, 丑寅卯辰午申-酉未巳子戌亥, 丑卯辰午未申-酉巳子戌寅亥, 寅卯辰午未申-酉丑巳子戌亥: 0.782608695652174</t>
  </si>
  <si>
    <t>巳时-坎一-阴遁</t>
  </si>
  <si>
    <t>子丑寅卯酉戌-辰申亥未午巳: 0.6257309941520468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</si>
</sst>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B7" sqref="B7"/>
    </sheetView>
  </sheetViews>
  <sheetFormatPr defaultColWidth="9" defaultRowHeight="14.3" outlineLevelCol="4"/>
  <cols>
    <col min="1" max="1" width="15.9203539823009" style="1" customWidth="1"/>
    <col min="2" max="2" width="241.238938053097" style="2" customWidth="1"/>
    <col min="3" max="3" width="9.61946902654867" style="3" customWidth="1"/>
    <col min="4" max="4" width="11.8672566371681" style="3" customWidth="1"/>
    <col min="5" max="5" width="12.8230088495575"/>
  </cols>
  <sheetData>
    <row r="1" spans="1:4">
      <c r="A1" s="4" t="s">
        <v>0</v>
      </c>
      <c r="B1" s="4" t="s">
        <v>1</v>
      </c>
      <c r="C1" s="5" t="s">
        <v>2</v>
      </c>
      <c r="D1" s="5" t="s">
        <v>3</v>
      </c>
    </row>
    <row r="2" spans="1:4">
      <c r="A2" s="1" t="s">
        <v>4</v>
      </c>
      <c r="B2" s="2" t="s">
        <v>5</v>
      </c>
      <c r="C2" s="3">
        <v>122</v>
      </c>
      <c r="D2" s="3">
        <v>80</v>
      </c>
    </row>
    <row r="3" spans="1:4">
      <c r="A3" s="1" t="s">
        <v>6</v>
      </c>
      <c r="B3" s="2" t="s">
        <v>7</v>
      </c>
      <c r="C3" s="3">
        <v>25</v>
      </c>
      <c r="D3" s="3">
        <v>21</v>
      </c>
    </row>
    <row r="4" spans="1:4">
      <c r="A4" s="1" t="s">
        <v>8</v>
      </c>
      <c r="B4" s="2" t="s">
        <v>9</v>
      </c>
      <c r="C4" s="3">
        <v>187</v>
      </c>
      <c r="D4" s="3">
        <v>123</v>
      </c>
    </row>
    <row r="5" spans="1:4">
      <c r="A5" s="1" t="s">
        <v>10</v>
      </c>
      <c r="B5" s="2" t="s">
        <v>11</v>
      </c>
      <c r="C5" s="3">
        <v>47</v>
      </c>
      <c r="D5" s="3">
        <v>36</v>
      </c>
    </row>
    <row r="6" spans="1:4">
      <c r="A6" s="1" t="s">
        <v>12</v>
      </c>
      <c r="B6" s="2" t="s">
        <v>13</v>
      </c>
      <c r="C6" s="3">
        <v>184</v>
      </c>
      <c r="D6" s="3">
        <v>113</v>
      </c>
    </row>
    <row r="7" spans="1:4">
      <c r="A7" s="1" t="s">
        <v>14</v>
      </c>
      <c r="B7" s="2" t="s">
        <v>15</v>
      </c>
      <c r="C7" s="3">
        <v>18</v>
      </c>
      <c r="D7" s="3">
        <v>15</v>
      </c>
    </row>
    <row r="8" spans="1:4">
      <c r="A8" s="1" t="s">
        <v>16</v>
      </c>
      <c r="B8" s="2" t="s">
        <v>17</v>
      </c>
      <c r="C8" s="3">
        <v>121</v>
      </c>
      <c r="D8" s="3">
        <v>78</v>
      </c>
    </row>
    <row r="9" spans="1:4">
      <c r="A9" s="1" t="s">
        <v>18</v>
      </c>
      <c r="B9" s="2" t="s">
        <v>19</v>
      </c>
      <c r="C9" s="3">
        <v>124</v>
      </c>
      <c r="D9" s="3">
        <v>86</v>
      </c>
    </row>
    <row r="10" spans="1:4">
      <c r="A10" s="1" t="s">
        <v>20</v>
      </c>
      <c r="B10" s="2" t="s">
        <v>21</v>
      </c>
      <c r="C10" s="3">
        <v>27</v>
      </c>
      <c r="D10" s="3">
        <v>23</v>
      </c>
    </row>
    <row r="11" spans="1:4">
      <c r="A11" s="1" t="s">
        <v>22</v>
      </c>
      <c r="B11" s="2" t="s">
        <v>23</v>
      </c>
      <c r="C11" s="3">
        <v>107</v>
      </c>
      <c r="D11" s="3">
        <v>73</v>
      </c>
    </row>
    <row r="12" spans="1:4">
      <c r="A12" s="1" t="s">
        <v>24</v>
      </c>
      <c r="B12" s="2" t="s">
        <v>25</v>
      </c>
      <c r="C12" s="3">
        <v>98</v>
      </c>
      <c r="D12" s="3">
        <v>65</v>
      </c>
    </row>
    <row r="13" spans="1:4">
      <c r="A13" s="1" t="s">
        <v>26</v>
      </c>
      <c r="B13" s="2" t="s">
        <v>27</v>
      </c>
      <c r="C13" s="3">
        <v>67</v>
      </c>
      <c r="D13" s="3">
        <v>48</v>
      </c>
    </row>
    <row r="14" spans="1:4">
      <c r="A14" s="1" t="s">
        <v>28</v>
      </c>
      <c r="B14" s="2" t="s">
        <v>29</v>
      </c>
      <c r="C14" s="3">
        <v>64</v>
      </c>
      <c r="D14" s="3">
        <v>47</v>
      </c>
    </row>
    <row r="15" spans="1:4">
      <c r="A15" s="1" t="s">
        <v>30</v>
      </c>
      <c r="B15" s="2" t="s">
        <v>31</v>
      </c>
      <c r="C15" s="3">
        <v>177</v>
      </c>
      <c r="D15" s="3">
        <v>113</v>
      </c>
    </row>
    <row r="16" spans="1:4">
      <c r="A16" s="1" t="s">
        <v>32</v>
      </c>
      <c r="B16" s="2" t="s">
        <v>33</v>
      </c>
      <c r="C16" s="3">
        <v>23</v>
      </c>
      <c r="D16" s="3">
        <v>18</v>
      </c>
    </row>
    <row r="17" spans="1:4">
      <c r="A17" s="1" t="s">
        <v>34</v>
      </c>
      <c r="B17" s="2" t="s">
        <v>35</v>
      </c>
      <c r="C17" s="3">
        <v>171</v>
      </c>
      <c r="D17" s="3">
        <v>107</v>
      </c>
    </row>
    <row r="18" spans="3:5">
      <c r="C18" s="3">
        <f>SUM(C2:C17)</f>
        <v>1562</v>
      </c>
      <c r="D18" s="3">
        <f>SUM(D2:D17)</f>
        <v>1046</v>
      </c>
      <c r="E18">
        <f>D18/C18</f>
        <v>0.669654289372599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最高吻合度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2024-07-05T03:32:00Z</dcterms:created>
  <dcterms:modified xsi:type="dcterms:W3CDTF">2024-07-05T03:50:09Z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48B3E1813B4445238768768BB4B0925A_12</vt:lpwstr>
  </property>
</Properties>
</file>