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"/>
  </bookViews>
  <sheets>
    <sheet name="澳门正确率最高三个时辰" sheetId="5" r:id="rId1"/>
    <sheet name="香港正确率最高三个时辰" sheetId="6" r:id="rId2"/>
    <sheet name="澳门新定位结果" sheetId="1" r:id="rId3"/>
    <sheet name="澳门换算01" sheetId="3" r:id="rId4"/>
    <sheet name="澳门误差分析" sheetId="7" r:id="rId5"/>
    <sheet name="香港新定位结果" sheetId="2" r:id="rId6"/>
    <sheet name="香港换算01" sheetId="4" r:id="rId7"/>
    <sheet name="香港误差分析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<sst xmlns="http://schemas.openxmlformats.org/spreadsheetml/2006/main" count="4342" uniqueCount="806">
  <si>
    <t>日期</t>
  </si>
  <si>
    <t>正确数串</t>
  </si>
  <si>
    <t>子时数串</t>
  </si>
  <si>
    <t>子时误差</t>
  </si>
  <si>
    <t>午时数串</t>
  </si>
  <si>
    <t>午时误差</t>
  </si>
  <si>
    <t>酉时数串</t>
  </si>
  <si>
    <t>酉时误差</t>
  </si>
  <si>
    <t>综合数串</t>
  </si>
  <si>
    <t>综合误差</t>
  </si>
  <si>
    <t>a</t>
  </si>
  <si>
    <t>b</t>
  </si>
  <si>
    <t>干支历</t>
  </si>
  <si>
    <t>SG双干</t>
  </si>
  <si>
    <t>2023-01-01</t>
  </si>
  <si>
    <t>壬寅年，壬子月，己未日</t>
  </si>
  <si>
    <t>己</t>
  </si>
  <si>
    <t>2023-01-02</t>
  </si>
  <si>
    <t>壬寅年，壬子月，庚申日</t>
  </si>
  <si>
    <t>庚</t>
  </si>
  <si>
    <t>2023-01-03</t>
  </si>
  <si>
    <t>壬寅年，壬子月，辛酉日</t>
  </si>
  <si>
    <t>辛</t>
  </si>
  <si>
    <t>2023-01-04</t>
  </si>
  <si>
    <t>壬寅年，壬子月，壬戌日</t>
  </si>
  <si>
    <t>壬</t>
  </si>
  <si>
    <t>2023-01-05</t>
  </si>
  <si>
    <t>壬寅年，癸丑月，癸亥日</t>
  </si>
  <si>
    <t>癸</t>
  </si>
  <si>
    <t>2023-01-06</t>
  </si>
  <si>
    <t>壬寅年，癸丑月，甲子日</t>
  </si>
  <si>
    <t>戊</t>
  </si>
  <si>
    <t>2023-01-07</t>
  </si>
  <si>
    <t>壬寅年，癸丑月，乙丑日</t>
  </si>
  <si>
    <t>乙</t>
  </si>
  <si>
    <t>2023-01-08</t>
  </si>
  <si>
    <t>壬寅年，癸丑月，丙寅日</t>
  </si>
  <si>
    <t>丙</t>
  </si>
  <si>
    <t>2023-01-09</t>
  </si>
  <si>
    <t>壬寅年，癸丑月，丁卯日</t>
  </si>
  <si>
    <t>丁</t>
  </si>
  <si>
    <t>2023-01-10</t>
  </si>
  <si>
    <t>壬寅年，癸丑月，戊辰日</t>
  </si>
  <si>
    <t>2023-01-11</t>
  </si>
  <si>
    <t>壬寅年，癸丑月，己巳日</t>
  </si>
  <si>
    <t>2023-01-12</t>
  </si>
  <si>
    <t>壬寅年，癸丑月，庚午日</t>
  </si>
  <si>
    <t>2023-01-13</t>
  </si>
  <si>
    <t>壬寅年，癸丑月，辛未日</t>
  </si>
  <si>
    <t>2023-01-14</t>
  </si>
  <si>
    <t>壬寅年，癸丑月，壬申日</t>
  </si>
  <si>
    <t>2023-01-15</t>
  </si>
  <si>
    <t>壬寅年，癸丑月，癸酉日</t>
  </si>
  <si>
    <t>2023-01-16</t>
  </si>
  <si>
    <t>壬寅年，癸丑月，甲戌日</t>
  </si>
  <si>
    <t>2023-01-17</t>
  </si>
  <si>
    <t>壬寅年，癸丑月，乙亥日</t>
  </si>
  <si>
    <t>2023-01-18</t>
  </si>
  <si>
    <t>壬寅年，癸丑月，丙子日</t>
  </si>
  <si>
    <t>2023-01-19</t>
  </si>
  <si>
    <t>壬寅年，癸丑月，丁丑日</t>
  </si>
  <si>
    <t>2023-01-20</t>
  </si>
  <si>
    <t>壬寅年，癸丑月，戊寅日</t>
  </si>
  <si>
    <t>2023-01-21</t>
  </si>
  <si>
    <t>壬寅年，癸丑月，己卯日</t>
  </si>
  <si>
    <t>2023-01-22</t>
  </si>
  <si>
    <t>壬寅年，癸丑月，庚辰日</t>
  </si>
  <si>
    <t>2023-01-23</t>
  </si>
  <si>
    <t>壬寅年，癸丑月，辛巳日</t>
  </si>
  <si>
    <t>2023-01-24</t>
  </si>
  <si>
    <t>壬寅年，癸丑月，壬午日</t>
  </si>
  <si>
    <t>2023-01-25</t>
  </si>
  <si>
    <t>壬寅年，癸丑月，癸未日</t>
  </si>
  <si>
    <t>2023-01-26</t>
  </si>
  <si>
    <t>壬寅年，癸丑月，甲申日</t>
  </si>
  <si>
    <t>2023-01-27</t>
  </si>
  <si>
    <t>壬寅年，癸丑月，乙酉日</t>
  </si>
  <si>
    <t>2023-01-28</t>
  </si>
  <si>
    <t>壬寅年，癸丑月，丙戌日</t>
  </si>
  <si>
    <t>2023-01-29</t>
  </si>
  <si>
    <t>壬寅年，癸丑月，丁亥日</t>
  </si>
  <si>
    <t>2023-01-30</t>
  </si>
  <si>
    <t>壬寅年，癸丑月，戊子日</t>
  </si>
  <si>
    <t>2023-01-31</t>
  </si>
  <si>
    <t>壬寅年，癸丑月，己丑日</t>
  </si>
  <si>
    <t>2023-02-01</t>
  </si>
  <si>
    <t>壬寅年，癸丑月，庚寅日</t>
  </si>
  <si>
    <t>2023-02-02</t>
  </si>
  <si>
    <t>壬寅年，癸丑月，辛卯日</t>
  </si>
  <si>
    <t>2023-02-03</t>
  </si>
  <si>
    <t>壬寅年，癸丑月，壬辰日</t>
  </si>
  <si>
    <t>2023-02-04</t>
  </si>
  <si>
    <t>癸卯年，甲寅月，癸巳日</t>
  </si>
  <si>
    <t>2023-02-05</t>
  </si>
  <si>
    <t>癸卯年，甲寅月，甲午日</t>
  </si>
  <si>
    <t>2023-02-06</t>
  </si>
  <si>
    <t>癸卯年，甲寅月，乙未日</t>
  </si>
  <si>
    <t>2023-02-07</t>
  </si>
  <si>
    <t>癸卯年，甲寅月，丙申日</t>
  </si>
  <si>
    <t>2023-02-08</t>
  </si>
  <si>
    <t>癸卯年，甲寅月，丁酉日</t>
  </si>
  <si>
    <t>2023-02-09</t>
  </si>
  <si>
    <t>癸卯年，甲寅月，戊戌日</t>
  </si>
  <si>
    <t>2023-02-10</t>
  </si>
  <si>
    <t>癸卯年，甲寅月，己亥日</t>
  </si>
  <si>
    <t>2023-02-11</t>
  </si>
  <si>
    <t>癸卯年，甲寅月，庚子日</t>
  </si>
  <si>
    <t>2023-02-12</t>
  </si>
  <si>
    <t>癸卯年，甲寅月，辛丑日</t>
  </si>
  <si>
    <t>2023-02-13</t>
  </si>
  <si>
    <t>癸卯年，甲寅月，壬寅日</t>
  </si>
  <si>
    <t>2023-02-14</t>
  </si>
  <si>
    <t>癸卯年，甲寅月，癸卯日</t>
  </si>
  <si>
    <t>2023-02-15</t>
  </si>
  <si>
    <t>癸卯年，甲寅月，甲辰日</t>
  </si>
  <si>
    <t>2023-02-16</t>
  </si>
  <si>
    <t>癸卯年，甲寅月，乙巳日</t>
  </si>
  <si>
    <t>2023-02-17</t>
  </si>
  <si>
    <t>癸卯年，甲寅月，丙午日</t>
  </si>
  <si>
    <t>2023-02-18</t>
  </si>
  <si>
    <t>癸卯年，甲寅月，丁未日</t>
  </si>
  <si>
    <t>2023-02-19</t>
  </si>
  <si>
    <t>癸卯年，甲寅月，戊申日</t>
  </si>
  <si>
    <t>2023-02-20</t>
  </si>
  <si>
    <t>癸卯年，甲寅月，己酉日</t>
  </si>
  <si>
    <t>2023-02-21</t>
  </si>
  <si>
    <t>癸卯年，甲寅月，庚戌日</t>
  </si>
  <si>
    <t>2023-02-22</t>
  </si>
  <si>
    <t>癸卯年，甲寅月，辛亥日</t>
  </si>
  <si>
    <t>2023-02-23</t>
  </si>
  <si>
    <t>癸卯年，甲寅月，壬子日</t>
  </si>
  <si>
    <t>2023-02-24</t>
  </si>
  <si>
    <t>癸卯年，甲寅月，癸丑日</t>
  </si>
  <si>
    <t>2023-02-25</t>
  </si>
  <si>
    <t>癸卯年，甲寅月，甲寅日</t>
  </si>
  <si>
    <t>2023-02-26</t>
  </si>
  <si>
    <t>癸卯年，甲寅月，乙卯日</t>
  </si>
  <si>
    <t>2023-02-27</t>
  </si>
  <si>
    <t>癸卯年，甲寅月，丙辰日</t>
  </si>
  <si>
    <t>2023-02-28</t>
  </si>
  <si>
    <t>癸卯年，甲寅月，丁巳日</t>
  </si>
  <si>
    <t>2023-03-01</t>
  </si>
  <si>
    <t>癸卯年，甲寅月，戊午日</t>
  </si>
  <si>
    <t>2023-03-02</t>
  </si>
  <si>
    <t>癸卯年，甲寅月，己未日</t>
  </si>
  <si>
    <t>2023-03-03</t>
  </si>
  <si>
    <t>癸卯年，甲寅月，庚申日</t>
  </si>
  <si>
    <t>2023-03-04</t>
  </si>
  <si>
    <t>癸卯年，甲寅月，辛酉日</t>
  </si>
  <si>
    <t>2023-03-05</t>
  </si>
  <si>
    <t>癸卯年，甲寅月，壬戌日</t>
  </si>
  <si>
    <t>2023-03-06</t>
  </si>
  <si>
    <t>癸卯年，乙卯月，癸亥日</t>
  </si>
  <si>
    <t>2023-03-07</t>
  </si>
  <si>
    <t>癸卯年，乙卯月，甲子日</t>
  </si>
  <si>
    <t>2023-03-08</t>
  </si>
  <si>
    <t>癸卯年，乙卯月，乙丑日</t>
  </si>
  <si>
    <t>2023-03-09</t>
  </si>
  <si>
    <t>癸卯年，乙卯月，丙寅日</t>
  </si>
  <si>
    <t>2023-03-10</t>
  </si>
  <si>
    <t>癸卯年，乙卯月，丁卯日</t>
  </si>
  <si>
    <t>2023-03-11</t>
  </si>
  <si>
    <t>癸卯年，乙卯月，戊辰日</t>
  </si>
  <si>
    <t>2023-03-12</t>
  </si>
  <si>
    <t>癸卯年，乙卯月，己巳日</t>
  </si>
  <si>
    <t>2023-03-13</t>
  </si>
  <si>
    <t>癸卯年，乙卯月，庚午日</t>
  </si>
  <si>
    <t>2023-03-14</t>
  </si>
  <si>
    <t>癸卯年，乙卯月，辛未日</t>
  </si>
  <si>
    <t>2023-03-15</t>
  </si>
  <si>
    <t>癸卯年，乙卯月，壬申日</t>
  </si>
  <si>
    <t>2023-03-16</t>
  </si>
  <si>
    <t>癸卯年，乙卯月，癸酉日</t>
  </si>
  <si>
    <t>2023-03-17</t>
  </si>
  <si>
    <t>癸卯年，乙卯月，甲戌日</t>
  </si>
  <si>
    <t>2023-03-18</t>
  </si>
  <si>
    <t>癸卯年，乙卯月，乙亥日</t>
  </si>
  <si>
    <t>2023-03-19</t>
  </si>
  <si>
    <t>癸卯年，乙卯月，丙子日</t>
  </si>
  <si>
    <t>2023-03-20</t>
  </si>
  <si>
    <t>癸卯年，乙卯月，丁丑日</t>
  </si>
  <si>
    <t>2023-03-21</t>
  </si>
  <si>
    <t>癸卯年，乙卯月，戊寅日</t>
  </si>
  <si>
    <t>2023-03-22</t>
  </si>
  <si>
    <t>癸卯年，乙卯月，己卯日</t>
  </si>
  <si>
    <t>2023-03-23</t>
  </si>
  <si>
    <t>癸卯年，乙卯月，庚辰日</t>
  </si>
  <si>
    <t>2023-03-24</t>
  </si>
  <si>
    <t>癸卯年，乙卯月，辛巳日</t>
  </si>
  <si>
    <t>2023-03-25</t>
  </si>
  <si>
    <t>癸卯年，乙卯月，壬午日</t>
  </si>
  <si>
    <t>2023-03-26</t>
  </si>
  <si>
    <t>癸卯年，乙卯月，癸未日</t>
  </si>
  <si>
    <t>2023-03-27</t>
  </si>
  <si>
    <t>癸卯年，乙卯月，甲申日</t>
  </si>
  <si>
    <t>2023-03-28</t>
  </si>
  <si>
    <t>癸卯年，乙卯月，乙酉日</t>
  </si>
  <si>
    <t>2023-03-29</t>
  </si>
  <si>
    <t>癸卯年，乙卯月，丙戌日</t>
  </si>
  <si>
    <t>2023-03-30</t>
  </si>
  <si>
    <t>癸卯年，乙卯月，丁亥日</t>
  </si>
  <si>
    <t>2023-03-31</t>
  </si>
  <si>
    <t>癸卯年，乙卯月，戊子日</t>
  </si>
  <si>
    <t>2023-04-01</t>
  </si>
  <si>
    <t>癸卯年，乙卯月，己丑日</t>
  </si>
  <si>
    <t>2023-04-02</t>
  </si>
  <si>
    <t>癸卯年，乙卯月，庚寅日</t>
  </si>
  <si>
    <t>2023-04-03</t>
  </si>
  <si>
    <t>癸卯年，乙卯月，辛卯日</t>
  </si>
  <si>
    <t>2023-04-04</t>
  </si>
  <si>
    <t>癸卯年，乙卯月，壬辰日</t>
  </si>
  <si>
    <t>2023-04-05</t>
  </si>
  <si>
    <t>癸卯年，丙辰月，癸巳日</t>
  </si>
  <si>
    <t>2023-04-06</t>
  </si>
  <si>
    <t>癸卯年，丙辰月，甲午日</t>
  </si>
  <si>
    <t>2023-04-07</t>
  </si>
  <si>
    <t>癸卯年，丙辰月，乙未日</t>
  </si>
  <si>
    <t>2023-04-08</t>
  </si>
  <si>
    <t>癸卯年，丙辰月，丙申日</t>
  </si>
  <si>
    <t>2023-04-09</t>
  </si>
  <si>
    <t>癸卯年，丙辰月，丁酉日</t>
  </si>
  <si>
    <t>2023-04-10</t>
  </si>
  <si>
    <t>癸卯年，丙辰月，戊戌日</t>
  </si>
  <si>
    <t>2023-04-11</t>
  </si>
  <si>
    <t>癸卯年，丙辰月，己亥日</t>
  </si>
  <si>
    <t>2023-04-12</t>
  </si>
  <si>
    <t>癸卯年，丙辰月，庚子日</t>
  </si>
  <si>
    <t>2023-04-13</t>
  </si>
  <si>
    <t>癸卯年，丙辰月，辛丑日</t>
  </si>
  <si>
    <t>2023-04-14</t>
  </si>
  <si>
    <t>癸卯年，丙辰月，壬寅日</t>
  </si>
  <si>
    <t>2023-04-15</t>
  </si>
  <si>
    <t>癸卯年，丙辰月，癸卯日</t>
  </si>
  <si>
    <t>2023-04-16</t>
  </si>
  <si>
    <t>癸卯年，丙辰月，甲辰日</t>
  </si>
  <si>
    <t>2023-04-17</t>
  </si>
  <si>
    <t>癸卯年，丙辰月，乙巳日</t>
  </si>
  <si>
    <t>2023-04-18</t>
  </si>
  <si>
    <t>癸卯年，丙辰月，丙午日</t>
  </si>
  <si>
    <t>2023-04-19</t>
  </si>
  <si>
    <t>癸卯年，丙辰月，丁未日</t>
  </si>
  <si>
    <t>2023-04-20</t>
  </si>
  <si>
    <t>癸卯年，丙辰月，戊申日</t>
  </si>
  <si>
    <t>2023-04-21</t>
  </si>
  <si>
    <t>癸卯年，丙辰月，己酉日</t>
  </si>
  <si>
    <t>2023-04-22</t>
  </si>
  <si>
    <t>癸卯年，丙辰月，庚戌日</t>
  </si>
  <si>
    <t>2023-04-23</t>
  </si>
  <si>
    <t>癸卯年，丙辰月，辛亥日</t>
  </si>
  <si>
    <t>2023-04-24</t>
  </si>
  <si>
    <t>癸卯年，丙辰月，壬子日</t>
  </si>
  <si>
    <t>2023-04-25</t>
  </si>
  <si>
    <t>癸卯年，丙辰月，癸丑日</t>
  </si>
  <si>
    <t>2023-04-26</t>
  </si>
  <si>
    <t>癸卯年，丙辰月，甲寅日</t>
  </si>
  <si>
    <t>2023-04-27</t>
  </si>
  <si>
    <t>癸卯年，丙辰月，乙卯日</t>
  </si>
  <si>
    <t>2023-04-28</t>
  </si>
  <si>
    <t>癸卯年，丙辰月，丙辰日</t>
  </si>
  <si>
    <t>2023-04-29</t>
  </si>
  <si>
    <t>癸卯年，丙辰月，丁巳日</t>
  </si>
  <si>
    <t>2023-04-30</t>
  </si>
  <si>
    <t>癸卯年，丙辰月，戊午日</t>
  </si>
  <si>
    <t>2023-05-01</t>
  </si>
  <si>
    <t>癸卯年，丙辰月，己未日</t>
  </si>
  <si>
    <t>2023-05-02</t>
  </si>
  <si>
    <t>癸卯年，丙辰月，庚申日</t>
  </si>
  <si>
    <t>2023-05-03</t>
  </si>
  <si>
    <t>癸卯年，丙辰月，辛酉日</t>
  </si>
  <si>
    <t>2023-05-04</t>
  </si>
  <si>
    <t>癸卯年，丙辰月，壬戌日</t>
  </si>
  <si>
    <t>2023-05-05</t>
  </si>
  <si>
    <t>癸卯年，丙辰月，癸亥日</t>
  </si>
  <si>
    <t>2023-05-06</t>
  </si>
  <si>
    <t>癸卯年，丁巳月，甲子日</t>
  </si>
  <si>
    <t>2023-05-07</t>
  </si>
  <si>
    <t>癸卯年，丁巳月，乙丑日</t>
  </si>
  <si>
    <t>2023-05-08</t>
  </si>
  <si>
    <t>癸卯年，丁巳月，丙寅日</t>
  </si>
  <si>
    <t>2023-05-09</t>
  </si>
  <si>
    <t>癸卯年，丁巳月，丁卯日</t>
  </si>
  <si>
    <t>2023-05-10</t>
  </si>
  <si>
    <t>癸卯年，丁巳月，戊辰日</t>
  </si>
  <si>
    <t>2023-05-11</t>
  </si>
  <si>
    <t>癸卯年，丁巳月，己巳日</t>
  </si>
  <si>
    <t>2023-05-12</t>
  </si>
  <si>
    <t>癸卯年，丁巳月，庚午日</t>
  </si>
  <si>
    <t>2023-05-13</t>
  </si>
  <si>
    <t>癸卯年，丁巳月，辛未日</t>
  </si>
  <si>
    <t>2023-05-14</t>
  </si>
  <si>
    <t>癸卯年，丁巳月，壬申日</t>
  </si>
  <si>
    <t>2023-05-15</t>
  </si>
  <si>
    <t>癸卯年，丁巳月，癸酉日</t>
  </si>
  <si>
    <t>2023-05-16</t>
  </si>
  <si>
    <t>癸卯年，丁巳月，甲戌日</t>
  </si>
  <si>
    <t>2023-05-17</t>
  </si>
  <si>
    <t>癸卯年，丁巳月，乙亥日</t>
  </si>
  <si>
    <t>2023-05-18</t>
  </si>
  <si>
    <t>癸卯年，丁巳月，丙子日</t>
  </si>
  <si>
    <t>2023-05-19</t>
  </si>
  <si>
    <t>癸卯年，丁巳月，丁丑日</t>
  </si>
  <si>
    <t>2023-05-20</t>
  </si>
  <si>
    <t>癸卯年，丁巳月，戊寅日</t>
  </si>
  <si>
    <t>2023-05-21</t>
  </si>
  <si>
    <t>癸卯年，丁巳月，己卯日</t>
  </si>
  <si>
    <t>2023-05-22</t>
  </si>
  <si>
    <t>癸卯年，丁巳月，庚辰日</t>
  </si>
  <si>
    <t>2023-05-23</t>
  </si>
  <si>
    <t>癸卯年，丁巳月，辛巳日</t>
  </si>
  <si>
    <t>2023-05-24</t>
  </si>
  <si>
    <t>癸卯年，丁巳月，壬午日</t>
  </si>
  <si>
    <t>2023-05-25</t>
  </si>
  <si>
    <t>癸卯年，丁巳月，癸未日</t>
  </si>
  <si>
    <t>2023-05-26</t>
  </si>
  <si>
    <t>癸卯年，丁巳月，甲申日</t>
  </si>
  <si>
    <t>2023-05-27</t>
  </si>
  <si>
    <t>癸卯年，丁巳月，乙酉日</t>
  </si>
  <si>
    <t>2023-05-28</t>
  </si>
  <si>
    <t>癸卯年，丁巳月，丙戌日</t>
  </si>
  <si>
    <t>2023-05-29</t>
  </si>
  <si>
    <t>癸卯年，丁巳月，丁亥日</t>
  </si>
  <si>
    <t>2023-05-30</t>
  </si>
  <si>
    <t>癸卯年，丁巳月，戊子日</t>
  </si>
  <si>
    <t>2023-05-31</t>
  </si>
  <si>
    <t>癸卯年，丁巳月，己丑日</t>
  </si>
  <si>
    <t>2023-06-01</t>
  </si>
  <si>
    <t>癸卯年，丁巳月，庚寅日</t>
  </si>
  <si>
    <t>2023-06-02</t>
  </si>
  <si>
    <t>癸卯年，丁巳月，辛卯日</t>
  </si>
  <si>
    <t>2023-06-03</t>
  </si>
  <si>
    <t>癸卯年，丁巳月，壬辰日</t>
  </si>
  <si>
    <t>2023-06-04</t>
  </si>
  <si>
    <t>癸卯年，丁巳月，癸巳日</t>
  </si>
  <si>
    <t>2023-06-05</t>
  </si>
  <si>
    <t>癸卯年，丁巳月，甲午日</t>
  </si>
  <si>
    <t>2023-06-06</t>
  </si>
  <si>
    <t>癸卯年，戊午月，乙未日</t>
  </si>
  <si>
    <t>2023-06-07</t>
  </si>
  <si>
    <t>癸卯年，戊午月，丙申日</t>
  </si>
  <si>
    <t>2023-06-08</t>
  </si>
  <si>
    <t>癸卯年，戊午月，丁酉日</t>
  </si>
  <si>
    <t>2023-06-09</t>
  </si>
  <si>
    <t>癸卯年，戊午月，戊戌日</t>
  </si>
  <si>
    <t>2023-06-10</t>
  </si>
  <si>
    <t>癸卯年，戊午月，己亥日</t>
  </si>
  <si>
    <t>2023-06-11</t>
  </si>
  <si>
    <t>癸卯年，戊午月，庚子日</t>
  </si>
  <si>
    <t>2023-06-12</t>
  </si>
  <si>
    <t>癸卯年，戊午月，辛丑日</t>
  </si>
  <si>
    <t>2023-06-13</t>
  </si>
  <si>
    <t>癸卯年，戊午月，壬寅日</t>
  </si>
  <si>
    <t>2023-06-14</t>
  </si>
  <si>
    <t>癸卯年，戊午月，癸卯日</t>
  </si>
  <si>
    <t>2023-06-15</t>
  </si>
  <si>
    <t>癸卯年，戊午月，甲辰日</t>
  </si>
  <si>
    <t>2023-06-16</t>
  </si>
  <si>
    <t>癸卯年，戊午月，乙巳日</t>
  </si>
  <si>
    <t>2023-06-17</t>
  </si>
  <si>
    <t>癸卯年，戊午月，丙午日</t>
  </si>
  <si>
    <t>2023-06-18</t>
  </si>
  <si>
    <t>癸卯年，戊午月，丁未日</t>
  </si>
  <si>
    <t>2023-06-19</t>
  </si>
  <si>
    <t>癸卯年，戊午月，戊申日</t>
  </si>
  <si>
    <t>2023-06-20</t>
  </si>
  <si>
    <t>癸卯年，戊午月，己酉日</t>
  </si>
  <si>
    <t>2023-06-21</t>
  </si>
  <si>
    <t>癸卯年，戊午月，庚戌日</t>
  </si>
  <si>
    <t>2023-06-22</t>
  </si>
  <si>
    <t>癸卯年，戊午月，辛亥日</t>
  </si>
  <si>
    <t>2023-06-23</t>
  </si>
  <si>
    <t>癸卯年，戊午月，壬子日</t>
  </si>
  <si>
    <t>2023-06-24</t>
  </si>
  <si>
    <t>癸卯年，戊午月，癸丑日</t>
  </si>
  <si>
    <t>2023-06-25</t>
  </si>
  <si>
    <t>癸卯年，戊午月，甲寅日</t>
  </si>
  <si>
    <t>2023-06-26</t>
  </si>
  <si>
    <t>癸卯年，戊午月，乙卯日</t>
  </si>
  <si>
    <t>2023-06-27</t>
  </si>
  <si>
    <t>癸卯年，戊午月，丙辰日</t>
  </si>
  <si>
    <t>2023-06-28</t>
  </si>
  <si>
    <t>癸卯年，戊午月，丁巳日</t>
  </si>
  <si>
    <t>2023-06-29</t>
  </si>
  <si>
    <t>癸卯年，戊午月，戊午日</t>
  </si>
  <si>
    <t>2023-06-30</t>
  </si>
  <si>
    <t>癸卯年，戊午月，己未日</t>
  </si>
  <si>
    <t>2023-07-01</t>
  </si>
  <si>
    <t>癸卯年，戊午月，庚申日</t>
  </si>
  <si>
    <t>2023-07-02</t>
  </si>
  <si>
    <t>癸卯年，戊午月，辛酉日</t>
  </si>
  <si>
    <t>2023-07-03</t>
  </si>
  <si>
    <t>癸卯年，戊午月，壬戌日</t>
  </si>
  <si>
    <t>2023-07-04</t>
  </si>
  <si>
    <t>癸卯年，戊午月，癸亥日</t>
  </si>
  <si>
    <t>2023-07-05</t>
  </si>
  <si>
    <t>癸卯年，戊午月，甲子日</t>
  </si>
  <si>
    <t>2023-07-06</t>
  </si>
  <si>
    <t>癸卯年，戊午月，乙丑日</t>
  </si>
  <si>
    <t>2023-07-07</t>
  </si>
  <si>
    <t>癸卯年，己未月，丙寅日</t>
  </si>
  <si>
    <t>2023-07-08</t>
  </si>
  <si>
    <t>癸卯年，己未月，丁卯日</t>
  </si>
  <si>
    <t>2023-07-09</t>
  </si>
  <si>
    <t>癸卯年，己未月，戊辰日</t>
  </si>
  <si>
    <t>2023-07-10</t>
  </si>
  <si>
    <t>癸卯年，己未月，己巳日</t>
  </si>
  <si>
    <t>2023-07-11</t>
  </si>
  <si>
    <t>癸卯年，己未月，庚午日</t>
  </si>
  <si>
    <t>2023-07-12</t>
  </si>
  <si>
    <t>癸卯年，己未月，辛未日</t>
  </si>
  <si>
    <t>2023-07-13</t>
  </si>
  <si>
    <t>癸卯年，己未月，壬申日</t>
  </si>
  <si>
    <t>2023-07-14</t>
  </si>
  <si>
    <t>癸卯年，己未月，癸酉日</t>
  </si>
  <si>
    <t>2023-07-15</t>
  </si>
  <si>
    <t>癸卯年，己未月，甲戌日</t>
  </si>
  <si>
    <t>2023-07-16</t>
  </si>
  <si>
    <t>癸卯年，己未月，乙亥日</t>
  </si>
  <si>
    <t>2023-07-17</t>
  </si>
  <si>
    <t>癸卯年，己未月，丙子日</t>
  </si>
  <si>
    <t>2023-07-18</t>
  </si>
  <si>
    <t>癸卯年，己未月，丁丑日</t>
  </si>
  <si>
    <t>2023-07-19</t>
  </si>
  <si>
    <t>癸卯年，己未月，戊寅日</t>
  </si>
  <si>
    <t>2023-07-20</t>
  </si>
  <si>
    <t>癸卯年，己未月，己卯日</t>
  </si>
  <si>
    <t>2023-07-21</t>
  </si>
  <si>
    <t>癸卯年，己未月，庚辰日</t>
  </si>
  <si>
    <t>2023-07-22</t>
  </si>
  <si>
    <t>癸卯年，己未月，辛巳日</t>
  </si>
  <si>
    <t>2023-07-23</t>
  </si>
  <si>
    <t>癸卯年，己未月，壬午日</t>
  </si>
  <si>
    <t>2023-07-24</t>
  </si>
  <si>
    <t>癸卯年，己未月，癸未日</t>
  </si>
  <si>
    <t>2023-07-25</t>
  </si>
  <si>
    <t>癸卯年，己未月，甲申日</t>
  </si>
  <si>
    <t>2023-07-26</t>
  </si>
  <si>
    <t>癸卯年，己未月，乙酉日</t>
  </si>
  <si>
    <t>2023-07-27</t>
  </si>
  <si>
    <t>癸卯年，己未月，丙戌日</t>
  </si>
  <si>
    <t>2023-07-28</t>
  </si>
  <si>
    <t>癸卯年，己未月，丁亥日</t>
  </si>
  <si>
    <t>2023-07-29</t>
  </si>
  <si>
    <t>癸卯年，己未月，戊子日</t>
  </si>
  <si>
    <t>2023-07-30</t>
  </si>
  <si>
    <t>癸卯年，己未月，己丑日</t>
  </si>
  <si>
    <t>2023-07-31</t>
  </si>
  <si>
    <t>癸卯年，己未月，庚寅日</t>
  </si>
  <si>
    <t>2023-08-01</t>
  </si>
  <si>
    <t>癸卯年，己未月，辛卯日</t>
  </si>
  <si>
    <t>2023-08-02</t>
  </si>
  <si>
    <t>癸卯年，己未月，壬辰日</t>
  </si>
  <si>
    <t>2023-08-03</t>
  </si>
  <si>
    <t>癸卯年，己未月，癸巳日</t>
  </si>
  <si>
    <t>2023-08-04</t>
  </si>
  <si>
    <t>癸卯年，己未月，甲午日</t>
  </si>
  <si>
    <t>2023-08-05</t>
  </si>
  <si>
    <t>癸卯年，己未月，乙未日</t>
  </si>
  <si>
    <t>2023-08-06</t>
  </si>
  <si>
    <t>癸卯年，己未月，丙申日</t>
  </si>
  <si>
    <t>2023-08-07</t>
  </si>
  <si>
    <t>癸卯年，己未月，丁酉日</t>
  </si>
  <si>
    <t>2023-08-08</t>
  </si>
  <si>
    <t>癸卯年，庚申月，戊戌日</t>
  </si>
  <si>
    <t>2023-08-09</t>
  </si>
  <si>
    <t>癸卯年，庚申月，己亥日</t>
  </si>
  <si>
    <t>2023-08-10</t>
  </si>
  <si>
    <t>癸卯年，庚申月，庚子日</t>
  </si>
  <si>
    <t>2023-08-11</t>
  </si>
  <si>
    <t>癸卯年，庚申月，辛丑日</t>
  </si>
  <si>
    <t>2023-08-12</t>
  </si>
  <si>
    <t>癸卯年，庚申月，壬寅日</t>
  </si>
  <si>
    <t>2023-08-13</t>
  </si>
  <si>
    <t>癸卯年，庚申月，癸卯日</t>
  </si>
  <si>
    <t>2023-08-14</t>
  </si>
  <si>
    <t>癸卯年，庚申月，甲辰日</t>
  </si>
  <si>
    <t>2023-08-15</t>
  </si>
  <si>
    <t>癸卯年，庚申月，乙巳日</t>
  </si>
  <si>
    <t>2023-08-16</t>
  </si>
  <si>
    <t>癸卯年，庚申月，丙午日</t>
  </si>
  <si>
    <t>2023-08-17</t>
  </si>
  <si>
    <t>癸卯年，庚申月，丁未日</t>
  </si>
  <si>
    <t>2023-08-18</t>
  </si>
  <si>
    <t>癸卯年，庚申月，戊申日</t>
  </si>
  <si>
    <t>2023-08-19</t>
  </si>
  <si>
    <t>癸卯年，庚申月，己酉日</t>
  </si>
  <si>
    <t>2023-08-20</t>
  </si>
  <si>
    <t>癸卯年，庚申月，庚戌日</t>
  </si>
  <si>
    <t>2023-08-21</t>
  </si>
  <si>
    <t>癸卯年，庚申月，辛亥日</t>
  </si>
  <si>
    <t>2023-08-22</t>
  </si>
  <si>
    <t>癸卯年，庚申月，壬子日</t>
  </si>
  <si>
    <t>2023-08-23</t>
  </si>
  <si>
    <t>癸卯年，庚申月，癸丑日</t>
  </si>
  <si>
    <t>2023-08-24</t>
  </si>
  <si>
    <t>癸卯年，庚申月，甲寅日</t>
  </si>
  <si>
    <t>2023-08-25</t>
  </si>
  <si>
    <t>癸卯年，庚申月，乙卯日</t>
  </si>
  <si>
    <t>2023-08-26</t>
  </si>
  <si>
    <t>癸卯年，庚申月，丙辰日</t>
  </si>
  <si>
    <t>2023-08-27</t>
  </si>
  <si>
    <t>癸卯年，庚申月，丁巳日</t>
  </si>
  <si>
    <t>2023-08-28</t>
  </si>
  <si>
    <t>癸卯年，庚申月，戊午日</t>
  </si>
  <si>
    <t>2023-08-29</t>
  </si>
  <si>
    <t>癸卯年，庚申月，己未日</t>
  </si>
  <si>
    <t>2023-08-30</t>
  </si>
  <si>
    <t>癸卯年，庚申月，庚申日</t>
  </si>
  <si>
    <t>2023-08-31</t>
  </si>
  <si>
    <t>癸卯年，庚申月，辛酉日</t>
  </si>
  <si>
    <t>2023-09-01</t>
  </si>
  <si>
    <t>癸卯年，庚申月，壬戌日</t>
  </si>
  <si>
    <t>2023-09-02</t>
  </si>
  <si>
    <t>癸卯年，庚申月，癸亥日</t>
  </si>
  <si>
    <t>2023-09-03</t>
  </si>
  <si>
    <t>癸卯年，庚申月，甲子日</t>
  </si>
  <si>
    <t>2023-09-04</t>
  </si>
  <si>
    <t>癸卯年，庚申月，乙丑日</t>
  </si>
  <si>
    <t>2023-09-05</t>
  </si>
  <si>
    <t>癸卯年，庚申月，丙寅日</t>
  </si>
  <si>
    <t>2023-09-06</t>
  </si>
  <si>
    <t>癸卯年，庚申月，丁卯日</t>
  </si>
  <si>
    <t>2023-09-07</t>
  </si>
  <si>
    <t>癸卯年，庚申月，戊辰日</t>
  </si>
  <si>
    <t>2023-09-08</t>
  </si>
  <si>
    <t>癸卯年，辛酉月，己巳日</t>
  </si>
  <si>
    <t>2023-09-09</t>
  </si>
  <si>
    <t>癸卯年，辛酉月，庚午日</t>
  </si>
  <si>
    <t>2023-09-10</t>
  </si>
  <si>
    <t>癸卯年，辛酉月，辛未日</t>
  </si>
  <si>
    <t>2023-09-11</t>
  </si>
  <si>
    <t>癸卯年，辛酉月，壬申日</t>
  </si>
  <si>
    <t>2023-09-12</t>
  </si>
  <si>
    <t>癸卯年，辛酉月，癸酉日</t>
  </si>
  <si>
    <t>2023-09-13</t>
  </si>
  <si>
    <t>癸卯年，辛酉月，甲戌日</t>
  </si>
  <si>
    <t>2023-09-14</t>
  </si>
  <si>
    <t>癸卯年，辛酉月，乙亥日</t>
  </si>
  <si>
    <t>2023-09-15</t>
  </si>
  <si>
    <t>癸卯年，辛酉月，丙子日</t>
  </si>
  <si>
    <t>2023-09-16</t>
  </si>
  <si>
    <t>癸卯年，辛酉月，丁丑日</t>
  </si>
  <si>
    <t>2023-09-17</t>
  </si>
  <si>
    <t>癸卯年，辛酉月，戊寅日</t>
  </si>
  <si>
    <t>2023-09-18</t>
  </si>
  <si>
    <t>癸卯年，辛酉月，己卯日</t>
  </si>
  <si>
    <t>2023-09-19</t>
  </si>
  <si>
    <t>癸卯年，辛酉月，庚辰日</t>
  </si>
  <si>
    <t>2023-09-20</t>
  </si>
  <si>
    <t>癸卯年，辛酉月，辛巳日</t>
  </si>
  <si>
    <t>2023-09-21</t>
  </si>
  <si>
    <t>癸卯年，辛酉月，壬午日</t>
  </si>
  <si>
    <t>2023-09-22</t>
  </si>
  <si>
    <t>癸卯年，辛酉月，癸未日</t>
  </si>
  <si>
    <t>2023-09-23</t>
  </si>
  <si>
    <t>癸卯年，辛酉月，甲申日</t>
  </si>
  <si>
    <t>2023-09-24</t>
  </si>
  <si>
    <t>癸卯年，辛酉月，乙酉日</t>
  </si>
  <si>
    <t>2023-09-25</t>
  </si>
  <si>
    <t>癸卯年，辛酉月，丙戌日</t>
  </si>
  <si>
    <t>2023-09-26</t>
  </si>
  <si>
    <t>癸卯年，辛酉月，丁亥日</t>
  </si>
  <si>
    <t>2023-09-27</t>
  </si>
  <si>
    <t>癸卯年，辛酉月，戊子日</t>
  </si>
  <si>
    <t>2023-09-28</t>
  </si>
  <si>
    <t>癸卯年，辛酉月，己丑日</t>
  </si>
  <si>
    <t>2023-09-29</t>
  </si>
  <si>
    <t>癸卯年，辛酉月，庚寅日</t>
  </si>
  <si>
    <t>2023-09-30</t>
  </si>
  <si>
    <t>癸卯年，辛酉月，辛卯日</t>
  </si>
  <si>
    <t>2023-10-01</t>
  </si>
  <si>
    <t>癸卯年，辛酉月，壬辰日</t>
  </si>
  <si>
    <t>2023-10-02</t>
  </si>
  <si>
    <t>癸卯年，辛酉月，癸巳日</t>
  </si>
  <si>
    <t>2023-10-03</t>
  </si>
  <si>
    <t>癸卯年，辛酉月，甲午日</t>
  </si>
  <si>
    <t>2023-10-04</t>
  </si>
  <si>
    <t>癸卯年，辛酉月，乙未日</t>
  </si>
  <si>
    <t>2023-10-05</t>
  </si>
  <si>
    <t>癸卯年，辛酉月，丙申日</t>
  </si>
  <si>
    <t>2023-10-06</t>
  </si>
  <si>
    <t>癸卯年，辛酉月，丁酉日</t>
  </si>
  <si>
    <t>2023-10-07</t>
  </si>
  <si>
    <t>癸卯年，辛酉月，戊戌日</t>
  </si>
  <si>
    <t>2023-10-08</t>
  </si>
  <si>
    <t>癸卯年，壬戌月，己亥日</t>
  </si>
  <si>
    <t>2023-10-09</t>
  </si>
  <si>
    <t>癸卯年，壬戌月，庚子日</t>
  </si>
  <si>
    <t>2023-10-10</t>
  </si>
  <si>
    <t>癸卯年，壬戌月，辛丑日</t>
  </si>
  <si>
    <t>2023-10-11</t>
  </si>
  <si>
    <t>癸卯年，壬戌月，壬寅日</t>
  </si>
  <si>
    <t>2023-10-12</t>
  </si>
  <si>
    <t>癸卯年，壬戌月，癸卯日</t>
  </si>
  <si>
    <t>2023-10-13</t>
  </si>
  <si>
    <t>癸卯年，壬戌月，甲辰日</t>
  </si>
  <si>
    <t>2023-10-14</t>
  </si>
  <si>
    <t>癸卯年，壬戌月，乙巳日</t>
  </si>
  <si>
    <t>2023-10-15</t>
  </si>
  <si>
    <t>癸卯年，壬戌月，丙午日</t>
  </si>
  <si>
    <t>2023-10-16</t>
  </si>
  <si>
    <t>癸卯年，壬戌月，丁未日</t>
  </si>
  <si>
    <t>2023-10-17</t>
  </si>
  <si>
    <t>癸卯年，壬戌月，戊申日</t>
  </si>
  <si>
    <t>2023-10-18</t>
  </si>
  <si>
    <t>癸卯年，壬戌月，己酉日</t>
  </si>
  <si>
    <t>2023-10-19</t>
  </si>
  <si>
    <t>癸卯年，壬戌月，庚戌日</t>
  </si>
  <si>
    <t>2023-10-20</t>
  </si>
  <si>
    <t>癸卯年，壬戌月，辛亥日</t>
  </si>
  <si>
    <t>2023-10-21</t>
  </si>
  <si>
    <t>癸卯年，壬戌月，壬子日</t>
  </si>
  <si>
    <t>2023-10-22</t>
  </si>
  <si>
    <t>癸卯年，壬戌月，癸丑日</t>
  </si>
  <si>
    <t>2023-10-23</t>
  </si>
  <si>
    <t>癸卯年，壬戌月，甲寅日</t>
  </si>
  <si>
    <t>2023-10-24</t>
  </si>
  <si>
    <t>癸卯年，壬戌月，乙卯日</t>
  </si>
  <si>
    <t>2023-10-25</t>
  </si>
  <si>
    <t>癸卯年，壬戌月，丙辰日</t>
  </si>
  <si>
    <t>2023-10-26</t>
  </si>
  <si>
    <t>癸卯年，壬戌月，丁巳日</t>
  </si>
  <si>
    <t>2023-10-27</t>
  </si>
  <si>
    <t>癸卯年，壬戌月，戊午日</t>
  </si>
  <si>
    <t>2023-10-28</t>
  </si>
  <si>
    <t>癸卯年，壬戌月，己未日</t>
  </si>
  <si>
    <t>2023-10-29</t>
  </si>
  <si>
    <t>癸卯年，壬戌月，庚申日</t>
  </si>
  <si>
    <t>2023-10-30</t>
  </si>
  <si>
    <t>癸卯年，壬戌月，辛酉日</t>
  </si>
  <si>
    <t>2023-10-31</t>
  </si>
  <si>
    <t>癸卯年，壬戌月，壬戌日</t>
  </si>
  <si>
    <t>2023-11-01</t>
  </si>
  <si>
    <t>癸卯年，壬戌月，癸亥日</t>
  </si>
  <si>
    <t>2023-11-02</t>
  </si>
  <si>
    <t>癸卯年，壬戌月，甲子日</t>
  </si>
  <si>
    <t>2023-11-03</t>
  </si>
  <si>
    <t>癸卯年，壬戌月，乙丑日</t>
  </si>
  <si>
    <t>2023-11-04</t>
  </si>
  <si>
    <t>癸卯年，壬戌月，丙寅日</t>
  </si>
  <si>
    <t>2023-11-05</t>
  </si>
  <si>
    <t>癸卯年，壬戌月，丁卯日</t>
  </si>
  <si>
    <t>2023-11-06</t>
  </si>
  <si>
    <t>癸卯年，壬戌月，戊辰日</t>
  </si>
  <si>
    <t>2023-11-07</t>
  </si>
  <si>
    <t>癸卯年，壬戌月，己巳日</t>
  </si>
  <si>
    <t>2023-11-08</t>
  </si>
  <si>
    <t>癸卯年，癸亥月，庚午日</t>
  </si>
  <si>
    <t>2023-11-09</t>
  </si>
  <si>
    <t>癸卯年，癸亥月，辛未日</t>
  </si>
  <si>
    <t>2023-11-10</t>
  </si>
  <si>
    <t>癸卯年，癸亥月，壬申日</t>
  </si>
  <si>
    <t>2023-11-11</t>
  </si>
  <si>
    <t>癸卯年，癸亥月，癸酉日</t>
  </si>
  <si>
    <t>2023-11-12</t>
  </si>
  <si>
    <t>癸卯年，癸亥月，甲戌日</t>
  </si>
  <si>
    <t>2023-11-13</t>
  </si>
  <si>
    <t>癸卯年，癸亥月，乙亥日</t>
  </si>
  <si>
    <t>2023-11-14</t>
  </si>
  <si>
    <t>癸卯年，癸亥月，丙子日</t>
  </si>
  <si>
    <t>2023-11-15</t>
  </si>
  <si>
    <t>癸卯年，癸亥月，丁丑日</t>
  </si>
  <si>
    <t>2023-11-16</t>
  </si>
  <si>
    <t>癸卯年，癸亥月，戊寅日</t>
  </si>
  <si>
    <t>2023-11-17</t>
  </si>
  <si>
    <t>癸卯年，癸亥月，己卯日</t>
  </si>
  <si>
    <t>2023-11-18</t>
  </si>
  <si>
    <t>癸卯年，癸亥月，庚辰日</t>
  </si>
  <si>
    <t>2023-11-19</t>
  </si>
  <si>
    <t>癸卯年，癸亥月，辛巳日</t>
  </si>
  <si>
    <t>2023-11-20</t>
  </si>
  <si>
    <t>癸卯年，癸亥月，壬午日</t>
  </si>
  <si>
    <t>2023-11-21</t>
  </si>
  <si>
    <t>癸卯年，癸亥月，癸未日</t>
  </si>
  <si>
    <t>2023-11-22</t>
  </si>
  <si>
    <t>癸卯年，癸亥月，甲申日</t>
  </si>
  <si>
    <t>2023-11-23</t>
  </si>
  <si>
    <t>癸卯年，癸亥月，乙酉日</t>
  </si>
  <si>
    <t>2023-11-24</t>
  </si>
  <si>
    <t>癸卯年，癸亥月，丙戌日</t>
  </si>
  <si>
    <t>2023-11-25</t>
  </si>
  <si>
    <t>癸卯年，癸亥月，丁亥日</t>
  </si>
  <si>
    <t>2023-11-26</t>
  </si>
  <si>
    <t>癸卯年，癸亥月，戊子日</t>
  </si>
  <si>
    <t>2023-11-27</t>
  </si>
  <si>
    <t>癸卯年，癸亥月，己丑日</t>
  </si>
  <si>
    <t>2023-11-28</t>
  </si>
  <si>
    <t>癸卯年，癸亥月，庚寅日</t>
  </si>
  <si>
    <t>2023-11-29</t>
  </si>
  <si>
    <t>癸卯年，癸亥月，辛卯日</t>
  </si>
  <si>
    <t>2023-11-30</t>
  </si>
  <si>
    <t>癸卯年，癸亥月，壬辰日</t>
  </si>
  <si>
    <t>2023-12-01</t>
  </si>
  <si>
    <t>癸卯年，癸亥月，癸巳日</t>
  </si>
  <si>
    <t>2023-12-02</t>
  </si>
  <si>
    <t>癸卯年，癸亥月，甲午日</t>
  </si>
  <si>
    <t>2023-12-03</t>
  </si>
  <si>
    <t>癸卯年，癸亥月，乙未日</t>
  </si>
  <si>
    <t>2023-12-04</t>
  </si>
  <si>
    <t>癸卯年，癸亥月，丙申日</t>
  </si>
  <si>
    <t>2023-12-05</t>
  </si>
  <si>
    <t>癸卯年，癸亥月，丁酉日</t>
  </si>
  <si>
    <t>2023-12-06</t>
  </si>
  <si>
    <t>癸卯年，癸亥月，戊戌日</t>
  </si>
  <si>
    <t>2023-12-07</t>
  </si>
  <si>
    <t>癸卯年，甲子月，己亥日</t>
  </si>
  <si>
    <t>2023-12-08</t>
  </si>
  <si>
    <t>癸卯年，甲子月，庚子日</t>
  </si>
  <si>
    <t>2023-12-09</t>
  </si>
  <si>
    <t>癸卯年，甲子月，辛丑日</t>
  </si>
  <si>
    <t>2023-12-10</t>
  </si>
  <si>
    <t>癸卯年，甲子月，壬寅日</t>
  </si>
  <si>
    <t>2023-12-11</t>
  </si>
  <si>
    <t>癸卯年，甲子月，癸卯日</t>
  </si>
  <si>
    <t>2023-12-12</t>
  </si>
  <si>
    <t>癸卯年，甲子月，甲辰日</t>
  </si>
  <si>
    <t>2023-12-13</t>
  </si>
  <si>
    <t>癸卯年，甲子月，乙巳日</t>
  </si>
  <si>
    <t>2023-12-14</t>
  </si>
  <si>
    <t>癸卯年，甲子月，丙午日</t>
  </si>
  <si>
    <t>2023-12-15</t>
  </si>
  <si>
    <t>癸卯年，甲子月，丁未日</t>
  </si>
  <si>
    <t>2023-12-16</t>
  </si>
  <si>
    <t>癸卯年，甲子月，戊申日</t>
  </si>
  <si>
    <t>2023-12-17</t>
  </si>
  <si>
    <t>癸卯年，甲子月，己酉日</t>
  </si>
  <si>
    <t>2023-12-18</t>
  </si>
  <si>
    <t>癸卯年，甲子月，庚戌日</t>
  </si>
  <si>
    <t>2023-12-19</t>
  </si>
  <si>
    <t>癸卯年，甲子月，辛亥日</t>
  </si>
  <si>
    <t>2023-12-20</t>
  </si>
  <si>
    <t>癸卯年，甲子月，壬子日</t>
  </si>
  <si>
    <t>2023-12-21</t>
  </si>
  <si>
    <t>癸卯年，甲子月，癸丑日</t>
  </si>
  <si>
    <t>2023-12-22</t>
  </si>
  <si>
    <t>癸卯年，甲子月，甲寅日</t>
  </si>
  <si>
    <t>2023-12-23</t>
  </si>
  <si>
    <t>癸卯年，甲子月，乙卯日</t>
  </si>
  <si>
    <t>2023-12-24</t>
  </si>
  <si>
    <t>癸卯年，甲子月，丙辰日</t>
  </si>
  <si>
    <t>2023-12-25</t>
  </si>
  <si>
    <t>癸卯年，甲子月，丁巳日</t>
  </si>
  <si>
    <t>2023-12-26</t>
  </si>
  <si>
    <t>癸卯年，甲子月，戊午日</t>
  </si>
  <si>
    <t>2023-12-27</t>
  </si>
  <si>
    <t>癸卯年，甲子月，己未日</t>
  </si>
  <si>
    <t>2023-12-28</t>
  </si>
  <si>
    <t>癸卯年，甲子月，庚申日</t>
  </si>
  <si>
    <t>2023-12-29</t>
  </si>
  <si>
    <t>癸卯年，甲子月，辛酉日</t>
  </si>
  <si>
    <t>2023-12-30</t>
  </si>
  <si>
    <t>癸卯年，甲子月，壬戌日</t>
  </si>
  <si>
    <t>2023-12-31</t>
  </si>
  <si>
    <t>癸卯年，甲子月，癸亥日</t>
  </si>
  <si>
    <t>2024-01-01</t>
  </si>
  <si>
    <t>癸卯年，甲子月，甲子日</t>
  </si>
  <si>
    <t>2024-01-02</t>
  </si>
  <si>
    <t>癸卯年，甲子月，乙丑日</t>
  </si>
  <si>
    <t>2024-01-03</t>
  </si>
  <si>
    <t>癸卯年，甲子月，丙寅日</t>
  </si>
  <si>
    <t>2024-01-04</t>
  </si>
  <si>
    <t>癸卯年，甲子月，丁卯日</t>
  </si>
  <si>
    <t>2024-01-05</t>
  </si>
  <si>
    <t>癸卯年，甲子月，戊辰日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</si>
  <si>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</si>
  <si>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</si>
  <si>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</si>
  <si>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</si>
  <si>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</si>
  <si>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</si>
  <si>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</si>
  <si>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</si>
  <si>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</si>
  <si>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</si>
  <si>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</si>
  <si>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</si>
  <si>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</si>
  <si>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</si>
  <si>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丑时数串</t>
  </si>
  <si>
    <t>丑时误差</t>
  </si>
  <si>
    <t>未时数串</t>
  </si>
  <si>
    <t>未时误差</t>
  </si>
  <si>
    <t>双支</t>
  </si>
  <si>
    <t>双干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</si>
  <si>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</si>
  <si>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</si>
  <si>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</si>
  <si>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</si>
  <si>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</si>
  <si>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</si>
  <si>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</si>
  <si>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</si>
  <si>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</si>
  <si>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</si>
  <si>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</si>
  <si>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</si>
  <si>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数串</t>
  </si>
  <si>
    <t>正确率</t>
  </si>
  <si>
    <t>双支误差</t>
  </si>
  <si>
    <t>双干误差</t>
  </si>
  <si>
    <t>寅时误差</t>
  </si>
  <si>
    <t>卯时误差</t>
  </si>
  <si>
    <t>辰时误差</t>
  </si>
  <si>
    <t>巳时误差</t>
  </si>
  <si>
    <t>申时误差</t>
  </si>
  <si>
    <t>戌时误差</t>
  </si>
  <si>
    <t>亥时误差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</si>
</sst>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3" fillId="0" borderId="1" xfId="0" applyFont="1" applyFill="1" applyBorder="1" applyAlignment="1">
      <alignment horizontal="center" vertical="top"/>
    </xf>
    <xf numFmtId="0" fontId="0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9"/>
  <sheetViews>
    <sheetView topLeftCell="A316" workbookViewId="0">
      <selection activeCell="R1" sqref="R$1:S$1048576"/>
    </sheetView>
  </sheetViews>
  <sheetFormatPr defaultColWidth="9" defaultRowHeight="13.5"/>
  <cols>
    <col min="1" max="1" width="11.625" customWidth="1"/>
    <col min="4" max="4" width="9" style="1"/>
    <col min="18" max="18" width="23.375" style="12" customWidth="1"/>
    <col min="19" max="19" width="9" style="12"/>
  </cols>
  <sheetData>
    <row r="1" spans="1:14">
      <c r="A1">
        <v>374</v>
      </c>
      <c r="D1">
        <v>0.522546419098143</v>
      </c>
      <c r="G1">
        <v>0.458885941644562</v>
      </c>
      <c r="J1">
        <v>0.461538461538462</v>
      </c>
      <c r="N1">
        <f>(COUNTIF(N3:N379,"=0")+COUNTIF(N3:N379,"=2"))/(379-2+1)</f>
        <v>0.560846560846561</v>
      </c>
    </row>
    <row r="2" spans="1:19">
      <c r="A2" s="2" t="s">
        <v>0</v>
      </c>
      <c r="B2" s="8" t="s">
        <v>1</v>
      </c>
      <c r="C2" s="13" t="s">
        <v>2</v>
      </c>
      <c r="D2" s="3" t="s">
        <v>3</v>
      </c>
      <c r="E2" s="8" t="s">
        <v>1</v>
      </c>
      <c r="F2" s="13" t="s">
        <v>4</v>
      </c>
      <c r="G2" s="3" t="s">
        <v>5</v>
      </c>
      <c r="H2" s="8" t="s">
        <v>1</v>
      </c>
      <c r="I2" s="13" t="s">
        <v>6</v>
      </c>
      <c r="J2" s="3" t="s">
        <v>7</v>
      </c>
      <c r="L2" s="8" t="s">
        <v>1</v>
      </c>
      <c r="M2" s="11" t="s">
        <v>8</v>
      </c>
      <c r="N2" s="11" t="s">
        <v>9</v>
      </c>
      <c r="P2" s="11" t="s">
        <v>10</v>
      </c>
      <c r="Q2" s="11" t="s">
        <v>11</v>
      </c>
      <c r="R2" s="10" t="s">
        <v>12</v>
      </c>
      <c r="S2" s="10" t="s">
        <v>13</v>
      </c>
    </row>
    <row r="3" spans="1:19">
      <c r="A3" s="4" t="s">
        <v>14</v>
      </c>
      <c r="B3" s="4">
        <v>1</v>
      </c>
      <c r="C3">
        <v>0</v>
      </c>
      <c r="D3" s="14">
        <v>1</v>
      </c>
      <c r="E3" s="4">
        <v>1</v>
      </c>
      <c r="F3">
        <v>0</v>
      </c>
      <c r="G3" s="14">
        <v>1</v>
      </c>
      <c r="H3" s="4">
        <v>1</v>
      </c>
      <c r="I3">
        <v>0</v>
      </c>
      <c r="J3" s="14">
        <v>1</v>
      </c>
      <c r="K3">
        <f>C3-P$3*F3-Q$3*I3</f>
        <v>0</v>
      </c>
      <c r="L3" s="4">
        <v>1</v>
      </c>
      <c r="M3">
        <f>IF(K3&lt;0,0,1)</f>
        <v>1</v>
      </c>
      <c r="N3">
        <f>L3+M3</f>
        <v>2</v>
      </c>
      <c r="P3">
        <v>1</v>
      </c>
      <c r="Q3">
        <v>1</v>
      </c>
      <c r="R3" s="7" t="s">
        <v>15</v>
      </c>
      <c r="S3" s="7" t="s">
        <v>16</v>
      </c>
    </row>
    <row r="4" spans="1:19">
      <c r="A4" s="4" t="s">
        <v>17</v>
      </c>
      <c r="B4" s="4">
        <v>0</v>
      </c>
      <c r="C4">
        <v>1</v>
      </c>
      <c r="D4" s="14">
        <v>1</v>
      </c>
      <c r="E4" s="4">
        <v>0</v>
      </c>
      <c r="F4">
        <v>1</v>
      </c>
      <c r="G4" s="14">
        <v>1</v>
      </c>
      <c r="H4" s="4">
        <v>0</v>
      </c>
      <c r="I4">
        <v>0</v>
      </c>
      <c r="J4" s="14">
        <v>0</v>
      </c>
      <c r="K4">
        <f t="shared" ref="K4:K67" si="0">C4-P$3*F4-Q$3*I4</f>
        <v>0</v>
      </c>
      <c r="L4" s="4">
        <v>0</v>
      </c>
      <c r="M4">
        <f t="shared" ref="M4:M67" si="1">IF(K4&lt;0,0,1)</f>
        <v>1</v>
      </c>
      <c r="N4">
        <f t="shared" ref="N4:N67" si="2">L4+M4</f>
        <v>1</v>
      </c>
      <c r="R4" s="7" t="s">
        <v>18</v>
      </c>
      <c r="S4" s="7" t="s">
        <v>19</v>
      </c>
    </row>
    <row r="5" spans="1:19">
      <c r="A5" s="4" t="s">
        <v>20</v>
      </c>
      <c r="B5" s="4">
        <v>0</v>
      </c>
      <c r="C5">
        <v>0</v>
      </c>
      <c r="D5" s="14">
        <v>0</v>
      </c>
      <c r="E5" s="4">
        <v>0</v>
      </c>
      <c r="F5">
        <v>0</v>
      </c>
      <c r="G5" s="14">
        <v>0</v>
      </c>
      <c r="H5" s="4">
        <v>0</v>
      </c>
      <c r="I5">
        <v>0</v>
      </c>
      <c r="J5" s="14">
        <v>0</v>
      </c>
      <c r="K5">
        <f t="shared" si="0"/>
        <v>0</v>
      </c>
      <c r="L5" s="4">
        <v>0</v>
      </c>
      <c r="M5">
        <f t="shared" si="1"/>
        <v>1</v>
      </c>
      <c r="N5">
        <f t="shared" si="2"/>
        <v>1</v>
      </c>
      <c r="R5" s="7" t="s">
        <v>21</v>
      </c>
      <c r="S5" s="7" t="s">
        <v>22</v>
      </c>
    </row>
    <row r="6" spans="1:19">
      <c r="A6" s="4" t="s">
        <v>23</v>
      </c>
      <c r="B6" s="4">
        <v>1</v>
      </c>
      <c r="C6">
        <v>1</v>
      </c>
      <c r="D6" s="14">
        <v>2</v>
      </c>
      <c r="E6" s="4">
        <v>1</v>
      </c>
      <c r="F6">
        <v>0</v>
      </c>
      <c r="G6" s="14">
        <v>1</v>
      </c>
      <c r="H6" s="4">
        <v>1</v>
      </c>
      <c r="I6">
        <v>1</v>
      </c>
      <c r="J6" s="14">
        <v>2</v>
      </c>
      <c r="K6">
        <f t="shared" si="0"/>
        <v>0</v>
      </c>
      <c r="L6" s="4">
        <v>1</v>
      </c>
      <c r="M6">
        <f t="shared" si="1"/>
        <v>1</v>
      </c>
      <c r="N6">
        <f t="shared" si="2"/>
        <v>2</v>
      </c>
      <c r="R6" s="7" t="s">
        <v>24</v>
      </c>
      <c r="S6" s="7" t="s">
        <v>25</v>
      </c>
    </row>
    <row r="7" spans="1:19">
      <c r="A7" s="4" t="s">
        <v>26</v>
      </c>
      <c r="B7" s="4">
        <v>1</v>
      </c>
      <c r="C7">
        <v>0</v>
      </c>
      <c r="D7" s="14">
        <v>1</v>
      </c>
      <c r="E7" s="4">
        <v>1</v>
      </c>
      <c r="F7">
        <v>1</v>
      </c>
      <c r="G7" s="14">
        <v>2</v>
      </c>
      <c r="H7" s="4">
        <v>1</v>
      </c>
      <c r="I7">
        <v>1</v>
      </c>
      <c r="J7" s="14">
        <v>2</v>
      </c>
      <c r="K7">
        <f t="shared" si="0"/>
        <v>-2</v>
      </c>
      <c r="L7" s="4">
        <v>1</v>
      </c>
      <c r="M7">
        <f t="shared" si="1"/>
        <v>0</v>
      </c>
      <c r="N7">
        <f t="shared" si="2"/>
        <v>1</v>
      </c>
      <c r="R7" s="7" t="s">
        <v>27</v>
      </c>
      <c r="S7" s="7" t="s">
        <v>28</v>
      </c>
    </row>
    <row r="8" spans="1:19">
      <c r="A8" s="4" t="s">
        <v>29</v>
      </c>
      <c r="B8" s="4">
        <v>1</v>
      </c>
      <c r="C8">
        <v>0</v>
      </c>
      <c r="D8" s="14">
        <v>1</v>
      </c>
      <c r="E8" s="4">
        <v>1</v>
      </c>
      <c r="F8">
        <v>0</v>
      </c>
      <c r="G8" s="14">
        <v>1</v>
      </c>
      <c r="H8" s="4">
        <v>1</v>
      </c>
      <c r="I8">
        <v>0</v>
      </c>
      <c r="J8" s="14">
        <v>1</v>
      </c>
      <c r="K8">
        <f t="shared" si="0"/>
        <v>0</v>
      </c>
      <c r="L8" s="4">
        <v>1</v>
      </c>
      <c r="M8">
        <f t="shared" si="1"/>
        <v>1</v>
      </c>
      <c r="N8">
        <f t="shared" si="2"/>
        <v>2</v>
      </c>
      <c r="R8" s="7" t="s">
        <v>30</v>
      </c>
      <c r="S8" s="7" t="s">
        <v>31</v>
      </c>
    </row>
    <row r="9" spans="1:19">
      <c r="A9" s="4" t="s">
        <v>32</v>
      </c>
      <c r="B9" s="4">
        <v>1</v>
      </c>
      <c r="C9">
        <v>1</v>
      </c>
      <c r="D9" s="14">
        <v>2</v>
      </c>
      <c r="E9" s="4">
        <v>1</v>
      </c>
      <c r="F9">
        <v>0</v>
      </c>
      <c r="G9" s="14">
        <v>1</v>
      </c>
      <c r="H9" s="4">
        <v>1</v>
      </c>
      <c r="I9">
        <v>1</v>
      </c>
      <c r="J9" s="14">
        <v>2</v>
      </c>
      <c r="K9">
        <f t="shared" si="0"/>
        <v>0</v>
      </c>
      <c r="L9" s="4">
        <v>1</v>
      </c>
      <c r="M9">
        <f t="shared" si="1"/>
        <v>1</v>
      </c>
      <c r="N9">
        <f t="shared" si="2"/>
        <v>2</v>
      </c>
      <c r="R9" s="7" t="s">
        <v>33</v>
      </c>
      <c r="S9" s="7" t="s">
        <v>34</v>
      </c>
    </row>
    <row r="10" spans="1:19">
      <c r="A10" s="4" t="s">
        <v>35</v>
      </c>
      <c r="B10" s="4">
        <v>1</v>
      </c>
      <c r="C10">
        <v>1</v>
      </c>
      <c r="D10" s="14">
        <v>2</v>
      </c>
      <c r="E10" s="4">
        <v>1</v>
      </c>
      <c r="F10">
        <v>0</v>
      </c>
      <c r="G10" s="14">
        <v>1</v>
      </c>
      <c r="H10" s="4">
        <v>1</v>
      </c>
      <c r="I10">
        <v>0</v>
      </c>
      <c r="J10" s="14">
        <v>1</v>
      </c>
      <c r="K10">
        <f t="shared" si="0"/>
        <v>1</v>
      </c>
      <c r="L10" s="4">
        <v>1</v>
      </c>
      <c r="M10">
        <f t="shared" si="1"/>
        <v>1</v>
      </c>
      <c r="N10">
        <f t="shared" si="2"/>
        <v>2</v>
      </c>
      <c r="R10" s="7" t="s">
        <v>36</v>
      </c>
      <c r="S10" s="7" t="s">
        <v>37</v>
      </c>
    </row>
    <row r="11" spans="1:19">
      <c r="A11" s="4" t="s">
        <v>38</v>
      </c>
      <c r="B11" s="4">
        <v>0</v>
      </c>
      <c r="C11">
        <v>1</v>
      </c>
      <c r="D11" s="14">
        <v>1</v>
      </c>
      <c r="E11" s="4">
        <v>0</v>
      </c>
      <c r="F11">
        <v>0</v>
      </c>
      <c r="G11" s="14">
        <v>0</v>
      </c>
      <c r="H11" s="4">
        <v>0</v>
      </c>
      <c r="I11">
        <v>0</v>
      </c>
      <c r="J11" s="14">
        <v>0</v>
      </c>
      <c r="K11">
        <f t="shared" si="0"/>
        <v>1</v>
      </c>
      <c r="L11" s="4">
        <v>0</v>
      </c>
      <c r="M11">
        <f t="shared" si="1"/>
        <v>1</v>
      </c>
      <c r="N11">
        <f t="shared" si="2"/>
        <v>1</v>
      </c>
      <c r="R11" s="7" t="s">
        <v>39</v>
      </c>
      <c r="S11" s="7" t="s">
        <v>40</v>
      </c>
    </row>
    <row r="12" spans="1:19">
      <c r="A12" s="4" t="s">
        <v>41</v>
      </c>
      <c r="B12" s="4">
        <v>0</v>
      </c>
      <c r="C12">
        <v>0</v>
      </c>
      <c r="D12" s="14">
        <v>0</v>
      </c>
      <c r="E12" s="4">
        <v>0</v>
      </c>
      <c r="F12">
        <v>1</v>
      </c>
      <c r="G12" s="14">
        <v>1</v>
      </c>
      <c r="H12" s="4">
        <v>0</v>
      </c>
      <c r="I12">
        <v>0</v>
      </c>
      <c r="J12" s="14">
        <v>0</v>
      </c>
      <c r="K12">
        <f t="shared" si="0"/>
        <v>-1</v>
      </c>
      <c r="L12" s="4">
        <v>0</v>
      </c>
      <c r="M12">
        <f t="shared" si="1"/>
        <v>0</v>
      </c>
      <c r="N12">
        <f t="shared" si="2"/>
        <v>0</v>
      </c>
      <c r="R12" s="7" t="s">
        <v>42</v>
      </c>
      <c r="S12" s="7" t="s">
        <v>31</v>
      </c>
    </row>
    <row r="13" spans="1:19">
      <c r="A13" s="4" t="s">
        <v>43</v>
      </c>
      <c r="B13" s="4">
        <v>0</v>
      </c>
      <c r="C13">
        <v>0</v>
      </c>
      <c r="D13" s="14">
        <v>0</v>
      </c>
      <c r="E13" s="4">
        <v>0</v>
      </c>
      <c r="F13">
        <v>0</v>
      </c>
      <c r="G13" s="14">
        <v>0</v>
      </c>
      <c r="H13" s="4">
        <v>0</v>
      </c>
      <c r="I13">
        <v>0</v>
      </c>
      <c r="J13" s="14">
        <v>0</v>
      </c>
      <c r="K13">
        <f t="shared" si="0"/>
        <v>0</v>
      </c>
      <c r="L13" s="4">
        <v>0</v>
      </c>
      <c r="M13">
        <f t="shared" si="1"/>
        <v>1</v>
      </c>
      <c r="N13">
        <f t="shared" si="2"/>
        <v>1</v>
      </c>
      <c r="R13" s="7" t="s">
        <v>44</v>
      </c>
      <c r="S13" s="7" t="s">
        <v>16</v>
      </c>
    </row>
    <row r="14" spans="1:19">
      <c r="A14" s="4" t="s">
        <v>45</v>
      </c>
      <c r="B14" s="4">
        <v>1</v>
      </c>
      <c r="C14">
        <v>0</v>
      </c>
      <c r="D14" s="14">
        <v>1</v>
      </c>
      <c r="E14" s="4">
        <v>1</v>
      </c>
      <c r="F14">
        <v>0</v>
      </c>
      <c r="G14" s="14">
        <v>1</v>
      </c>
      <c r="H14" s="4">
        <v>1</v>
      </c>
      <c r="I14">
        <v>0</v>
      </c>
      <c r="J14" s="14">
        <v>1</v>
      </c>
      <c r="K14">
        <f t="shared" si="0"/>
        <v>0</v>
      </c>
      <c r="L14" s="4">
        <v>1</v>
      </c>
      <c r="M14">
        <f t="shared" si="1"/>
        <v>1</v>
      </c>
      <c r="N14">
        <f t="shared" si="2"/>
        <v>2</v>
      </c>
      <c r="R14" s="7" t="s">
        <v>46</v>
      </c>
      <c r="S14" s="7" t="s">
        <v>19</v>
      </c>
    </row>
    <row r="15" spans="1:19">
      <c r="A15" s="4" t="s">
        <v>47</v>
      </c>
      <c r="B15" s="4">
        <v>0</v>
      </c>
      <c r="C15">
        <v>0</v>
      </c>
      <c r="D15" s="14">
        <v>0</v>
      </c>
      <c r="E15" s="4">
        <v>0</v>
      </c>
      <c r="F15">
        <v>0</v>
      </c>
      <c r="G15" s="14">
        <v>0</v>
      </c>
      <c r="H15" s="4">
        <v>0</v>
      </c>
      <c r="I15">
        <v>0</v>
      </c>
      <c r="J15" s="14">
        <v>0</v>
      </c>
      <c r="K15">
        <f t="shared" si="0"/>
        <v>0</v>
      </c>
      <c r="L15" s="4">
        <v>0</v>
      </c>
      <c r="M15">
        <f t="shared" si="1"/>
        <v>1</v>
      </c>
      <c r="N15">
        <f t="shared" si="2"/>
        <v>1</v>
      </c>
      <c r="R15" s="7" t="s">
        <v>48</v>
      </c>
      <c r="S15" s="7" t="s">
        <v>22</v>
      </c>
    </row>
    <row r="16" spans="1:19">
      <c r="A16" s="4" t="s">
        <v>49</v>
      </c>
      <c r="B16" s="4">
        <v>1</v>
      </c>
      <c r="C16">
        <v>0</v>
      </c>
      <c r="D16" s="14">
        <v>1</v>
      </c>
      <c r="E16" s="4">
        <v>1</v>
      </c>
      <c r="F16">
        <v>0</v>
      </c>
      <c r="G16" s="14">
        <v>1</v>
      </c>
      <c r="H16" s="4">
        <v>1</v>
      </c>
      <c r="I16">
        <v>0</v>
      </c>
      <c r="J16" s="14">
        <v>1</v>
      </c>
      <c r="K16">
        <f t="shared" si="0"/>
        <v>0</v>
      </c>
      <c r="L16" s="4">
        <v>1</v>
      </c>
      <c r="M16">
        <f t="shared" si="1"/>
        <v>1</v>
      </c>
      <c r="N16">
        <f t="shared" si="2"/>
        <v>2</v>
      </c>
      <c r="R16" s="7" t="s">
        <v>50</v>
      </c>
      <c r="S16" s="7" t="s">
        <v>25</v>
      </c>
    </row>
    <row r="17" spans="1:19">
      <c r="A17" s="4" t="s">
        <v>51</v>
      </c>
      <c r="B17" s="4">
        <v>0</v>
      </c>
      <c r="C17">
        <v>0</v>
      </c>
      <c r="D17" s="14">
        <v>0</v>
      </c>
      <c r="E17" s="4">
        <v>0</v>
      </c>
      <c r="F17">
        <v>1</v>
      </c>
      <c r="G17" s="14">
        <v>1</v>
      </c>
      <c r="H17" s="4">
        <v>0</v>
      </c>
      <c r="I17">
        <v>1</v>
      </c>
      <c r="J17" s="14">
        <v>1</v>
      </c>
      <c r="K17">
        <f t="shared" si="0"/>
        <v>-2</v>
      </c>
      <c r="L17" s="4">
        <v>0</v>
      </c>
      <c r="M17">
        <f t="shared" si="1"/>
        <v>0</v>
      </c>
      <c r="N17">
        <f t="shared" si="2"/>
        <v>0</v>
      </c>
      <c r="R17" s="7" t="s">
        <v>52</v>
      </c>
      <c r="S17" s="7" t="s">
        <v>28</v>
      </c>
    </row>
    <row r="18" spans="1:19">
      <c r="A18" s="4" t="s">
        <v>53</v>
      </c>
      <c r="B18" s="4">
        <v>0</v>
      </c>
      <c r="C18">
        <v>0</v>
      </c>
      <c r="D18" s="14">
        <v>0</v>
      </c>
      <c r="E18" s="4">
        <v>0</v>
      </c>
      <c r="F18">
        <v>1</v>
      </c>
      <c r="G18" s="14">
        <v>1</v>
      </c>
      <c r="H18" s="4">
        <v>0</v>
      </c>
      <c r="I18">
        <v>0</v>
      </c>
      <c r="J18" s="14">
        <v>0</v>
      </c>
      <c r="K18">
        <f t="shared" si="0"/>
        <v>-1</v>
      </c>
      <c r="L18" s="4">
        <v>0</v>
      </c>
      <c r="M18">
        <f t="shared" si="1"/>
        <v>0</v>
      </c>
      <c r="N18">
        <f t="shared" si="2"/>
        <v>0</v>
      </c>
      <c r="R18" s="7" t="s">
        <v>54</v>
      </c>
      <c r="S18" s="7" t="s">
        <v>16</v>
      </c>
    </row>
    <row r="19" spans="1:19">
      <c r="A19" s="4" t="s">
        <v>55</v>
      </c>
      <c r="B19" s="4">
        <v>1</v>
      </c>
      <c r="C19">
        <v>0</v>
      </c>
      <c r="D19" s="14">
        <v>1</v>
      </c>
      <c r="E19" s="4">
        <v>1</v>
      </c>
      <c r="F19">
        <v>0</v>
      </c>
      <c r="G19" s="14">
        <v>1</v>
      </c>
      <c r="H19" s="4">
        <v>1</v>
      </c>
      <c r="I19">
        <v>0</v>
      </c>
      <c r="J19" s="14">
        <v>1</v>
      </c>
      <c r="K19">
        <f t="shared" si="0"/>
        <v>0</v>
      </c>
      <c r="L19" s="4">
        <v>1</v>
      </c>
      <c r="M19">
        <f t="shared" si="1"/>
        <v>1</v>
      </c>
      <c r="N19">
        <f t="shared" si="2"/>
        <v>2</v>
      </c>
      <c r="R19" s="7" t="s">
        <v>56</v>
      </c>
      <c r="S19" s="7" t="s">
        <v>34</v>
      </c>
    </row>
    <row r="20" spans="1:19">
      <c r="A20" s="4" t="s">
        <v>57</v>
      </c>
      <c r="B20" s="4">
        <v>1</v>
      </c>
      <c r="C20">
        <v>0</v>
      </c>
      <c r="D20" s="14">
        <v>1</v>
      </c>
      <c r="E20" s="4">
        <v>1</v>
      </c>
      <c r="F20">
        <v>0</v>
      </c>
      <c r="G20" s="14">
        <v>1</v>
      </c>
      <c r="H20" s="4">
        <v>1</v>
      </c>
      <c r="I20">
        <v>0</v>
      </c>
      <c r="J20" s="14">
        <v>1</v>
      </c>
      <c r="K20">
        <f t="shared" si="0"/>
        <v>0</v>
      </c>
      <c r="L20" s="4">
        <v>1</v>
      </c>
      <c r="M20">
        <f t="shared" si="1"/>
        <v>1</v>
      </c>
      <c r="N20">
        <f t="shared" si="2"/>
        <v>2</v>
      </c>
      <c r="R20" s="7" t="s">
        <v>58</v>
      </c>
      <c r="S20" s="7" t="s">
        <v>37</v>
      </c>
    </row>
    <row r="21" spans="1:19">
      <c r="A21" s="4" t="s">
        <v>59</v>
      </c>
      <c r="B21" s="4">
        <v>0</v>
      </c>
      <c r="C21">
        <v>1</v>
      </c>
      <c r="D21" s="14">
        <v>1</v>
      </c>
      <c r="E21" s="4">
        <v>0</v>
      </c>
      <c r="F21">
        <v>0</v>
      </c>
      <c r="G21" s="14">
        <v>0</v>
      </c>
      <c r="H21" s="4">
        <v>0</v>
      </c>
      <c r="I21">
        <v>0</v>
      </c>
      <c r="J21" s="14">
        <v>0</v>
      </c>
      <c r="K21">
        <f t="shared" si="0"/>
        <v>1</v>
      </c>
      <c r="L21" s="4">
        <v>0</v>
      </c>
      <c r="M21">
        <f t="shared" si="1"/>
        <v>1</v>
      </c>
      <c r="N21">
        <f t="shared" si="2"/>
        <v>1</v>
      </c>
      <c r="R21" s="7" t="s">
        <v>60</v>
      </c>
      <c r="S21" s="7" t="s">
        <v>40</v>
      </c>
    </row>
    <row r="22" spans="1:19">
      <c r="A22" s="4" t="s">
        <v>61</v>
      </c>
      <c r="B22" s="4">
        <v>0</v>
      </c>
      <c r="C22">
        <v>0</v>
      </c>
      <c r="D22" s="14">
        <v>0</v>
      </c>
      <c r="E22" s="4">
        <v>0</v>
      </c>
      <c r="F22">
        <v>0</v>
      </c>
      <c r="G22" s="14">
        <v>0</v>
      </c>
      <c r="H22" s="4">
        <v>0</v>
      </c>
      <c r="I22">
        <v>1</v>
      </c>
      <c r="J22" s="14">
        <v>1</v>
      </c>
      <c r="K22">
        <f t="shared" si="0"/>
        <v>-1</v>
      </c>
      <c r="L22" s="4">
        <v>0</v>
      </c>
      <c r="M22">
        <f t="shared" si="1"/>
        <v>0</v>
      </c>
      <c r="N22">
        <f t="shared" si="2"/>
        <v>0</v>
      </c>
      <c r="R22" s="7" t="s">
        <v>62</v>
      </c>
      <c r="S22" s="7" t="s">
        <v>31</v>
      </c>
    </row>
    <row r="23" spans="1:19">
      <c r="A23" s="4" t="s">
        <v>63</v>
      </c>
      <c r="B23" s="4">
        <v>0</v>
      </c>
      <c r="C23">
        <v>0</v>
      </c>
      <c r="D23" s="14">
        <v>0</v>
      </c>
      <c r="E23" s="4">
        <v>0</v>
      </c>
      <c r="F23">
        <v>1</v>
      </c>
      <c r="G23" s="14">
        <v>1</v>
      </c>
      <c r="H23" s="4">
        <v>0</v>
      </c>
      <c r="I23">
        <v>1</v>
      </c>
      <c r="J23" s="14">
        <v>1</v>
      </c>
      <c r="K23">
        <f t="shared" si="0"/>
        <v>-2</v>
      </c>
      <c r="L23" s="4">
        <v>0</v>
      </c>
      <c r="M23">
        <f t="shared" si="1"/>
        <v>0</v>
      </c>
      <c r="N23">
        <f t="shared" si="2"/>
        <v>0</v>
      </c>
      <c r="R23" s="7" t="s">
        <v>64</v>
      </c>
      <c r="S23" s="7" t="s">
        <v>16</v>
      </c>
    </row>
    <row r="24" spans="1:19">
      <c r="A24" s="4" t="s">
        <v>65</v>
      </c>
      <c r="B24" s="4">
        <v>0</v>
      </c>
      <c r="C24">
        <v>1</v>
      </c>
      <c r="D24" s="14">
        <v>1</v>
      </c>
      <c r="E24" s="4">
        <v>0</v>
      </c>
      <c r="F24">
        <v>1</v>
      </c>
      <c r="G24" s="14">
        <v>1</v>
      </c>
      <c r="H24" s="4">
        <v>0</v>
      </c>
      <c r="I24">
        <v>0</v>
      </c>
      <c r="J24" s="14">
        <v>0</v>
      </c>
      <c r="K24">
        <f t="shared" si="0"/>
        <v>0</v>
      </c>
      <c r="L24" s="4">
        <v>0</v>
      </c>
      <c r="M24">
        <f t="shared" si="1"/>
        <v>1</v>
      </c>
      <c r="N24">
        <f t="shared" si="2"/>
        <v>1</v>
      </c>
      <c r="R24" s="7" t="s">
        <v>66</v>
      </c>
      <c r="S24" s="7" t="s">
        <v>19</v>
      </c>
    </row>
    <row r="25" spans="1:19">
      <c r="A25" s="4" t="s">
        <v>67</v>
      </c>
      <c r="B25" s="4">
        <v>0</v>
      </c>
      <c r="C25">
        <v>0</v>
      </c>
      <c r="D25" s="14">
        <v>0</v>
      </c>
      <c r="E25" s="4">
        <v>0</v>
      </c>
      <c r="F25">
        <v>0</v>
      </c>
      <c r="G25" s="14">
        <v>0</v>
      </c>
      <c r="H25" s="4">
        <v>0</v>
      </c>
      <c r="I25">
        <v>0</v>
      </c>
      <c r="J25" s="14">
        <v>0</v>
      </c>
      <c r="K25">
        <f t="shared" si="0"/>
        <v>0</v>
      </c>
      <c r="L25" s="4">
        <v>0</v>
      </c>
      <c r="M25">
        <f t="shared" si="1"/>
        <v>1</v>
      </c>
      <c r="N25">
        <f t="shared" si="2"/>
        <v>1</v>
      </c>
      <c r="R25" s="7" t="s">
        <v>68</v>
      </c>
      <c r="S25" s="7" t="s">
        <v>22</v>
      </c>
    </row>
    <row r="26" spans="1:19">
      <c r="A26" s="4" t="s">
        <v>69</v>
      </c>
      <c r="B26" s="4">
        <v>1</v>
      </c>
      <c r="C26">
        <v>0</v>
      </c>
      <c r="D26" s="14">
        <v>1</v>
      </c>
      <c r="E26" s="4">
        <v>1</v>
      </c>
      <c r="F26">
        <v>0</v>
      </c>
      <c r="G26" s="14">
        <v>1</v>
      </c>
      <c r="H26" s="4">
        <v>1</v>
      </c>
      <c r="I26">
        <v>1</v>
      </c>
      <c r="J26" s="14">
        <v>2</v>
      </c>
      <c r="K26">
        <f t="shared" si="0"/>
        <v>-1</v>
      </c>
      <c r="L26" s="4">
        <v>1</v>
      </c>
      <c r="M26">
        <f t="shared" si="1"/>
        <v>0</v>
      </c>
      <c r="N26">
        <f t="shared" si="2"/>
        <v>1</v>
      </c>
      <c r="R26" s="7" t="s">
        <v>70</v>
      </c>
      <c r="S26" s="7" t="s">
        <v>25</v>
      </c>
    </row>
    <row r="27" spans="1:19">
      <c r="A27" s="4" t="s">
        <v>71</v>
      </c>
      <c r="B27" s="4">
        <v>0</v>
      </c>
      <c r="C27">
        <v>0</v>
      </c>
      <c r="D27" s="14">
        <v>0</v>
      </c>
      <c r="E27" s="4">
        <v>0</v>
      </c>
      <c r="F27">
        <v>1</v>
      </c>
      <c r="G27" s="14">
        <v>1</v>
      </c>
      <c r="H27" s="4">
        <v>0</v>
      </c>
      <c r="I27">
        <v>0</v>
      </c>
      <c r="J27" s="14">
        <v>0</v>
      </c>
      <c r="K27">
        <f t="shared" si="0"/>
        <v>-1</v>
      </c>
      <c r="L27" s="4">
        <v>0</v>
      </c>
      <c r="M27">
        <f t="shared" si="1"/>
        <v>0</v>
      </c>
      <c r="N27">
        <f t="shared" si="2"/>
        <v>0</v>
      </c>
      <c r="R27" s="7" t="s">
        <v>72</v>
      </c>
      <c r="S27" s="7" t="s">
        <v>28</v>
      </c>
    </row>
    <row r="28" spans="1:19">
      <c r="A28" s="4" t="s">
        <v>73</v>
      </c>
      <c r="B28" s="4">
        <v>0</v>
      </c>
      <c r="C28">
        <v>0</v>
      </c>
      <c r="D28" s="14">
        <v>0</v>
      </c>
      <c r="E28" s="4">
        <v>0</v>
      </c>
      <c r="F28">
        <v>1</v>
      </c>
      <c r="G28" s="14">
        <v>1</v>
      </c>
      <c r="H28" s="4">
        <v>0</v>
      </c>
      <c r="I28">
        <v>1</v>
      </c>
      <c r="J28" s="14">
        <v>1</v>
      </c>
      <c r="K28">
        <f t="shared" si="0"/>
        <v>-2</v>
      </c>
      <c r="L28" s="4">
        <v>0</v>
      </c>
      <c r="M28">
        <f t="shared" si="1"/>
        <v>0</v>
      </c>
      <c r="N28">
        <f t="shared" si="2"/>
        <v>0</v>
      </c>
      <c r="R28" s="7" t="s">
        <v>74</v>
      </c>
      <c r="S28" s="7" t="s">
        <v>19</v>
      </c>
    </row>
    <row r="29" spans="1:19">
      <c r="A29" s="4" t="s">
        <v>75</v>
      </c>
      <c r="B29" s="4">
        <v>0</v>
      </c>
      <c r="C29">
        <v>1</v>
      </c>
      <c r="D29" s="14">
        <v>1</v>
      </c>
      <c r="E29" s="4">
        <v>0</v>
      </c>
      <c r="F29">
        <v>1</v>
      </c>
      <c r="G29" s="14">
        <v>1</v>
      </c>
      <c r="H29" s="4">
        <v>0</v>
      </c>
      <c r="I29">
        <v>1</v>
      </c>
      <c r="J29" s="14">
        <v>1</v>
      </c>
      <c r="K29">
        <f t="shared" si="0"/>
        <v>-1</v>
      </c>
      <c r="L29" s="4">
        <v>0</v>
      </c>
      <c r="M29">
        <f t="shared" si="1"/>
        <v>0</v>
      </c>
      <c r="N29">
        <f t="shared" si="2"/>
        <v>0</v>
      </c>
      <c r="R29" s="7" t="s">
        <v>76</v>
      </c>
      <c r="S29" s="7" t="s">
        <v>34</v>
      </c>
    </row>
    <row r="30" spans="1:19">
      <c r="A30" s="4" t="s">
        <v>77</v>
      </c>
      <c r="B30" s="4">
        <v>0</v>
      </c>
      <c r="C30">
        <v>0</v>
      </c>
      <c r="D30" s="14">
        <v>0</v>
      </c>
      <c r="E30" s="4">
        <v>0</v>
      </c>
      <c r="F30">
        <v>0</v>
      </c>
      <c r="G30" s="14">
        <v>0</v>
      </c>
      <c r="H30" s="4">
        <v>0</v>
      </c>
      <c r="I30">
        <v>1</v>
      </c>
      <c r="J30" s="14">
        <v>1</v>
      </c>
      <c r="K30">
        <f t="shared" si="0"/>
        <v>-1</v>
      </c>
      <c r="L30" s="4">
        <v>0</v>
      </c>
      <c r="M30">
        <f t="shared" si="1"/>
        <v>0</v>
      </c>
      <c r="N30">
        <f t="shared" si="2"/>
        <v>0</v>
      </c>
      <c r="R30" s="7" t="s">
        <v>78</v>
      </c>
      <c r="S30" s="7" t="s">
        <v>37</v>
      </c>
    </row>
    <row r="31" spans="1:19">
      <c r="A31" s="4" t="s">
        <v>79</v>
      </c>
      <c r="B31" s="4">
        <v>1</v>
      </c>
      <c r="C31">
        <v>1</v>
      </c>
      <c r="D31" s="14">
        <v>2</v>
      </c>
      <c r="E31" s="4">
        <v>1</v>
      </c>
      <c r="F31">
        <v>1</v>
      </c>
      <c r="G31" s="14">
        <v>2</v>
      </c>
      <c r="H31" s="4">
        <v>1</v>
      </c>
      <c r="I31">
        <v>0</v>
      </c>
      <c r="J31" s="14">
        <v>1</v>
      </c>
      <c r="K31">
        <f t="shared" si="0"/>
        <v>0</v>
      </c>
      <c r="L31" s="4">
        <v>1</v>
      </c>
      <c r="M31">
        <f t="shared" si="1"/>
        <v>1</v>
      </c>
      <c r="N31">
        <f t="shared" si="2"/>
        <v>2</v>
      </c>
      <c r="R31" s="7" t="s">
        <v>80</v>
      </c>
      <c r="S31" s="7" t="s">
        <v>40</v>
      </c>
    </row>
    <row r="32" spans="1:19">
      <c r="A32" s="4" t="s">
        <v>81</v>
      </c>
      <c r="B32" s="4">
        <v>0</v>
      </c>
      <c r="C32">
        <v>1</v>
      </c>
      <c r="D32" s="14">
        <v>1</v>
      </c>
      <c r="E32" s="4">
        <v>0</v>
      </c>
      <c r="F32">
        <v>1</v>
      </c>
      <c r="G32" s="14">
        <v>1</v>
      </c>
      <c r="H32" s="4">
        <v>0</v>
      </c>
      <c r="I32">
        <v>1</v>
      </c>
      <c r="J32" s="14">
        <v>1</v>
      </c>
      <c r="K32">
        <f t="shared" si="0"/>
        <v>-1</v>
      </c>
      <c r="L32" s="4">
        <v>0</v>
      </c>
      <c r="M32">
        <f t="shared" si="1"/>
        <v>0</v>
      </c>
      <c r="N32">
        <f t="shared" si="2"/>
        <v>0</v>
      </c>
      <c r="R32" s="7" t="s">
        <v>82</v>
      </c>
      <c r="S32" s="7" t="s">
        <v>31</v>
      </c>
    </row>
    <row r="33" spans="1:19">
      <c r="A33" s="4" t="s">
        <v>83</v>
      </c>
      <c r="B33" s="4">
        <v>0</v>
      </c>
      <c r="C33">
        <v>0</v>
      </c>
      <c r="D33" s="14">
        <v>0</v>
      </c>
      <c r="E33" s="4">
        <v>0</v>
      </c>
      <c r="F33">
        <v>1</v>
      </c>
      <c r="G33" s="14">
        <v>1</v>
      </c>
      <c r="H33" s="4">
        <v>0</v>
      </c>
      <c r="I33">
        <v>0</v>
      </c>
      <c r="J33" s="14">
        <v>0</v>
      </c>
      <c r="K33">
        <f t="shared" si="0"/>
        <v>-1</v>
      </c>
      <c r="L33" s="4">
        <v>0</v>
      </c>
      <c r="M33">
        <f t="shared" si="1"/>
        <v>0</v>
      </c>
      <c r="N33">
        <f t="shared" si="2"/>
        <v>0</v>
      </c>
      <c r="R33" s="7" t="s">
        <v>84</v>
      </c>
      <c r="S33" s="7" t="s">
        <v>16</v>
      </c>
    </row>
    <row r="34" spans="1:19">
      <c r="A34" s="4" t="s">
        <v>85</v>
      </c>
      <c r="B34" s="4">
        <v>0</v>
      </c>
      <c r="C34">
        <v>0</v>
      </c>
      <c r="D34" s="14">
        <v>0</v>
      </c>
      <c r="E34" s="4">
        <v>0</v>
      </c>
      <c r="F34">
        <v>0</v>
      </c>
      <c r="G34" s="14">
        <v>0</v>
      </c>
      <c r="H34" s="4">
        <v>0</v>
      </c>
      <c r="I34">
        <v>1</v>
      </c>
      <c r="J34" s="14">
        <v>1</v>
      </c>
      <c r="K34">
        <f t="shared" si="0"/>
        <v>-1</v>
      </c>
      <c r="L34" s="4">
        <v>0</v>
      </c>
      <c r="M34">
        <f t="shared" si="1"/>
        <v>0</v>
      </c>
      <c r="N34">
        <f t="shared" si="2"/>
        <v>0</v>
      </c>
      <c r="R34" s="7" t="s">
        <v>86</v>
      </c>
      <c r="S34" s="7" t="s">
        <v>19</v>
      </c>
    </row>
    <row r="35" spans="1:19">
      <c r="A35" s="4" t="s">
        <v>87</v>
      </c>
      <c r="B35" s="4">
        <v>0</v>
      </c>
      <c r="C35">
        <v>0</v>
      </c>
      <c r="D35" s="14">
        <v>0</v>
      </c>
      <c r="E35" s="4">
        <v>0</v>
      </c>
      <c r="F35">
        <v>0</v>
      </c>
      <c r="G35" s="14">
        <v>0</v>
      </c>
      <c r="H35" s="4">
        <v>0</v>
      </c>
      <c r="I35">
        <v>0</v>
      </c>
      <c r="J35" s="14">
        <v>0</v>
      </c>
      <c r="K35">
        <f t="shared" si="0"/>
        <v>0</v>
      </c>
      <c r="L35" s="4">
        <v>0</v>
      </c>
      <c r="M35">
        <f t="shared" si="1"/>
        <v>1</v>
      </c>
      <c r="N35">
        <f t="shared" si="2"/>
        <v>1</v>
      </c>
      <c r="R35" s="7" t="s">
        <v>88</v>
      </c>
      <c r="S35" s="7" t="s">
        <v>22</v>
      </c>
    </row>
    <row r="36" spans="1:19">
      <c r="A36" s="4" t="s">
        <v>89</v>
      </c>
      <c r="B36" s="4">
        <v>0</v>
      </c>
      <c r="C36">
        <v>0</v>
      </c>
      <c r="D36" s="14">
        <v>0</v>
      </c>
      <c r="E36" s="4">
        <v>0</v>
      </c>
      <c r="F36">
        <v>1</v>
      </c>
      <c r="G36" s="14">
        <v>1</v>
      </c>
      <c r="H36" s="4">
        <v>0</v>
      </c>
      <c r="I36">
        <v>0</v>
      </c>
      <c r="J36" s="14">
        <v>0</v>
      </c>
      <c r="K36">
        <f t="shared" si="0"/>
        <v>-1</v>
      </c>
      <c r="L36" s="4">
        <v>0</v>
      </c>
      <c r="M36">
        <f t="shared" si="1"/>
        <v>0</v>
      </c>
      <c r="N36">
        <f t="shared" si="2"/>
        <v>0</v>
      </c>
      <c r="R36" s="7" t="s">
        <v>90</v>
      </c>
      <c r="S36" s="7" t="s">
        <v>25</v>
      </c>
    </row>
    <row r="37" spans="1:19">
      <c r="A37" s="4" t="s">
        <v>91</v>
      </c>
      <c r="B37" s="4">
        <v>1</v>
      </c>
      <c r="C37">
        <v>1</v>
      </c>
      <c r="D37" s="14">
        <v>2</v>
      </c>
      <c r="E37" s="4">
        <v>1</v>
      </c>
      <c r="F37">
        <v>1</v>
      </c>
      <c r="G37" s="14">
        <v>2</v>
      </c>
      <c r="H37" s="4">
        <v>1</v>
      </c>
      <c r="I37">
        <v>1</v>
      </c>
      <c r="J37" s="14">
        <v>2</v>
      </c>
      <c r="K37">
        <f t="shared" si="0"/>
        <v>-1</v>
      </c>
      <c r="L37" s="4">
        <v>1</v>
      </c>
      <c r="M37">
        <f t="shared" si="1"/>
        <v>0</v>
      </c>
      <c r="N37">
        <f t="shared" si="2"/>
        <v>1</v>
      </c>
      <c r="R37" s="7" t="s">
        <v>92</v>
      </c>
      <c r="S37" s="7" t="s">
        <v>28</v>
      </c>
    </row>
    <row r="38" spans="1:19">
      <c r="A38" s="4" t="s">
        <v>93</v>
      </c>
      <c r="B38" s="4">
        <v>0</v>
      </c>
      <c r="C38">
        <v>0</v>
      </c>
      <c r="D38" s="14">
        <v>0</v>
      </c>
      <c r="E38" s="4">
        <v>0</v>
      </c>
      <c r="F38">
        <v>0</v>
      </c>
      <c r="G38" s="14">
        <v>0</v>
      </c>
      <c r="H38" s="4">
        <v>0</v>
      </c>
      <c r="I38">
        <v>0</v>
      </c>
      <c r="J38" s="14">
        <v>0</v>
      </c>
      <c r="K38">
        <f t="shared" si="0"/>
        <v>0</v>
      </c>
      <c r="L38" s="4">
        <v>0</v>
      </c>
      <c r="M38">
        <f t="shared" si="1"/>
        <v>1</v>
      </c>
      <c r="N38">
        <f t="shared" si="2"/>
        <v>1</v>
      </c>
      <c r="R38" s="7" t="s">
        <v>94</v>
      </c>
      <c r="S38" s="7" t="s">
        <v>22</v>
      </c>
    </row>
    <row r="39" spans="1:19">
      <c r="A39" s="4" t="s">
        <v>95</v>
      </c>
      <c r="B39" s="4">
        <v>0</v>
      </c>
      <c r="C39">
        <v>1</v>
      </c>
      <c r="D39" s="14">
        <v>1</v>
      </c>
      <c r="E39" s="4">
        <v>0</v>
      </c>
      <c r="F39">
        <v>1</v>
      </c>
      <c r="G39" s="14">
        <v>1</v>
      </c>
      <c r="H39" s="4">
        <v>0</v>
      </c>
      <c r="I39">
        <v>1</v>
      </c>
      <c r="J39" s="14">
        <v>1</v>
      </c>
      <c r="K39">
        <f t="shared" si="0"/>
        <v>-1</v>
      </c>
      <c r="L39" s="4">
        <v>0</v>
      </c>
      <c r="M39">
        <f t="shared" si="1"/>
        <v>0</v>
      </c>
      <c r="N39">
        <f t="shared" si="2"/>
        <v>0</v>
      </c>
      <c r="R39" s="7" t="s">
        <v>96</v>
      </c>
      <c r="S39" s="7" t="s">
        <v>34</v>
      </c>
    </row>
    <row r="40" spans="1:19">
      <c r="A40" s="4" t="s">
        <v>97</v>
      </c>
      <c r="B40" s="4">
        <v>1</v>
      </c>
      <c r="C40">
        <v>1</v>
      </c>
      <c r="D40" s="14">
        <v>2</v>
      </c>
      <c r="E40" s="4">
        <v>1</v>
      </c>
      <c r="F40">
        <v>0</v>
      </c>
      <c r="G40" s="14">
        <v>1</v>
      </c>
      <c r="H40" s="4">
        <v>1</v>
      </c>
      <c r="I40">
        <v>0</v>
      </c>
      <c r="J40" s="14">
        <v>1</v>
      </c>
      <c r="K40">
        <f t="shared" si="0"/>
        <v>1</v>
      </c>
      <c r="L40" s="4">
        <v>1</v>
      </c>
      <c r="M40">
        <f t="shared" si="1"/>
        <v>1</v>
      </c>
      <c r="N40">
        <f t="shared" si="2"/>
        <v>2</v>
      </c>
      <c r="R40" s="7" t="s">
        <v>98</v>
      </c>
      <c r="S40" s="7" t="s">
        <v>37</v>
      </c>
    </row>
    <row r="41" spans="1:19">
      <c r="A41" s="4" t="s">
        <v>99</v>
      </c>
      <c r="B41" s="4">
        <v>1</v>
      </c>
      <c r="C41">
        <v>0</v>
      </c>
      <c r="D41" s="14">
        <v>1</v>
      </c>
      <c r="E41" s="4">
        <v>1</v>
      </c>
      <c r="F41">
        <v>1</v>
      </c>
      <c r="G41" s="14">
        <v>2</v>
      </c>
      <c r="H41" s="4">
        <v>1</v>
      </c>
      <c r="I41">
        <v>0</v>
      </c>
      <c r="J41" s="14">
        <v>1</v>
      </c>
      <c r="K41">
        <f t="shared" si="0"/>
        <v>-1</v>
      </c>
      <c r="L41" s="4">
        <v>1</v>
      </c>
      <c r="M41">
        <f t="shared" si="1"/>
        <v>0</v>
      </c>
      <c r="N41">
        <f t="shared" si="2"/>
        <v>1</v>
      </c>
      <c r="R41" s="7" t="s">
        <v>100</v>
      </c>
      <c r="S41" s="7" t="s">
        <v>40</v>
      </c>
    </row>
    <row r="42" spans="1:19">
      <c r="A42" s="4" t="s">
        <v>101</v>
      </c>
      <c r="B42" s="4">
        <v>0</v>
      </c>
      <c r="C42">
        <v>0</v>
      </c>
      <c r="D42" s="14">
        <v>0</v>
      </c>
      <c r="E42" s="4">
        <v>0</v>
      </c>
      <c r="F42">
        <v>0</v>
      </c>
      <c r="G42" s="14">
        <v>0</v>
      </c>
      <c r="H42" s="4">
        <v>0</v>
      </c>
      <c r="I42">
        <v>1</v>
      </c>
      <c r="J42" s="14">
        <v>1</v>
      </c>
      <c r="K42">
        <f t="shared" si="0"/>
        <v>-1</v>
      </c>
      <c r="L42" s="4">
        <v>0</v>
      </c>
      <c r="M42">
        <f t="shared" si="1"/>
        <v>0</v>
      </c>
      <c r="N42">
        <f t="shared" si="2"/>
        <v>0</v>
      </c>
      <c r="R42" s="7" t="s">
        <v>102</v>
      </c>
      <c r="S42" s="7" t="s">
        <v>31</v>
      </c>
    </row>
    <row r="43" spans="1:19">
      <c r="A43" s="4" t="s">
        <v>103</v>
      </c>
      <c r="B43" s="4">
        <v>1</v>
      </c>
      <c r="C43">
        <v>0</v>
      </c>
      <c r="D43" s="14">
        <v>1</v>
      </c>
      <c r="E43" s="4">
        <v>1</v>
      </c>
      <c r="F43">
        <v>1</v>
      </c>
      <c r="G43" s="14">
        <v>2</v>
      </c>
      <c r="H43" s="4">
        <v>1</v>
      </c>
      <c r="I43">
        <v>0</v>
      </c>
      <c r="J43" s="14">
        <v>1</v>
      </c>
      <c r="K43">
        <f t="shared" si="0"/>
        <v>-1</v>
      </c>
      <c r="L43" s="4">
        <v>1</v>
      </c>
      <c r="M43">
        <f t="shared" si="1"/>
        <v>0</v>
      </c>
      <c r="N43">
        <f t="shared" si="2"/>
        <v>1</v>
      </c>
      <c r="R43" s="7" t="s">
        <v>104</v>
      </c>
      <c r="S43" s="7" t="s">
        <v>16</v>
      </c>
    </row>
    <row r="44" spans="1:19">
      <c r="A44" s="4" t="s">
        <v>105</v>
      </c>
      <c r="B44" s="4">
        <v>1</v>
      </c>
      <c r="C44">
        <v>0</v>
      </c>
      <c r="D44" s="14">
        <v>1</v>
      </c>
      <c r="E44" s="4">
        <v>1</v>
      </c>
      <c r="F44">
        <v>0</v>
      </c>
      <c r="G44" s="14">
        <v>1</v>
      </c>
      <c r="H44" s="4">
        <v>1</v>
      </c>
      <c r="I44">
        <v>0</v>
      </c>
      <c r="J44" s="14">
        <v>1</v>
      </c>
      <c r="K44">
        <f t="shared" si="0"/>
        <v>0</v>
      </c>
      <c r="L44" s="4">
        <v>1</v>
      </c>
      <c r="M44">
        <f t="shared" si="1"/>
        <v>1</v>
      </c>
      <c r="N44">
        <f t="shared" si="2"/>
        <v>2</v>
      </c>
      <c r="R44" s="7" t="s">
        <v>106</v>
      </c>
      <c r="S44" s="7" t="s">
        <v>19</v>
      </c>
    </row>
    <row r="45" spans="1:19">
      <c r="A45" s="4" t="s">
        <v>107</v>
      </c>
      <c r="B45" s="4">
        <v>1</v>
      </c>
      <c r="C45">
        <v>1</v>
      </c>
      <c r="D45" s="14">
        <v>2</v>
      </c>
      <c r="E45" s="4">
        <v>1</v>
      </c>
      <c r="F45">
        <v>0</v>
      </c>
      <c r="G45" s="14">
        <v>1</v>
      </c>
      <c r="H45" s="4">
        <v>1</v>
      </c>
      <c r="I45">
        <v>0</v>
      </c>
      <c r="J45" s="14">
        <v>1</v>
      </c>
      <c r="K45">
        <f t="shared" si="0"/>
        <v>1</v>
      </c>
      <c r="L45" s="4">
        <v>1</v>
      </c>
      <c r="M45">
        <f t="shared" si="1"/>
        <v>1</v>
      </c>
      <c r="N45">
        <f t="shared" si="2"/>
        <v>2</v>
      </c>
      <c r="R45" s="7" t="s">
        <v>108</v>
      </c>
      <c r="S45" s="7" t="s">
        <v>22</v>
      </c>
    </row>
    <row r="46" spans="1:19">
      <c r="A46" s="4" t="s">
        <v>109</v>
      </c>
      <c r="B46" s="4">
        <v>1</v>
      </c>
      <c r="C46">
        <v>1</v>
      </c>
      <c r="D46" s="14">
        <v>2</v>
      </c>
      <c r="E46" s="4">
        <v>1</v>
      </c>
      <c r="F46">
        <v>0</v>
      </c>
      <c r="G46" s="14">
        <v>1</v>
      </c>
      <c r="H46" s="4">
        <v>1</v>
      </c>
      <c r="I46">
        <v>0</v>
      </c>
      <c r="J46" s="14">
        <v>1</v>
      </c>
      <c r="K46">
        <f t="shared" si="0"/>
        <v>1</v>
      </c>
      <c r="L46" s="4">
        <v>1</v>
      </c>
      <c r="M46">
        <f t="shared" si="1"/>
        <v>1</v>
      </c>
      <c r="N46">
        <f t="shared" si="2"/>
        <v>2</v>
      </c>
      <c r="R46" s="7" t="s">
        <v>110</v>
      </c>
      <c r="S46" s="7" t="s">
        <v>25</v>
      </c>
    </row>
    <row r="47" spans="1:19">
      <c r="A47" s="4" t="s">
        <v>111</v>
      </c>
      <c r="B47" s="4">
        <v>1</v>
      </c>
      <c r="C47">
        <v>0</v>
      </c>
      <c r="D47" s="14">
        <v>1</v>
      </c>
      <c r="E47" s="4">
        <v>1</v>
      </c>
      <c r="F47">
        <v>1</v>
      </c>
      <c r="G47" s="14">
        <v>2</v>
      </c>
      <c r="H47" s="4">
        <v>1</v>
      </c>
      <c r="I47">
        <v>0</v>
      </c>
      <c r="J47" s="14">
        <v>1</v>
      </c>
      <c r="K47">
        <f t="shared" si="0"/>
        <v>-1</v>
      </c>
      <c r="L47" s="4">
        <v>1</v>
      </c>
      <c r="M47">
        <f t="shared" si="1"/>
        <v>0</v>
      </c>
      <c r="N47">
        <f t="shared" si="2"/>
        <v>1</v>
      </c>
      <c r="R47" s="7" t="s">
        <v>112</v>
      </c>
      <c r="S47" s="7" t="s">
        <v>28</v>
      </c>
    </row>
    <row r="48" spans="1:19">
      <c r="A48" s="4" t="s">
        <v>113</v>
      </c>
      <c r="B48" s="4">
        <v>1</v>
      </c>
      <c r="C48">
        <v>0</v>
      </c>
      <c r="D48" s="14">
        <v>1</v>
      </c>
      <c r="E48" s="4">
        <v>1</v>
      </c>
      <c r="F48">
        <v>1</v>
      </c>
      <c r="G48" s="14">
        <v>2</v>
      </c>
      <c r="H48" s="4">
        <v>1</v>
      </c>
      <c r="I48">
        <v>1</v>
      </c>
      <c r="J48" s="14">
        <v>2</v>
      </c>
      <c r="K48">
        <f t="shared" si="0"/>
        <v>-2</v>
      </c>
      <c r="L48" s="4">
        <v>1</v>
      </c>
      <c r="M48">
        <f t="shared" si="1"/>
        <v>0</v>
      </c>
      <c r="N48">
        <f t="shared" si="2"/>
        <v>1</v>
      </c>
      <c r="R48" s="7" t="s">
        <v>114</v>
      </c>
      <c r="S48" s="7" t="s">
        <v>25</v>
      </c>
    </row>
    <row r="49" spans="1:19">
      <c r="A49" s="4" t="s">
        <v>115</v>
      </c>
      <c r="B49" s="4">
        <v>1</v>
      </c>
      <c r="C49">
        <v>1</v>
      </c>
      <c r="D49" s="14">
        <v>2</v>
      </c>
      <c r="E49" s="4">
        <v>1</v>
      </c>
      <c r="F49">
        <v>0</v>
      </c>
      <c r="G49" s="14">
        <v>1</v>
      </c>
      <c r="H49" s="4">
        <v>1</v>
      </c>
      <c r="I49">
        <v>1</v>
      </c>
      <c r="J49" s="14">
        <v>2</v>
      </c>
      <c r="K49">
        <f t="shared" si="0"/>
        <v>0</v>
      </c>
      <c r="L49" s="4">
        <v>1</v>
      </c>
      <c r="M49">
        <f t="shared" si="1"/>
        <v>1</v>
      </c>
      <c r="N49">
        <f t="shared" si="2"/>
        <v>2</v>
      </c>
      <c r="R49" s="7" t="s">
        <v>116</v>
      </c>
      <c r="S49" s="7" t="s">
        <v>34</v>
      </c>
    </row>
    <row r="50" spans="1:19">
      <c r="A50" s="4" t="s">
        <v>117</v>
      </c>
      <c r="B50" s="4">
        <v>0</v>
      </c>
      <c r="C50">
        <v>1</v>
      </c>
      <c r="D50" s="14">
        <v>1</v>
      </c>
      <c r="E50" s="4">
        <v>0</v>
      </c>
      <c r="F50">
        <v>0</v>
      </c>
      <c r="G50" s="14">
        <v>0</v>
      </c>
      <c r="H50" s="4">
        <v>0</v>
      </c>
      <c r="I50">
        <v>0</v>
      </c>
      <c r="J50" s="14">
        <v>0</v>
      </c>
      <c r="K50">
        <f t="shared" si="0"/>
        <v>1</v>
      </c>
      <c r="L50" s="4">
        <v>0</v>
      </c>
      <c r="M50">
        <f t="shared" si="1"/>
        <v>1</v>
      </c>
      <c r="N50">
        <f t="shared" si="2"/>
        <v>1</v>
      </c>
      <c r="R50" s="7" t="s">
        <v>118</v>
      </c>
      <c r="S50" s="7" t="s">
        <v>37</v>
      </c>
    </row>
    <row r="51" spans="1:19">
      <c r="A51" s="4" t="s">
        <v>119</v>
      </c>
      <c r="B51" s="4">
        <v>0</v>
      </c>
      <c r="C51">
        <v>1</v>
      </c>
      <c r="D51" s="14">
        <v>1</v>
      </c>
      <c r="E51" s="4">
        <v>0</v>
      </c>
      <c r="F51">
        <v>0</v>
      </c>
      <c r="G51" s="14">
        <v>0</v>
      </c>
      <c r="H51" s="4">
        <v>0</v>
      </c>
      <c r="I51">
        <v>0</v>
      </c>
      <c r="J51" s="14">
        <v>0</v>
      </c>
      <c r="K51">
        <f t="shared" si="0"/>
        <v>1</v>
      </c>
      <c r="L51" s="4">
        <v>0</v>
      </c>
      <c r="M51">
        <f t="shared" si="1"/>
        <v>1</v>
      </c>
      <c r="N51">
        <f t="shared" si="2"/>
        <v>1</v>
      </c>
      <c r="R51" s="7" t="s">
        <v>120</v>
      </c>
      <c r="S51" s="7" t="s">
        <v>40</v>
      </c>
    </row>
    <row r="52" spans="1:19">
      <c r="A52" s="4" t="s">
        <v>121</v>
      </c>
      <c r="B52" s="4">
        <v>0</v>
      </c>
      <c r="C52">
        <v>0</v>
      </c>
      <c r="D52" s="14">
        <v>0</v>
      </c>
      <c r="E52" s="4">
        <v>0</v>
      </c>
      <c r="F52">
        <v>1</v>
      </c>
      <c r="G52" s="14">
        <v>1</v>
      </c>
      <c r="H52" s="4">
        <v>0</v>
      </c>
      <c r="I52">
        <v>0</v>
      </c>
      <c r="J52" s="14">
        <v>0</v>
      </c>
      <c r="K52">
        <f t="shared" si="0"/>
        <v>-1</v>
      </c>
      <c r="L52" s="4">
        <v>0</v>
      </c>
      <c r="M52">
        <f t="shared" si="1"/>
        <v>0</v>
      </c>
      <c r="N52">
        <f t="shared" si="2"/>
        <v>0</v>
      </c>
      <c r="R52" s="7" t="s">
        <v>122</v>
      </c>
      <c r="S52" s="7" t="s">
        <v>31</v>
      </c>
    </row>
    <row r="53" spans="1:19">
      <c r="A53" s="4" t="s">
        <v>123</v>
      </c>
      <c r="B53" s="4">
        <v>1</v>
      </c>
      <c r="C53">
        <v>0</v>
      </c>
      <c r="D53" s="14">
        <v>1</v>
      </c>
      <c r="E53" s="4">
        <v>1</v>
      </c>
      <c r="F53">
        <v>0</v>
      </c>
      <c r="G53" s="14">
        <v>1</v>
      </c>
      <c r="H53" s="4">
        <v>1</v>
      </c>
      <c r="I53">
        <v>1</v>
      </c>
      <c r="J53" s="14">
        <v>2</v>
      </c>
      <c r="K53">
        <f t="shared" si="0"/>
        <v>-1</v>
      </c>
      <c r="L53" s="4">
        <v>1</v>
      </c>
      <c r="M53">
        <f t="shared" si="1"/>
        <v>0</v>
      </c>
      <c r="N53">
        <f t="shared" si="2"/>
        <v>1</v>
      </c>
      <c r="R53" s="7" t="s">
        <v>124</v>
      </c>
      <c r="S53" s="7" t="s">
        <v>16</v>
      </c>
    </row>
    <row r="54" spans="1:19">
      <c r="A54" s="4" t="s">
        <v>125</v>
      </c>
      <c r="B54" s="4">
        <v>0</v>
      </c>
      <c r="C54">
        <v>1</v>
      </c>
      <c r="D54" s="14">
        <v>1</v>
      </c>
      <c r="E54" s="4">
        <v>0</v>
      </c>
      <c r="F54">
        <v>0</v>
      </c>
      <c r="G54" s="14">
        <v>0</v>
      </c>
      <c r="H54" s="4">
        <v>0</v>
      </c>
      <c r="I54">
        <v>1</v>
      </c>
      <c r="J54" s="14">
        <v>1</v>
      </c>
      <c r="K54">
        <f t="shared" si="0"/>
        <v>0</v>
      </c>
      <c r="L54" s="4">
        <v>0</v>
      </c>
      <c r="M54">
        <f t="shared" si="1"/>
        <v>1</v>
      </c>
      <c r="N54">
        <f t="shared" si="2"/>
        <v>1</v>
      </c>
      <c r="R54" s="7" t="s">
        <v>126</v>
      </c>
      <c r="S54" s="7" t="s">
        <v>19</v>
      </c>
    </row>
    <row r="55" spans="1:19">
      <c r="A55" s="4" t="s">
        <v>127</v>
      </c>
      <c r="B55" s="4">
        <v>1</v>
      </c>
      <c r="C55">
        <v>0</v>
      </c>
      <c r="D55" s="14">
        <v>1</v>
      </c>
      <c r="E55" s="4">
        <v>1</v>
      </c>
      <c r="F55">
        <v>0</v>
      </c>
      <c r="G55" s="14">
        <v>1</v>
      </c>
      <c r="H55" s="4">
        <v>1</v>
      </c>
      <c r="I55">
        <v>0</v>
      </c>
      <c r="J55" s="14">
        <v>1</v>
      </c>
      <c r="K55">
        <f t="shared" si="0"/>
        <v>0</v>
      </c>
      <c r="L55" s="4">
        <v>1</v>
      </c>
      <c r="M55">
        <f t="shared" si="1"/>
        <v>1</v>
      </c>
      <c r="N55">
        <f t="shared" si="2"/>
        <v>2</v>
      </c>
      <c r="R55" s="7" t="s">
        <v>128</v>
      </c>
      <c r="S55" s="7" t="s">
        <v>22</v>
      </c>
    </row>
    <row r="56" spans="1:19">
      <c r="A56" s="4" t="s">
        <v>129</v>
      </c>
      <c r="B56" s="4">
        <v>0</v>
      </c>
      <c r="C56">
        <v>0</v>
      </c>
      <c r="D56" s="14">
        <v>0</v>
      </c>
      <c r="E56" s="4">
        <v>0</v>
      </c>
      <c r="F56">
        <v>1</v>
      </c>
      <c r="G56" s="14">
        <v>1</v>
      </c>
      <c r="H56" s="4">
        <v>0</v>
      </c>
      <c r="I56">
        <v>0</v>
      </c>
      <c r="J56" s="14">
        <v>0</v>
      </c>
      <c r="K56">
        <f t="shared" si="0"/>
        <v>-1</v>
      </c>
      <c r="L56" s="4">
        <v>0</v>
      </c>
      <c r="M56">
        <f t="shared" si="1"/>
        <v>0</v>
      </c>
      <c r="N56">
        <f t="shared" si="2"/>
        <v>0</v>
      </c>
      <c r="R56" s="7" t="s">
        <v>130</v>
      </c>
      <c r="S56" s="7" t="s">
        <v>25</v>
      </c>
    </row>
    <row r="57" spans="1:19">
      <c r="A57" s="4" t="s">
        <v>131</v>
      </c>
      <c r="B57" s="4">
        <v>0</v>
      </c>
      <c r="C57">
        <v>1</v>
      </c>
      <c r="D57" s="14">
        <v>1</v>
      </c>
      <c r="E57" s="4">
        <v>0</v>
      </c>
      <c r="F57">
        <v>1</v>
      </c>
      <c r="G57" s="14">
        <v>1</v>
      </c>
      <c r="H57" s="4">
        <v>0</v>
      </c>
      <c r="I57">
        <v>1</v>
      </c>
      <c r="J57" s="14">
        <v>1</v>
      </c>
      <c r="K57">
        <f t="shared" si="0"/>
        <v>-1</v>
      </c>
      <c r="L57" s="4">
        <v>0</v>
      </c>
      <c r="M57">
        <f t="shared" si="1"/>
        <v>0</v>
      </c>
      <c r="N57">
        <f t="shared" si="2"/>
        <v>0</v>
      </c>
      <c r="R57" s="7" t="s">
        <v>132</v>
      </c>
      <c r="S57" s="7" t="s">
        <v>28</v>
      </c>
    </row>
    <row r="58" spans="1:19">
      <c r="A58" s="4" t="s">
        <v>133</v>
      </c>
      <c r="B58" s="4">
        <v>0</v>
      </c>
      <c r="C58">
        <v>0</v>
      </c>
      <c r="D58" s="14">
        <v>0</v>
      </c>
      <c r="E58" s="4">
        <v>0</v>
      </c>
      <c r="F58">
        <v>0</v>
      </c>
      <c r="G58" s="14">
        <v>0</v>
      </c>
      <c r="H58" s="4">
        <v>0</v>
      </c>
      <c r="I58">
        <v>1</v>
      </c>
      <c r="J58" s="14">
        <v>1</v>
      </c>
      <c r="K58">
        <f t="shared" si="0"/>
        <v>-1</v>
      </c>
      <c r="L58" s="4">
        <v>0</v>
      </c>
      <c r="M58">
        <f t="shared" si="1"/>
        <v>0</v>
      </c>
      <c r="N58">
        <f t="shared" si="2"/>
        <v>0</v>
      </c>
      <c r="R58" s="7" t="s">
        <v>134</v>
      </c>
      <c r="S58" s="7" t="s">
        <v>28</v>
      </c>
    </row>
    <row r="59" spans="1:19">
      <c r="A59" s="4" t="s">
        <v>135</v>
      </c>
      <c r="B59" s="4">
        <v>0</v>
      </c>
      <c r="C59">
        <v>0</v>
      </c>
      <c r="D59" s="14">
        <v>0</v>
      </c>
      <c r="E59" s="4">
        <v>0</v>
      </c>
      <c r="F59">
        <v>0</v>
      </c>
      <c r="G59" s="14">
        <v>0</v>
      </c>
      <c r="H59" s="4">
        <v>0</v>
      </c>
      <c r="I59">
        <v>1</v>
      </c>
      <c r="J59" s="14">
        <v>1</v>
      </c>
      <c r="K59">
        <f t="shared" si="0"/>
        <v>-1</v>
      </c>
      <c r="L59" s="4">
        <v>0</v>
      </c>
      <c r="M59">
        <f t="shared" si="1"/>
        <v>0</v>
      </c>
      <c r="N59">
        <f t="shared" si="2"/>
        <v>0</v>
      </c>
      <c r="R59" s="7" t="s">
        <v>136</v>
      </c>
      <c r="S59" s="7" t="s">
        <v>34</v>
      </c>
    </row>
    <row r="60" spans="1:19">
      <c r="A60" s="4" t="s">
        <v>137</v>
      </c>
      <c r="B60" s="4">
        <v>0</v>
      </c>
      <c r="C60">
        <v>1</v>
      </c>
      <c r="D60" s="14">
        <v>1</v>
      </c>
      <c r="E60" s="4">
        <v>0</v>
      </c>
      <c r="F60">
        <v>0</v>
      </c>
      <c r="G60" s="14">
        <v>0</v>
      </c>
      <c r="H60" s="4">
        <v>0</v>
      </c>
      <c r="I60">
        <v>0</v>
      </c>
      <c r="J60" s="14">
        <v>0</v>
      </c>
      <c r="K60">
        <f t="shared" si="0"/>
        <v>1</v>
      </c>
      <c r="L60" s="4">
        <v>0</v>
      </c>
      <c r="M60">
        <f t="shared" si="1"/>
        <v>1</v>
      </c>
      <c r="N60">
        <f t="shared" si="2"/>
        <v>1</v>
      </c>
      <c r="R60" s="7" t="s">
        <v>138</v>
      </c>
      <c r="S60" s="7" t="s">
        <v>37</v>
      </c>
    </row>
    <row r="61" spans="1:19">
      <c r="A61" s="4" t="s">
        <v>139</v>
      </c>
      <c r="B61" s="4">
        <v>1</v>
      </c>
      <c r="C61">
        <v>0</v>
      </c>
      <c r="D61" s="14">
        <v>1</v>
      </c>
      <c r="E61" s="4">
        <v>1</v>
      </c>
      <c r="F61">
        <v>1</v>
      </c>
      <c r="G61" s="14">
        <v>2</v>
      </c>
      <c r="H61" s="4">
        <v>1</v>
      </c>
      <c r="I61">
        <v>1</v>
      </c>
      <c r="J61" s="14">
        <v>2</v>
      </c>
      <c r="K61">
        <f t="shared" si="0"/>
        <v>-2</v>
      </c>
      <c r="L61" s="4">
        <v>1</v>
      </c>
      <c r="M61">
        <f t="shared" si="1"/>
        <v>0</v>
      </c>
      <c r="N61">
        <f t="shared" si="2"/>
        <v>1</v>
      </c>
      <c r="R61" s="7" t="s">
        <v>140</v>
      </c>
      <c r="S61" s="7" t="s">
        <v>40</v>
      </c>
    </row>
    <row r="62" spans="1:19">
      <c r="A62" s="4" t="s">
        <v>141</v>
      </c>
      <c r="B62" s="4">
        <v>0</v>
      </c>
      <c r="C62">
        <v>1</v>
      </c>
      <c r="D62" s="14">
        <v>1</v>
      </c>
      <c r="E62" s="4">
        <v>0</v>
      </c>
      <c r="F62">
        <v>1</v>
      </c>
      <c r="G62" s="14">
        <v>1</v>
      </c>
      <c r="H62" s="4">
        <v>0</v>
      </c>
      <c r="I62">
        <v>1</v>
      </c>
      <c r="J62" s="14">
        <v>1</v>
      </c>
      <c r="K62">
        <f t="shared" si="0"/>
        <v>-1</v>
      </c>
      <c r="L62" s="4">
        <v>0</v>
      </c>
      <c r="M62">
        <f t="shared" si="1"/>
        <v>0</v>
      </c>
      <c r="N62">
        <f t="shared" si="2"/>
        <v>0</v>
      </c>
      <c r="R62" s="7" t="s">
        <v>142</v>
      </c>
      <c r="S62" s="7" t="s">
        <v>31</v>
      </c>
    </row>
    <row r="63" spans="1:19">
      <c r="A63" s="4" t="s">
        <v>143</v>
      </c>
      <c r="B63" s="4">
        <v>0</v>
      </c>
      <c r="C63">
        <v>0</v>
      </c>
      <c r="D63" s="14">
        <v>0</v>
      </c>
      <c r="E63" s="4">
        <v>0</v>
      </c>
      <c r="F63">
        <v>1</v>
      </c>
      <c r="G63" s="14">
        <v>1</v>
      </c>
      <c r="H63" s="4">
        <v>0</v>
      </c>
      <c r="I63">
        <v>0</v>
      </c>
      <c r="J63" s="14">
        <v>0</v>
      </c>
      <c r="K63">
        <f t="shared" si="0"/>
        <v>-1</v>
      </c>
      <c r="L63" s="4">
        <v>0</v>
      </c>
      <c r="M63">
        <f t="shared" si="1"/>
        <v>0</v>
      </c>
      <c r="N63">
        <f t="shared" si="2"/>
        <v>0</v>
      </c>
      <c r="R63" s="7" t="s">
        <v>144</v>
      </c>
      <c r="S63" s="7" t="s">
        <v>16</v>
      </c>
    </row>
    <row r="64" spans="1:19">
      <c r="A64" s="4" t="s">
        <v>145</v>
      </c>
      <c r="B64" s="4">
        <v>0</v>
      </c>
      <c r="C64">
        <v>1</v>
      </c>
      <c r="D64" s="14">
        <v>1</v>
      </c>
      <c r="E64" s="4">
        <v>0</v>
      </c>
      <c r="F64">
        <v>1</v>
      </c>
      <c r="G64" s="14">
        <v>1</v>
      </c>
      <c r="H64" s="4">
        <v>0</v>
      </c>
      <c r="I64">
        <v>0</v>
      </c>
      <c r="J64" s="14">
        <v>0</v>
      </c>
      <c r="K64">
        <f t="shared" si="0"/>
        <v>0</v>
      </c>
      <c r="L64" s="4">
        <v>0</v>
      </c>
      <c r="M64">
        <f t="shared" si="1"/>
        <v>1</v>
      </c>
      <c r="N64">
        <f t="shared" si="2"/>
        <v>1</v>
      </c>
      <c r="R64" s="7" t="s">
        <v>146</v>
      </c>
      <c r="S64" s="7" t="s">
        <v>19</v>
      </c>
    </row>
    <row r="65" spans="1:19">
      <c r="A65" s="4" t="s">
        <v>147</v>
      </c>
      <c r="B65" s="4">
        <v>1</v>
      </c>
      <c r="C65">
        <v>1</v>
      </c>
      <c r="D65" s="14">
        <v>2</v>
      </c>
      <c r="E65" s="4">
        <v>1</v>
      </c>
      <c r="F65">
        <v>0</v>
      </c>
      <c r="G65" s="14">
        <v>1</v>
      </c>
      <c r="H65" s="4">
        <v>1</v>
      </c>
      <c r="I65">
        <v>0</v>
      </c>
      <c r="J65" s="14">
        <v>1</v>
      </c>
      <c r="K65">
        <f t="shared" si="0"/>
        <v>1</v>
      </c>
      <c r="L65" s="4">
        <v>1</v>
      </c>
      <c r="M65">
        <f t="shared" si="1"/>
        <v>1</v>
      </c>
      <c r="N65">
        <f t="shared" si="2"/>
        <v>2</v>
      </c>
      <c r="R65" s="7" t="s">
        <v>148</v>
      </c>
      <c r="S65" s="7" t="s">
        <v>22</v>
      </c>
    </row>
    <row r="66" spans="1:19">
      <c r="A66" s="4" t="s">
        <v>149</v>
      </c>
      <c r="B66" s="4">
        <v>0</v>
      </c>
      <c r="C66">
        <v>0</v>
      </c>
      <c r="D66" s="14">
        <v>0</v>
      </c>
      <c r="E66" s="4">
        <v>0</v>
      </c>
      <c r="F66">
        <v>1</v>
      </c>
      <c r="G66" s="14">
        <v>1</v>
      </c>
      <c r="H66" s="4">
        <v>0</v>
      </c>
      <c r="I66">
        <v>1</v>
      </c>
      <c r="J66" s="14">
        <v>1</v>
      </c>
      <c r="K66">
        <f t="shared" si="0"/>
        <v>-2</v>
      </c>
      <c r="L66" s="4">
        <v>0</v>
      </c>
      <c r="M66">
        <f t="shared" si="1"/>
        <v>0</v>
      </c>
      <c r="N66">
        <f t="shared" si="2"/>
        <v>0</v>
      </c>
      <c r="R66" s="7" t="s">
        <v>150</v>
      </c>
      <c r="S66" s="7" t="s">
        <v>25</v>
      </c>
    </row>
    <row r="67" spans="1:19">
      <c r="A67" s="4" t="s">
        <v>151</v>
      </c>
      <c r="B67" s="4">
        <v>1</v>
      </c>
      <c r="C67">
        <v>0</v>
      </c>
      <c r="D67" s="14">
        <v>1</v>
      </c>
      <c r="E67" s="4">
        <v>1</v>
      </c>
      <c r="F67">
        <v>0</v>
      </c>
      <c r="G67" s="14">
        <v>1</v>
      </c>
      <c r="H67" s="4">
        <v>1</v>
      </c>
      <c r="I67">
        <v>0</v>
      </c>
      <c r="J67" s="14">
        <v>1</v>
      </c>
      <c r="K67">
        <f t="shared" si="0"/>
        <v>0</v>
      </c>
      <c r="L67" s="4">
        <v>1</v>
      </c>
      <c r="M67">
        <f t="shared" si="1"/>
        <v>1</v>
      </c>
      <c r="N67">
        <f t="shared" si="2"/>
        <v>2</v>
      </c>
      <c r="R67" s="7" t="s">
        <v>152</v>
      </c>
      <c r="S67" s="7" t="s">
        <v>28</v>
      </c>
    </row>
    <row r="68" spans="1:19">
      <c r="A68" s="4" t="s">
        <v>153</v>
      </c>
      <c r="B68" s="4">
        <v>0</v>
      </c>
      <c r="C68">
        <v>0</v>
      </c>
      <c r="D68" s="14">
        <v>0</v>
      </c>
      <c r="E68" s="4">
        <v>0</v>
      </c>
      <c r="F68">
        <v>0</v>
      </c>
      <c r="G68" s="14">
        <v>0</v>
      </c>
      <c r="H68" s="4">
        <v>0</v>
      </c>
      <c r="I68">
        <v>0</v>
      </c>
      <c r="J68" s="14">
        <v>0</v>
      </c>
      <c r="K68">
        <f t="shared" ref="K68:K131" si="3">C68-P$3*F68-Q$3*I68</f>
        <v>0</v>
      </c>
      <c r="L68" s="4">
        <v>0</v>
      </c>
      <c r="M68">
        <f t="shared" ref="M68:M131" si="4">IF(K68&lt;0,0,1)</f>
        <v>1</v>
      </c>
      <c r="N68">
        <f t="shared" ref="N68:N131" si="5">L68+M68</f>
        <v>1</v>
      </c>
      <c r="R68" s="7" t="s">
        <v>154</v>
      </c>
      <c r="S68" s="7" t="s">
        <v>31</v>
      </c>
    </row>
    <row r="69" spans="1:19">
      <c r="A69" s="4" t="s">
        <v>155</v>
      </c>
      <c r="B69" s="4">
        <v>0</v>
      </c>
      <c r="C69">
        <v>1</v>
      </c>
      <c r="D69" s="14">
        <v>1</v>
      </c>
      <c r="E69" s="4">
        <v>0</v>
      </c>
      <c r="F69">
        <v>1</v>
      </c>
      <c r="G69" s="14">
        <v>1</v>
      </c>
      <c r="H69" s="4">
        <v>0</v>
      </c>
      <c r="I69">
        <v>0</v>
      </c>
      <c r="J69" s="14">
        <v>0</v>
      </c>
      <c r="K69">
        <f t="shared" si="3"/>
        <v>0</v>
      </c>
      <c r="L69" s="4">
        <v>0</v>
      </c>
      <c r="M69">
        <f t="shared" si="4"/>
        <v>1</v>
      </c>
      <c r="N69">
        <f t="shared" si="5"/>
        <v>1</v>
      </c>
      <c r="R69" s="7" t="s">
        <v>156</v>
      </c>
      <c r="S69" s="7" t="s">
        <v>34</v>
      </c>
    </row>
    <row r="70" spans="1:19">
      <c r="A70" s="4" t="s">
        <v>157</v>
      </c>
      <c r="B70" s="4">
        <v>1</v>
      </c>
      <c r="C70">
        <v>1</v>
      </c>
      <c r="D70" s="14">
        <v>2</v>
      </c>
      <c r="E70" s="4">
        <v>1</v>
      </c>
      <c r="F70">
        <v>0</v>
      </c>
      <c r="G70" s="14">
        <v>1</v>
      </c>
      <c r="H70" s="4">
        <v>1</v>
      </c>
      <c r="I70">
        <v>0</v>
      </c>
      <c r="J70" s="14">
        <v>1</v>
      </c>
      <c r="K70">
        <f t="shared" si="3"/>
        <v>1</v>
      </c>
      <c r="L70" s="4">
        <v>1</v>
      </c>
      <c r="M70">
        <f t="shared" si="4"/>
        <v>1</v>
      </c>
      <c r="N70">
        <f t="shared" si="5"/>
        <v>2</v>
      </c>
      <c r="R70" s="7" t="s">
        <v>158</v>
      </c>
      <c r="S70" s="7" t="s">
        <v>37</v>
      </c>
    </row>
    <row r="71" spans="1:19">
      <c r="A71" s="4" t="s">
        <v>159</v>
      </c>
      <c r="B71" s="4">
        <v>0</v>
      </c>
      <c r="C71">
        <v>0</v>
      </c>
      <c r="D71" s="14">
        <v>0</v>
      </c>
      <c r="E71" s="4">
        <v>0</v>
      </c>
      <c r="F71">
        <v>1</v>
      </c>
      <c r="G71" s="14">
        <v>1</v>
      </c>
      <c r="H71" s="4">
        <v>0</v>
      </c>
      <c r="I71">
        <v>1</v>
      </c>
      <c r="J71" s="14">
        <v>1</v>
      </c>
      <c r="K71">
        <f t="shared" si="3"/>
        <v>-2</v>
      </c>
      <c r="L71" s="4">
        <v>0</v>
      </c>
      <c r="M71">
        <f t="shared" si="4"/>
        <v>0</v>
      </c>
      <c r="N71">
        <f t="shared" si="5"/>
        <v>0</v>
      </c>
      <c r="R71" s="7" t="s">
        <v>160</v>
      </c>
      <c r="S71" s="7" t="s">
        <v>40</v>
      </c>
    </row>
    <row r="72" spans="1:19">
      <c r="A72" s="4" t="s">
        <v>161</v>
      </c>
      <c r="B72" s="4">
        <v>0</v>
      </c>
      <c r="C72">
        <v>1</v>
      </c>
      <c r="D72" s="14">
        <v>1</v>
      </c>
      <c r="E72" s="4">
        <v>0</v>
      </c>
      <c r="F72">
        <v>0</v>
      </c>
      <c r="G72" s="14">
        <v>0</v>
      </c>
      <c r="H72" s="4">
        <v>0</v>
      </c>
      <c r="I72">
        <v>0</v>
      </c>
      <c r="J72" s="14">
        <v>0</v>
      </c>
      <c r="K72">
        <f t="shared" si="3"/>
        <v>1</v>
      </c>
      <c r="L72" s="4">
        <v>0</v>
      </c>
      <c r="M72">
        <f t="shared" si="4"/>
        <v>1</v>
      </c>
      <c r="N72">
        <f t="shared" si="5"/>
        <v>1</v>
      </c>
      <c r="R72" s="7" t="s">
        <v>162</v>
      </c>
      <c r="S72" s="7" t="s">
        <v>31</v>
      </c>
    </row>
    <row r="73" spans="1:19">
      <c r="A73" s="4" t="s">
        <v>163</v>
      </c>
      <c r="B73" s="4">
        <v>0</v>
      </c>
      <c r="C73">
        <v>0</v>
      </c>
      <c r="D73" s="14">
        <v>0</v>
      </c>
      <c r="E73" s="4">
        <v>0</v>
      </c>
      <c r="F73">
        <v>1</v>
      </c>
      <c r="G73" s="14">
        <v>1</v>
      </c>
      <c r="H73" s="4">
        <v>0</v>
      </c>
      <c r="I73">
        <v>0</v>
      </c>
      <c r="J73" s="14">
        <v>0</v>
      </c>
      <c r="K73">
        <f t="shared" si="3"/>
        <v>-1</v>
      </c>
      <c r="L73" s="4">
        <v>0</v>
      </c>
      <c r="M73">
        <f t="shared" si="4"/>
        <v>0</v>
      </c>
      <c r="N73">
        <f t="shared" si="5"/>
        <v>0</v>
      </c>
      <c r="R73" s="7" t="s">
        <v>164</v>
      </c>
      <c r="S73" s="7" t="s">
        <v>16</v>
      </c>
    </row>
    <row r="74" spans="1:19">
      <c r="A74" s="4" t="s">
        <v>165</v>
      </c>
      <c r="B74" s="4">
        <v>0</v>
      </c>
      <c r="C74">
        <v>0</v>
      </c>
      <c r="D74" s="14">
        <v>0</v>
      </c>
      <c r="E74" s="4">
        <v>0</v>
      </c>
      <c r="F74">
        <v>1</v>
      </c>
      <c r="G74" s="14">
        <v>1</v>
      </c>
      <c r="H74" s="4">
        <v>0</v>
      </c>
      <c r="I74">
        <v>1</v>
      </c>
      <c r="J74" s="14">
        <v>1</v>
      </c>
      <c r="K74">
        <f t="shared" si="3"/>
        <v>-2</v>
      </c>
      <c r="L74" s="4">
        <v>0</v>
      </c>
      <c r="M74">
        <f t="shared" si="4"/>
        <v>0</v>
      </c>
      <c r="N74">
        <f t="shared" si="5"/>
        <v>0</v>
      </c>
      <c r="R74" s="7" t="s">
        <v>166</v>
      </c>
      <c r="S74" s="7" t="s">
        <v>19</v>
      </c>
    </row>
    <row r="75" spans="1:19">
      <c r="A75" s="4" t="s">
        <v>167</v>
      </c>
      <c r="B75" s="4">
        <v>0</v>
      </c>
      <c r="C75">
        <v>0</v>
      </c>
      <c r="D75" s="14">
        <v>0</v>
      </c>
      <c r="E75" s="4">
        <v>0</v>
      </c>
      <c r="F75">
        <v>0</v>
      </c>
      <c r="G75" s="14">
        <v>0</v>
      </c>
      <c r="H75" s="4">
        <v>0</v>
      </c>
      <c r="I75">
        <v>0</v>
      </c>
      <c r="J75" s="14">
        <v>0</v>
      </c>
      <c r="K75">
        <f t="shared" si="3"/>
        <v>0</v>
      </c>
      <c r="L75" s="4">
        <v>0</v>
      </c>
      <c r="M75">
        <f t="shared" si="4"/>
        <v>1</v>
      </c>
      <c r="N75">
        <f t="shared" si="5"/>
        <v>1</v>
      </c>
      <c r="R75" s="7" t="s">
        <v>168</v>
      </c>
      <c r="S75" s="7" t="s">
        <v>22</v>
      </c>
    </row>
    <row r="76" spans="1:19">
      <c r="A76" s="4" t="s">
        <v>169</v>
      </c>
      <c r="B76" s="4">
        <v>0</v>
      </c>
      <c r="C76">
        <v>0</v>
      </c>
      <c r="D76" s="14">
        <v>0</v>
      </c>
      <c r="E76" s="4">
        <v>0</v>
      </c>
      <c r="F76">
        <v>0</v>
      </c>
      <c r="G76" s="14">
        <v>0</v>
      </c>
      <c r="H76" s="4">
        <v>0</v>
      </c>
      <c r="I76">
        <v>1</v>
      </c>
      <c r="J76" s="14">
        <v>1</v>
      </c>
      <c r="K76">
        <f t="shared" si="3"/>
        <v>-1</v>
      </c>
      <c r="L76" s="4">
        <v>0</v>
      </c>
      <c r="M76">
        <f t="shared" si="4"/>
        <v>0</v>
      </c>
      <c r="N76">
        <f t="shared" si="5"/>
        <v>0</v>
      </c>
      <c r="R76" s="7" t="s">
        <v>170</v>
      </c>
      <c r="S76" s="7" t="s">
        <v>25</v>
      </c>
    </row>
    <row r="77" spans="1:19">
      <c r="A77" s="4" t="s">
        <v>171</v>
      </c>
      <c r="B77" s="4">
        <v>0</v>
      </c>
      <c r="C77">
        <v>0</v>
      </c>
      <c r="D77" s="14">
        <v>0</v>
      </c>
      <c r="E77" s="4">
        <v>0</v>
      </c>
      <c r="F77">
        <v>0</v>
      </c>
      <c r="G77" s="14">
        <v>0</v>
      </c>
      <c r="H77" s="4">
        <v>0</v>
      </c>
      <c r="I77">
        <v>0</v>
      </c>
      <c r="J77" s="14">
        <v>0</v>
      </c>
      <c r="K77">
        <f t="shared" si="3"/>
        <v>0</v>
      </c>
      <c r="L77" s="4">
        <v>0</v>
      </c>
      <c r="M77">
        <f t="shared" si="4"/>
        <v>1</v>
      </c>
      <c r="N77">
        <f t="shared" si="5"/>
        <v>1</v>
      </c>
      <c r="R77" s="7" t="s">
        <v>172</v>
      </c>
      <c r="S77" s="7" t="s">
        <v>28</v>
      </c>
    </row>
    <row r="78" spans="1:19">
      <c r="A78" s="4" t="s">
        <v>173</v>
      </c>
      <c r="B78" s="4">
        <v>0</v>
      </c>
      <c r="C78">
        <v>0</v>
      </c>
      <c r="D78" s="14">
        <v>0</v>
      </c>
      <c r="E78" s="4">
        <v>0</v>
      </c>
      <c r="F78">
        <v>1</v>
      </c>
      <c r="G78" s="14">
        <v>1</v>
      </c>
      <c r="H78" s="4">
        <v>0</v>
      </c>
      <c r="I78">
        <v>0</v>
      </c>
      <c r="J78" s="14">
        <v>0</v>
      </c>
      <c r="K78">
        <f t="shared" si="3"/>
        <v>-1</v>
      </c>
      <c r="L78" s="4">
        <v>0</v>
      </c>
      <c r="M78">
        <f t="shared" si="4"/>
        <v>0</v>
      </c>
      <c r="N78">
        <f t="shared" si="5"/>
        <v>0</v>
      </c>
      <c r="R78" s="7" t="s">
        <v>174</v>
      </c>
      <c r="S78" s="7" t="s">
        <v>16</v>
      </c>
    </row>
    <row r="79" spans="1:19">
      <c r="A79" s="4" t="s">
        <v>175</v>
      </c>
      <c r="B79" s="4">
        <v>0</v>
      </c>
      <c r="C79">
        <v>1</v>
      </c>
      <c r="D79" s="14">
        <v>1</v>
      </c>
      <c r="E79" s="4">
        <v>0</v>
      </c>
      <c r="F79">
        <v>1</v>
      </c>
      <c r="G79" s="14">
        <v>1</v>
      </c>
      <c r="H79" s="4">
        <v>0</v>
      </c>
      <c r="I79">
        <v>1</v>
      </c>
      <c r="J79" s="14">
        <v>1</v>
      </c>
      <c r="K79">
        <f t="shared" si="3"/>
        <v>-1</v>
      </c>
      <c r="L79" s="4">
        <v>0</v>
      </c>
      <c r="M79">
        <f t="shared" si="4"/>
        <v>0</v>
      </c>
      <c r="N79">
        <f t="shared" si="5"/>
        <v>0</v>
      </c>
      <c r="R79" s="7" t="s">
        <v>176</v>
      </c>
      <c r="S79" s="7" t="s">
        <v>34</v>
      </c>
    </row>
    <row r="80" spans="1:19">
      <c r="A80" s="4" t="s">
        <v>177</v>
      </c>
      <c r="B80" s="4">
        <v>0</v>
      </c>
      <c r="C80">
        <v>0</v>
      </c>
      <c r="D80" s="14">
        <v>0</v>
      </c>
      <c r="E80" s="4">
        <v>0</v>
      </c>
      <c r="F80">
        <v>0</v>
      </c>
      <c r="G80" s="14">
        <v>0</v>
      </c>
      <c r="H80" s="4">
        <v>0</v>
      </c>
      <c r="I80">
        <v>0</v>
      </c>
      <c r="J80" s="14">
        <v>0</v>
      </c>
      <c r="K80">
        <f t="shared" si="3"/>
        <v>0</v>
      </c>
      <c r="L80" s="4">
        <v>0</v>
      </c>
      <c r="M80">
        <f t="shared" si="4"/>
        <v>1</v>
      </c>
      <c r="N80">
        <f t="shared" si="5"/>
        <v>1</v>
      </c>
      <c r="R80" s="7" t="s">
        <v>178</v>
      </c>
      <c r="S80" s="7" t="s">
        <v>37</v>
      </c>
    </row>
    <row r="81" spans="1:19">
      <c r="A81" s="4" t="s">
        <v>179</v>
      </c>
      <c r="B81" s="4">
        <v>0</v>
      </c>
      <c r="C81">
        <v>1</v>
      </c>
      <c r="D81" s="14">
        <v>1</v>
      </c>
      <c r="E81" s="4">
        <v>0</v>
      </c>
      <c r="F81">
        <v>1</v>
      </c>
      <c r="G81" s="14">
        <v>1</v>
      </c>
      <c r="H81" s="4">
        <v>0</v>
      </c>
      <c r="I81">
        <v>1</v>
      </c>
      <c r="J81" s="14">
        <v>1</v>
      </c>
      <c r="K81">
        <f t="shared" si="3"/>
        <v>-1</v>
      </c>
      <c r="L81" s="4">
        <v>0</v>
      </c>
      <c r="M81">
        <f t="shared" si="4"/>
        <v>0</v>
      </c>
      <c r="N81">
        <f t="shared" si="5"/>
        <v>0</v>
      </c>
      <c r="R81" s="7" t="s">
        <v>180</v>
      </c>
      <c r="S81" s="7" t="s">
        <v>40</v>
      </c>
    </row>
    <row r="82" spans="1:19">
      <c r="A82" s="4" t="s">
        <v>181</v>
      </c>
      <c r="B82" s="4">
        <v>1</v>
      </c>
      <c r="C82">
        <v>1</v>
      </c>
      <c r="D82" s="14">
        <v>2</v>
      </c>
      <c r="E82" s="4">
        <v>1</v>
      </c>
      <c r="F82">
        <v>1</v>
      </c>
      <c r="G82" s="14">
        <v>2</v>
      </c>
      <c r="H82" s="4">
        <v>1</v>
      </c>
      <c r="I82">
        <v>1</v>
      </c>
      <c r="J82" s="14">
        <v>2</v>
      </c>
      <c r="K82">
        <f t="shared" si="3"/>
        <v>-1</v>
      </c>
      <c r="L82" s="4">
        <v>1</v>
      </c>
      <c r="M82">
        <f t="shared" si="4"/>
        <v>0</v>
      </c>
      <c r="N82">
        <f t="shared" si="5"/>
        <v>1</v>
      </c>
      <c r="R82" s="7" t="s">
        <v>182</v>
      </c>
      <c r="S82" s="7" t="s">
        <v>31</v>
      </c>
    </row>
    <row r="83" spans="1:19">
      <c r="A83" s="4" t="s">
        <v>183</v>
      </c>
      <c r="B83" s="4">
        <v>0</v>
      </c>
      <c r="C83">
        <v>0</v>
      </c>
      <c r="D83" s="14">
        <v>0</v>
      </c>
      <c r="E83" s="4">
        <v>0</v>
      </c>
      <c r="F83">
        <v>1</v>
      </c>
      <c r="G83" s="14">
        <v>1</v>
      </c>
      <c r="H83" s="4">
        <v>0</v>
      </c>
      <c r="I83">
        <v>0</v>
      </c>
      <c r="J83" s="14">
        <v>0</v>
      </c>
      <c r="K83">
        <f t="shared" si="3"/>
        <v>-1</v>
      </c>
      <c r="L83" s="4">
        <v>0</v>
      </c>
      <c r="M83">
        <f t="shared" si="4"/>
        <v>0</v>
      </c>
      <c r="N83">
        <f t="shared" si="5"/>
        <v>0</v>
      </c>
      <c r="R83" s="7" t="s">
        <v>184</v>
      </c>
      <c r="S83" s="7" t="s">
        <v>16</v>
      </c>
    </row>
    <row r="84" spans="1:19">
      <c r="A84" s="4" t="s">
        <v>185</v>
      </c>
      <c r="B84" s="4">
        <v>1</v>
      </c>
      <c r="C84">
        <v>1</v>
      </c>
      <c r="D84" s="14">
        <v>2</v>
      </c>
      <c r="E84" s="4">
        <v>1</v>
      </c>
      <c r="F84">
        <v>1</v>
      </c>
      <c r="G84" s="14">
        <v>2</v>
      </c>
      <c r="H84" s="4">
        <v>1</v>
      </c>
      <c r="I84">
        <v>0</v>
      </c>
      <c r="J84" s="14">
        <v>1</v>
      </c>
      <c r="K84">
        <f t="shared" si="3"/>
        <v>0</v>
      </c>
      <c r="L84" s="4">
        <v>1</v>
      </c>
      <c r="M84">
        <f t="shared" si="4"/>
        <v>1</v>
      </c>
      <c r="N84">
        <f t="shared" si="5"/>
        <v>2</v>
      </c>
      <c r="R84" s="7" t="s">
        <v>186</v>
      </c>
      <c r="S84" s="7" t="s">
        <v>19</v>
      </c>
    </row>
    <row r="85" spans="1:19">
      <c r="A85" s="4" t="s">
        <v>187</v>
      </c>
      <c r="B85" s="4">
        <v>0</v>
      </c>
      <c r="C85">
        <v>1</v>
      </c>
      <c r="D85" s="14">
        <v>1</v>
      </c>
      <c r="E85" s="4">
        <v>0</v>
      </c>
      <c r="F85">
        <v>0</v>
      </c>
      <c r="G85" s="14">
        <v>0</v>
      </c>
      <c r="H85" s="4">
        <v>0</v>
      </c>
      <c r="I85">
        <v>0</v>
      </c>
      <c r="J85" s="14">
        <v>0</v>
      </c>
      <c r="K85">
        <f t="shared" si="3"/>
        <v>1</v>
      </c>
      <c r="L85" s="4">
        <v>0</v>
      </c>
      <c r="M85">
        <f t="shared" si="4"/>
        <v>1</v>
      </c>
      <c r="N85">
        <f t="shared" si="5"/>
        <v>1</v>
      </c>
      <c r="R85" s="7" t="s">
        <v>188</v>
      </c>
      <c r="S85" s="7" t="s">
        <v>22</v>
      </c>
    </row>
    <row r="86" spans="1:19">
      <c r="A86" s="4" t="s">
        <v>189</v>
      </c>
      <c r="B86" s="4">
        <v>1</v>
      </c>
      <c r="C86">
        <v>0</v>
      </c>
      <c r="D86" s="14">
        <v>1</v>
      </c>
      <c r="E86" s="4">
        <v>1</v>
      </c>
      <c r="F86">
        <v>1</v>
      </c>
      <c r="G86" s="14">
        <v>2</v>
      </c>
      <c r="H86" s="4">
        <v>1</v>
      </c>
      <c r="I86">
        <v>1</v>
      </c>
      <c r="J86" s="14">
        <v>2</v>
      </c>
      <c r="K86">
        <f t="shared" si="3"/>
        <v>-2</v>
      </c>
      <c r="L86" s="4">
        <v>1</v>
      </c>
      <c r="M86">
        <f t="shared" si="4"/>
        <v>0</v>
      </c>
      <c r="N86">
        <f t="shared" si="5"/>
        <v>1</v>
      </c>
      <c r="R86" s="7" t="s">
        <v>190</v>
      </c>
      <c r="S86" s="7" t="s">
        <v>25</v>
      </c>
    </row>
    <row r="87" spans="1:19">
      <c r="A87" s="4" t="s">
        <v>191</v>
      </c>
      <c r="B87" s="4">
        <v>0</v>
      </c>
      <c r="C87">
        <v>0</v>
      </c>
      <c r="D87" s="14">
        <v>0</v>
      </c>
      <c r="E87" s="4">
        <v>0</v>
      </c>
      <c r="F87">
        <v>1</v>
      </c>
      <c r="G87" s="14">
        <v>1</v>
      </c>
      <c r="H87" s="4">
        <v>0</v>
      </c>
      <c r="I87">
        <v>0</v>
      </c>
      <c r="J87" s="14">
        <v>0</v>
      </c>
      <c r="K87">
        <f t="shared" si="3"/>
        <v>-1</v>
      </c>
      <c r="L87" s="4">
        <v>0</v>
      </c>
      <c r="M87">
        <f t="shared" si="4"/>
        <v>0</v>
      </c>
      <c r="N87">
        <f t="shared" si="5"/>
        <v>0</v>
      </c>
      <c r="R87" s="7" t="s">
        <v>192</v>
      </c>
      <c r="S87" s="7" t="s">
        <v>28</v>
      </c>
    </row>
    <row r="88" spans="1:19">
      <c r="A88" s="4" t="s">
        <v>193</v>
      </c>
      <c r="B88" s="4">
        <v>0</v>
      </c>
      <c r="C88">
        <v>0</v>
      </c>
      <c r="D88" s="14">
        <v>0</v>
      </c>
      <c r="E88" s="4">
        <v>0</v>
      </c>
      <c r="F88">
        <v>0</v>
      </c>
      <c r="G88" s="14">
        <v>0</v>
      </c>
      <c r="H88" s="4">
        <v>0</v>
      </c>
      <c r="I88">
        <v>1</v>
      </c>
      <c r="J88" s="14">
        <v>1</v>
      </c>
      <c r="K88">
        <f t="shared" si="3"/>
        <v>-1</v>
      </c>
      <c r="L88" s="4">
        <v>0</v>
      </c>
      <c r="M88">
        <f t="shared" si="4"/>
        <v>0</v>
      </c>
      <c r="N88">
        <f t="shared" si="5"/>
        <v>0</v>
      </c>
      <c r="R88" s="7" t="s">
        <v>194</v>
      </c>
      <c r="S88" s="7" t="s">
        <v>19</v>
      </c>
    </row>
    <row r="89" spans="1:19">
      <c r="A89" s="4" t="s">
        <v>195</v>
      </c>
      <c r="B89" s="4">
        <v>0</v>
      </c>
      <c r="C89">
        <v>1</v>
      </c>
      <c r="D89" s="14">
        <v>1</v>
      </c>
      <c r="E89" s="4">
        <v>0</v>
      </c>
      <c r="F89">
        <v>0</v>
      </c>
      <c r="G89" s="14">
        <v>0</v>
      </c>
      <c r="H89" s="4">
        <v>0</v>
      </c>
      <c r="I89">
        <v>0</v>
      </c>
      <c r="J89" s="14">
        <v>0</v>
      </c>
      <c r="K89">
        <f t="shared" si="3"/>
        <v>1</v>
      </c>
      <c r="L89" s="4">
        <v>0</v>
      </c>
      <c r="M89">
        <f t="shared" si="4"/>
        <v>1</v>
      </c>
      <c r="N89">
        <f t="shared" si="5"/>
        <v>1</v>
      </c>
      <c r="R89" s="7" t="s">
        <v>196</v>
      </c>
      <c r="S89" s="7" t="s">
        <v>34</v>
      </c>
    </row>
    <row r="90" spans="1:19">
      <c r="A90" s="4" t="s">
        <v>197</v>
      </c>
      <c r="B90" s="4">
        <v>0</v>
      </c>
      <c r="C90">
        <v>0</v>
      </c>
      <c r="D90" s="14">
        <v>0</v>
      </c>
      <c r="E90" s="4">
        <v>0</v>
      </c>
      <c r="F90">
        <v>0</v>
      </c>
      <c r="G90" s="14">
        <v>0</v>
      </c>
      <c r="H90" s="4">
        <v>0</v>
      </c>
      <c r="I90">
        <v>0</v>
      </c>
      <c r="J90" s="14">
        <v>0</v>
      </c>
      <c r="K90">
        <f t="shared" si="3"/>
        <v>0</v>
      </c>
      <c r="L90" s="4">
        <v>0</v>
      </c>
      <c r="M90">
        <f t="shared" si="4"/>
        <v>1</v>
      </c>
      <c r="N90">
        <f t="shared" si="5"/>
        <v>1</v>
      </c>
      <c r="R90" s="7" t="s">
        <v>198</v>
      </c>
      <c r="S90" s="7" t="s">
        <v>37</v>
      </c>
    </row>
    <row r="91" spans="1:19">
      <c r="A91" s="4" t="s">
        <v>199</v>
      </c>
      <c r="B91" s="4">
        <v>1</v>
      </c>
      <c r="C91">
        <v>0</v>
      </c>
      <c r="D91" s="14">
        <v>1</v>
      </c>
      <c r="E91" s="4">
        <v>1</v>
      </c>
      <c r="F91">
        <v>1</v>
      </c>
      <c r="G91" s="14">
        <v>2</v>
      </c>
      <c r="H91" s="4">
        <v>1</v>
      </c>
      <c r="I91">
        <v>0</v>
      </c>
      <c r="J91" s="14">
        <v>1</v>
      </c>
      <c r="K91">
        <f t="shared" si="3"/>
        <v>-1</v>
      </c>
      <c r="L91" s="4">
        <v>1</v>
      </c>
      <c r="M91">
        <f t="shared" si="4"/>
        <v>0</v>
      </c>
      <c r="N91">
        <f t="shared" si="5"/>
        <v>1</v>
      </c>
      <c r="R91" s="7" t="s">
        <v>200</v>
      </c>
      <c r="S91" s="7" t="s">
        <v>40</v>
      </c>
    </row>
    <row r="92" spans="1:19">
      <c r="A92" s="4" t="s">
        <v>201</v>
      </c>
      <c r="B92" s="4">
        <v>1</v>
      </c>
      <c r="C92">
        <v>1</v>
      </c>
      <c r="D92" s="14">
        <v>2</v>
      </c>
      <c r="E92" s="4">
        <v>1</v>
      </c>
      <c r="F92">
        <v>1</v>
      </c>
      <c r="G92" s="14">
        <v>2</v>
      </c>
      <c r="H92" s="4">
        <v>1</v>
      </c>
      <c r="I92">
        <v>1</v>
      </c>
      <c r="J92" s="14">
        <v>2</v>
      </c>
      <c r="K92">
        <f t="shared" si="3"/>
        <v>-1</v>
      </c>
      <c r="L92" s="4">
        <v>1</v>
      </c>
      <c r="M92">
        <f t="shared" si="4"/>
        <v>0</v>
      </c>
      <c r="N92">
        <f t="shared" si="5"/>
        <v>1</v>
      </c>
      <c r="R92" s="7" t="s">
        <v>202</v>
      </c>
      <c r="S92" s="7" t="s">
        <v>31</v>
      </c>
    </row>
    <row r="93" spans="1:19">
      <c r="A93" s="4" t="s">
        <v>203</v>
      </c>
      <c r="B93" s="4">
        <v>0</v>
      </c>
      <c r="C93">
        <v>0</v>
      </c>
      <c r="D93" s="14">
        <v>0</v>
      </c>
      <c r="E93" s="4">
        <v>0</v>
      </c>
      <c r="F93">
        <v>0</v>
      </c>
      <c r="G93" s="14">
        <v>0</v>
      </c>
      <c r="H93" s="4">
        <v>0</v>
      </c>
      <c r="I93">
        <v>1</v>
      </c>
      <c r="J93" s="14">
        <v>1</v>
      </c>
      <c r="K93">
        <f t="shared" si="3"/>
        <v>-1</v>
      </c>
      <c r="L93" s="4">
        <v>0</v>
      </c>
      <c r="M93">
        <f t="shared" si="4"/>
        <v>0</v>
      </c>
      <c r="N93">
        <f t="shared" si="5"/>
        <v>0</v>
      </c>
      <c r="R93" s="7" t="s">
        <v>204</v>
      </c>
      <c r="S93" s="7" t="s">
        <v>16</v>
      </c>
    </row>
    <row r="94" spans="1:19">
      <c r="A94" s="4" t="s">
        <v>205</v>
      </c>
      <c r="B94" s="4">
        <v>0</v>
      </c>
      <c r="C94">
        <v>1</v>
      </c>
      <c r="D94" s="14">
        <v>1</v>
      </c>
      <c r="E94" s="4">
        <v>0</v>
      </c>
      <c r="F94">
        <v>1</v>
      </c>
      <c r="G94" s="14">
        <v>1</v>
      </c>
      <c r="H94" s="4">
        <v>0</v>
      </c>
      <c r="I94">
        <v>1</v>
      </c>
      <c r="J94" s="14">
        <v>1</v>
      </c>
      <c r="K94">
        <f t="shared" si="3"/>
        <v>-1</v>
      </c>
      <c r="L94" s="4">
        <v>0</v>
      </c>
      <c r="M94">
        <f t="shared" si="4"/>
        <v>0</v>
      </c>
      <c r="N94">
        <f t="shared" si="5"/>
        <v>0</v>
      </c>
      <c r="R94" s="7" t="s">
        <v>206</v>
      </c>
      <c r="S94" s="7" t="s">
        <v>19</v>
      </c>
    </row>
    <row r="95" spans="1:19">
      <c r="A95" s="4" t="s">
        <v>207</v>
      </c>
      <c r="B95" s="4">
        <v>0</v>
      </c>
      <c r="C95">
        <v>1</v>
      </c>
      <c r="D95" s="14">
        <v>1</v>
      </c>
      <c r="E95" s="4">
        <v>0</v>
      </c>
      <c r="F95">
        <v>0</v>
      </c>
      <c r="G95" s="14">
        <v>0</v>
      </c>
      <c r="H95" s="4">
        <v>0</v>
      </c>
      <c r="I95">
        <v>0</v>
      </c>
      <c r="J95" s="14">
        <v>0</v>
      </c>
      <c r="K95">
        <f t="shared" si="3"/>
        <v>1</v>
      </c>
      <c r="L95" s="4">
        <v>0</v>
      </c>
      <c r="M95">
        <f t="shared" si="4"/>
        <v>1</v>
      </c>
      <c r="N95">
        <f t="shared" si="5"/>
        <v>1</v>
      </c>
      <c r="R95" s="7" t="s">
        <v>208</v>
      </c>
      <c r="S95" s="7" t="s">
        <v>22</v>
      </c>
    </row>
    <row r="96" spans="1:19">
      <c r="A96" s="4" t="s">
        <v>209</v>
      </c>
      <c r="B96" s="4">
        <v>0</v>
      </c>
      <c r="C96">
        <v>0</v>
      </c>
      <c r="D96" s="14">
        <v>0</v>
      </c>
      <c r="E96" s="4">
        <v>0</v>
      </c>
      <c r="F96">
        <v>1</v>
      </c>
      <c r="G96" s="14">
        <v>1</v>
      </c>
      <c r="H96" s="4">
        <v>0</v>
      </c>
      <c r="I96">
        <v>1</v>
      </c>
      <c r="J96" s="14">
        <v>1</v>
      </c>
      <c r="K96">
        <f t="shared" si="3"/>
        <v>-2</v>
      </c>
      <c r="L96" s="4">
        <v>0</v>
      </c>
      <c r="M96">
        <f t="shared" si="4"/>
        <v>0</v>
      </c>
      <c r="N96">
        <f t="shared" si="5"/>
        <v>0</v>
      </c>
      <c r="R96" s="7" t="s">
        <v>210</v>
      </c>
      <c r="S96" s="7" t="s">
        <v>25</v>
      </c>
    </row>
    <row r="97" spans="1:19">
      <c r="A97" s="4" t="s">
        <v>211</v>
      </c>
      <c r="B97" s="4">
        <v>1</v>
      </c>
      <c r="C97">
        <v>0</v>
      </c>
      <c r="D97" s="14">
        <v>1</v>
      </c>
      <c r="E97" s="4">
        <v>1</v>
      </c>
      <c r="F97">
        <v>1</v>
      </c>
      <c r="G97" s="14">
        <v>2</v>
      </c>
      <c r="H97" s="4">
        <v>1</v>
      </c>
      <c r="I97">
        <v>1</v>
      </c>
      <c r="J97" s="14">
        <v>2</v>
      </c>
      <c r="K97">
        <f t="shared" si="3"/>
        <v>-2</v>
      </c>
      <c r="L97" s="4">
        <v>1</v>
      </c>
      <c r="M97">
        <f t="shared" si="4"/>
        <v>0</v>
      </c>
      <c r="N97">
        <f t="shared" si="5"/>
        <v>1</v>
      </c>
      <c r="R97" s="7" t="s">
        <v>212</v>
      </c>
      <c r="S97" s="7" t="s">
        <v>28</v>
      </c>
    </row>
    <row r="98" spans="1:19">
      <c r="A98" s="4" t="s">
        <v>213</v>
      </c>
      <c r="B98" s="4">
        <v>0</v>
      </c>
      <c r="C98">
        <v>0</v>
      </c>
      <c r="D98" s="14">
        <v>0</v>
      </c>
      <c r="E98" s="4">
        <v>0</v>
      </c>
      <c r="F98">
        <v>1</v>
      </c>
      <c r="G98" s="14">
        <v>1</v>
      </c>
      <c r="H98" s="4">
        <v>0</v>
      </c>
      <c r="I98">
        <v>0</v>
      </c>
      <c r="J98" s="14">
        <v>0</v>
      </c>
      <c r="K98">
        <f t="shared" si="3"/>
        <v>-1</v>
      </c>
      <c r="L98" s="4">
        <v>0</v>
      </c>
      <c r="M98">
        <f t="shared" si="4"/>
        <v>0</v>
      </c>
      <c r="N98">
        <f t="shared" si="5"/>
        <v>0</v>
      </c>
      <c r="R98" s="7" t="s">
        <v>214</v>
      </c>
      <c r="S98" s="7" t="s">
        <v>22</v>
      </c>
    </row>
    <row r="99" spans="1:19">
      <c r="A99" s="4" t="s">
        <v>215</v>
      </c>
      <c r="B99" s="4">
        <v>1</v>
      </c>
      <c r="C99">
        <v>0</v>
      </c>
      <c r="D99" s="14">
        <v>1</v>
      </c>
      <c r="E99" s="4">
        <v>1</v>
      </c>
      <c r="F99">
        <v>1</v>
      </c>
      <c r="G99" s="14">
        <v>2</v>
      </c>
      <c r="H99" s="4">
        <v>1</v>
      </c>
      <c r="I99">
        <v>0</v>
      </c>
      <c r="J99" s="14">
        <v>1</v>
      </c>
      <c r="K99">
        <f t="shared" si="3"/>
        <v>-1</v>
      </c>
      <c r="L99" s="4">
        <v>1</v>
      </c>
      <c r="M99">
        <f t="shared" si="4"/>
        <v>0</v>
      </c>
      <c r="N99">
        <f t="shared" si="5"/>
        <v>1</v>
      </c>
      <c r="R99" s="7" t="s">
        <v>216</v>
      </c>
      <c r="S99" s="7" t="s">
        <v>34</v>
      </c>
    </row>
    <row r="100" spans="1:19">
      <c r="A100" s="4" t="s">
        <v>217</v>
      </c>
      <c r="B100" s="4">
        <v>1</v>
      </c>
      <c r="C100">
        <v>1</v>
      </c>
      <c r="D100" s="14">
        <v>2</v>
      </c>
      <c r="E100" s="4">
        <v>1</v>
      </c>
      <c r="F100">
        <v>0</v>
      </c>
      <c r="G100" s="14">
        <v>1</v>
      </c>
      <c r="H100" s="4">
        <v>1</v>
      </c>
      <c r="I100">
        <v>0</v>
      </c>
      <c r="J100" s="14">
        <v>1</v>
      </c>
      <c r="K100">
        <f t="shared" si="3"/>
        <v>1</v>
      </c>
      <c r="L100" s="4">
        <v>1</v>
      </c>
      <c r="M100">
        <f t="shared" si="4"/>
        <v>1</v>
      </c>
      <c r="N100">
        <f t="shared" si="5"/>
        <v>2</v>
      </c>
      <c r="R100" s="7" t="s">
        <v>218</v>
      </c>
      <c r="S100" s="7" t="s">
        <v>37</v>
      </c>
    </row>
    <row r="101" spans="1:19">
      <c r="A101" s="4" t="s">
        <v>219</v>
      </c>
      <c r="B101" s="4">
        <v>0</v>
      </c>
      <c r="C101">
        <v>1</v>
      </c>
      <c r="D101" s="14">
        <v>1</v>
      </c>
      <c r="E101" s="4">
        <v>0</v>
      </c>
      <c r="F101">
        <v>1</v>
      </c>
      <c r="G101" s="14">
        <v>1</v>
      </c>
      <c r="H101" s="4">
        <v>0</v>
      </c>
      <c r="I101">
        <v>1</v>
      </c>
      <c r="J101" s="14">
        <v>1</v>
      </c>
      <c r="K101">
        <f t="shared" si="3"/>
        <v>-1</v>
      </c>
      <c r="L101" s="4">
        <v>0</v>
      </c>
      <c r="M101">
        <f t="shared" si="4"/>
        <v>0</v>
      </c>
      <c r="N101">
        <f t="shared" si="5"/>
        <v>0</v>
      </c>
      <c r="R101" s="7" t="s">
        <v>220</v>
      </c>
      <c r="S101" s="7" t="s">
        <v>40</v>
      </c>
    </row>
    <row r="102" spans="1:19">
      <c r="A102" s="4" t="s">
        <v>221</v>
      </c>
      <c r="B102" s="4">
        <v>1</v>
      </c>
      <c r="C102">
        <v>0</v>
      </c>
      <c r="D102" s="14">
        <v>1</v>
      </c>
      <c r="E102" s="4">
        <v>1</v>
      </c>
      <c r="F102">
        <v>1</v>
      </c>
      <c r="G102" s="14">
        <v>2</v>
      </c>
      <c r="H102" s="4">
        <v>1</v>
      </c>
      <c r="I102">
        <v>1</v>
      </c>
      <c r="J102" s="14">
        <v>2</v>
      </c>
      <c r="K102">
        <f t="shared" si="3"/>
        <v>-2</v>
      </c>
      <c r="L102" s="4">
        <v>1</v>
      </c>
      <c r="M102">
        <f t="shared" si="4"/>
        <v>0</v>
      </c>
      <c r="N102">
        <f t="shared" si="5"/>
        <v>1</v>
      </c>
      <c r="R102" s="7" t="s">
        <v>222</v>
      </c>
      <c r="S102" s="7" t="s">
        <v>31</v>
      </c>
    </row>
    <row r="103" spans="1:19">
      <c r="A103" s="4" t="s">
        <v>223</v>
      </c>
      <c r="B103" s="4">
        <v>0</v>
      </c>
      <c r="C103">
        <v>0</v>
      </c>
      <c r="D103" s="14">
        <v>0</v>
      </c>
      <c r="E103" s="4">
        <v>0</v>
      </c>
      <c r="F103">
        <v>0</v>
      </c>
      <c r="G103" s="14">
        <v>0</v>
      </c>
      <c r="H103" s="4">
        <v>0</v>
      </c>
      <c r="I103">
        <v>0</v>
      </c>
      <c r="J103" s="14">
        <v>0</v>
      </c>
      <c r="K103">
        <f t="shared" si="3"/>
        <v>0</v>
      </c>
      <c r="L103" s="4">
        <v>0</v>
      </c>
      <c r="M103">
        <f t="shared" si="4"/>
        <v>1</v>
      </c>
      <c r="N103">
        <f t="shared" si="5"/>
        <v>1</v>
      </c>
      <c r="R103" s="7" t="s">
        <v>224</v>
      </c>
      <c r="S103" s="7" t="s">
        <v>16</v>
      </c>
    </row>
    <row r="104" spans="1:19">
      <c r="A104" s="4" t="s">
        <v>225</v>
      </c>
      <c r="B104" s="4">
        <v>1</v>
      </c>
      <c r="C104">
        <v>1</v>
      </c>
      <c r="D104" s="14">
        <v>2</v>
      </c>
      <c r="E104" s="4">
        <v>1</v>
      </c>
      <c r="F104">
        <v>0</v>
      </c>
      <c r="G104" s="14">
        <v>1</v>
      </c>
      <c r="H104" s="4">
        <v>1</v>
      </c>
      <c r="I104">
        <v>1</v>
      </c>
      <c r="J104" s="14">
        <v>2</v>
      </c>
      <c r="K104">
        <f t="shared" si="3"/>
        <v>0</v>
      </c>
      <c r="L104" s="4">
        <v>1</v>
      </c>
      <c r="M104">
        <f t="shared" si="4"/>
        <v>1</v>
      </c>
      <c r="N104">
        <f t="shared" si="5"/>
        <v>2</v>
      </c>
      <c r="R104" s="7" t="s">
        <v>226</v>
      </c>
      <c r="S104" s="7" t="s">
        <v>19</v>
      </c>
    </row>
    <row r="105" spans="1:19">
      <c r="A105" s="4" t="s">
        <v>227</v>
      </c>
      <c r="B105" s="4">
        <v>1</v>
      </c>
      <c r="C105">
        <v>0</v>
      </c>
      <c r="D105" s="14">
        <v>1</v>
      </c>
      <c r="E105" s="4">
        <v>1</v>
      </c>
      <c r="F105">
        <v>0</v>
      </c>
      <c r="G105" s="14">
        <v>1</v>
      </c>
      <c r="H105" s="4">
        <v>1</v>
      </c>
      <c r="I105">
        <v>1</v>
      </c>
      <c r="J105" s="14">
        <v>2</v>
      </c>
      <c r="K105">
        <f t="shared" si="3"/>
        <v>-1</v>
      </c>
      <c r="L105" s="4">
        <v>1</v>
      </c>
      <c r="M105">
        <f t="shared" si="4"/>
        <v>0</v>
      </c>
      <c r="N105">
        <f t="shared" si="5"/>
        <v>1</v>
      </c>
      <c r="R105" s="7" t="s">
        <v>228</v>
      </c>
      <c r="S105" s="7" t="s">
        <v>22</v>
      </c>
    </row>
    <row r="106" spans="1:19">
      <c r="A106" s="4" t="s">
        <v>229</v>
      </c>
      <c r="B106" s="4">
        <v>1</v>
      </c>
      <c r="C106">
        <v>0</v>
      </c>
      <c r="D106" s="14">
        <v>1</v>
      </c>
      <c r="E106" s="4">
        <v>1</v>
      </c>
      <c r="F106">
        <v>0</v>
      </c>
      <c r="G106" s="14">
        <v>1</v>
      </c>
      <c r="H106" s="4">
        <v>1</v>
      </c>
      <c r="I106">
        <v>0</v>
      </c>
      <c r="J106" s="14">
        <v>1</v>
      </c>
      <c r="K106">
        <f t="shared" si="3"/>
        <v>0</v>
      </c>
      <c r="L106" s="4">
        <v>1</v>
      </c>
      <c r="M106">
        <f t="shared" si="4"/>
        <v>1</v>
      </c>
      <c r="N106">
        <f t="shared" si="5"/>
        <v>2</v>
      </c>
      <c r="R106" s="7" t="s">
        <v>230</v>
      </c>
      <c r="S106" s="7" t="s">
        <v>25</v>
      </c>
    </row>
    <row r="107" spans="1:19">
      <c r="A107" s="4" t="s">
        <v>231</v>
      </c>
      <c r="B107" s="4">
        <v>1</v>
      </c>
      <c r="C107">
        <v>0</v>
      </c>
      <c r="D107" s="14">
        <v>1</v>
      </c>
      <c r="E107" s="4">
        <v>1</v>
      </c>
      <c r="F107">
        <v>0</v>
      </c>
      <c r="G107" s="14">
        <v>1</v>
      </c>
      <c r="H107" s="4">
        <v>1</v>
      </c>
      <c r="I107">
        <v>1</v>
      </c>
      <c r="J107" s="14">
        <v>2</v>
      </c>
      <c r="K107">
        <f t="shared" si="3"/>
        <v>-1</v>
      </c>
      <c r="L107" s="4">
        <v>1</v>
      </c>
      <c r="M107">
        <f t="shared" si="4"/>
        <v>0</v>
      </c>
      <c r="N107">
        <f t="shared" si="5"/>
        <v>1</v>
      </c>
      <c r="R107" s="7" t="s">
        <v>232</v>
      </c>
      <c r="S107" s="7" t="s">
        <v>28</v>
      </c>
    </row>
    <row r="108" spans="1:19">
      <c r="A108" s="4" t="s">
        <v>233</v>
      </c>
      <c r="B108" s="4">
        <v>1</v>
      </c>
      <c r="C108">
        <v>0</v>
      </c>
      <c r="D108" s="14">
        <v>1</v>
      </c>
      <c r="E108" s="4">
        <v>1</v>
      </c>
      <c r="F108">
        <v>0</v>
      </c>
      <c r="G108" s="14">
        <v>1</v>
      </c>
      <c r="H108" s="4">
        <v>1</v>
      </c>
      <c r="I108">
        <v>0</v>
      </c>
      <c r="J108" s="14">
        <v>1</v>
      </c>
      <c r="K108">
        <f t="shared" si="3"/>
        <v>0</v>
      </c>
      <c r="L108" s="4">
        <v>1</v>
      </c>
      <c r="M108">
        <f t="shared" si="4"/>
        <v>1</v>
      </c>
      <c r="N108">
        <f t="shared" si="5"/>
        <v>2</v>
      </c>
      <c r="R108" s="7" t="s">
        <v>234</v>
      </c>
      <c r="S108" s="7" t="s">
        <v>25</v>
      </c>
    </row>
    <row r="109" spans="1:19">
      <c r="A109" s="4" t="s">
        <v>235</v>
      </c>
      <c r="B109" s="4">
        <v>0</v>
      </c>
      <c r="C109">
        <v>0</v>
      </c>
      <c r="D109" s="14">
        <v>0</v>
      </c>
      <c r="E109" s="4">
        <v>0</v>
      </c>
      <c r="F109">
        <v>1</v>
      </c>
      <c r="G109" s="14">
        <v>1</v>
      </c>
      <c r="H109" s="4">
        <v>0</v>
      </c>
      <c r="I109">
        <v>1</v>
      </c>
      <c r="J109" s="14">
        <v>1</v>
      </c>
      <c r="K109">
        <f t="shared" si="3"/>
        <v>-2</v>
      </c>
      <c r="L109" s="4">
        <v>0</v>
      </c>
      <c r="M109">
        <f t="shared" si="4"/>
        <v>0</v>
      </c>
      <c r="N109">
        <f t="shared" si="5"/>
        <v>0</v>
      </c>
      <c r="R109" s="7" t="s">
        <v>236</v>
      </c>
      <c r="S109" s="7" t="s">
        <v>34</v>
      </c>
    </row>
    <row r="110" spans="1:19">
      <c r="A110" s="4" t="s">
        <v>237</v>
      </c>
      <c r="B110" s="4">
        <v>1</v>
      </c>
      <c r="C110">
        <v>0</v>
      </c>
      <c r="D110" s="14">
        <v>1</v>
      </c>
      <c r="E110" s="4">
        <v>1</v>
      </c>
      <c r="F110">
        <v>0</v>
      </c>
      <c r="G110" s="14">
        <v>1</v>
      </c>
      <c r="H110" s="4">
        <v>1</v>
      </c>
      <c r="I110">
        <v>0</v>
      </c>
      <c r="J110" s="14">
        <v>1</v>
      </c>
      <c r="K110">
        <f t="shared" si="3"/>
        <v>0</v>
      </c>
      <c r="L110" s="4">
        <v>1</v>
      </c>
      <c r="M110">
        <f t="shared" si="4"/>
        <v>1</v>
      </c>
      <c r="N110">
        <f t="shared" si="5"/>
        <v>2</v>
      </c>
      <c r="R110" s="7" t="s">
        <v>238</v>
      </c>
      <c r="S110" s="7" t="s">
        <v>37</v>
      </c>
    </row>
    <row r="111" spans="1:19">
      <c r="A111" s="4" t="s">
        <v>239</v>
      </c>
      <c r="B111" s="4">
        <v>0</v>
      </c>
      <c r="C111">
        <v>0</v>
      </c>
      <c r="D111" s="14">
        <v>0</v>
      </c>
      <c r="E111" s="4">
        <v>0</v>
      </c>
      <c r="F111">
        <v>0</v>
      </c>
      <c r="G111" s="14">
        <v>0</v>
      </c>
      <c r="H111" s="4">
        <v>0</v>
      </c>
      <c r="I111">
        <v>1</v>
      </c>
      <c r="J111" s="14">
        <v>1</v>
      </c>
      <c r="K111">
        <f t="shared" si="3"/>
        <v>-1</v>
      </c>
      <c r="L111" s="4">
        <v>0</v>
      </c>
      <c r="M111">
        <f t="shared" si="4"/>
        <v>0</v>
      </c>
      <c r="N111">
        <f t="shared" si="5"/>
        <v>0</v>
      </c>
      <c r="R111" s="7" t="s">
        <v>240</v>
      </c>
      <c r="S111" s="7" t="s">
        <v>40</v>
      </c>
    </row>
    <row r="112" spans="1:19">
      <c r="A112" s="4" t="s">
        <v>241</v>
      </c>
      <c r="B112" s="4">
        <v>0</v>
      </c>
      <c r="C112">
        <v>0</v>
      </c>
      <c r="D112" s="14">
        <v>0</v>
      </c>
      <c r="E112" s="4">
        <v>0</v>
      </c>
      <c r="F112">
        <v>1</v>
      </c>
      <c r="G112" s="14">
        <v>1</v>
      </c>
      <c r="H112" s="4">
        <v>0</v>
      </c>
      <c r="I112">
        <v>1</v>
      </c>
      <c r="J112" s="14">
        <v>1</v>
      </c>
      <c r="K112">
        <f t="shared" si="3"/>
        <v>-2</v>
      </c>
      <c r="L112" s="4">
        <v>0</v>
      </c>
      <c r="M112">
        <f t="shared" si="4"/>
        <v>0</v>
      </c>
      <c r="N112">
        <f t="shared" si="5"/>
        <v>0</v>
      </c>
      <c r="R112" s="7" t="s">
        <v>242</v>
      </c>
      <c r="S112" s="7" t="s">
        <v>31</v>
      </c>
    </row>
    <row r="113" spans="1:19">
      <c r="A113" s="4" t="s">
        <v>243</v>
      </c>
      <c r="B113" s="4">
        <v>1</v>
      </c>
      <c r="C113">
        <v>0</v>
      </c>
      <c r="D113" s="14">
        <v>1</v>
      </c>
      <c r="E113" s="4">
        <v>1</v>
      </c>
      <c r="F113">
        <v>0</v>
      </c>
      <c r="G113" s="14">
        <v>1</v>
      </c>
      <c r="H113" s="4">
        <v>1</v>
      </c>
      <c r="I113">
        <v>0</v>
      </c>
      <c r="J113" s="14">
        <v>1</v>
      </c>
      <c r="K113">
        <f t="shared" si="3"/>
        <v>0</v>
      </c>
      <c r="L113" s="4">
        <v>1</v>
      </c>
      <c r="M113">
        <f t="shared" si="4"/>
        <v>1</v>
      </c>
      <c r="N113">
        <f t="shared" si="5"/>
        <v>2</v>
      </c>
      <c r="R113" s="7" t="s">
        <v>244</v>
      </c>
      <c r="S113" s="7" t="s">
        <v>16</v>
      </c>
    </row>
    <row r="114" spans="1:19">
      <c r="A114" s="4" t="s">
        <v>245</v>
      </c>
      <c r="B114" s="4">
        <v>1</v>
      </c>
      <c r="C114">
        <v>0</v>
      </c>
      <c r="D114" s="14">
        <v>1</v>
      </c>
      <c r="E114" s="4">
        <v>1</v>
      </c>
      <c r="F114">
        <v>0</v>
      </c>
      <c r="G114" s="14">
        <v>1</v>
      </c>
      <c r="H114" s="4">
        <v>1</v>
      </c>
      <c r="I114">
        <v>0</v>
      </c>
      <c r="J114" s="14">
        <v>1</v>
      </c>
      <c r="K114">
        <f t="shared" si="3"/>
        <v>0</v>
      </c>
      <c r="L114" s="4">
        <v>1</v>
      </c>
      <c r="M114">
        <f t="shared" si="4"/>
        <v>1</v>
      </c>
      <c r="N114">
        <f t="shared" si="5"/>
        <v>2</v>
      </c>
      <c r="R114" s="7" t="s">
        <v>246</v>
      </c>
      <c r="S114" s="7" t="s">
        <v>19</v>
      </c>
    </row>
    <row r="115" spans="1:19">
      <c r="A115" s="4" t="s">
        <v>247</v>
      </c>
      <c r="B115" s="4">
        <v>0</v>
      </c>
      <c r="C115">
        <v>0</v>
      </c>
      <c r="D115" s="14">
        <v>0</v>
      </c>
      <c r="E115" s="4">
        <v>0</v>
      </c>
      <c r="F115">
        <v>0</v>
      </c>
      <c r="G115" s="14">
        <v>0</v>
      </c>
      <c r="H115" s="4">
        <v>0</v>
      </c>
      <c r="I115">
        <v>0</v>
      </c>
      <c r="J115" s="14">
        <v>0</v>
      </c>
      <c r="K115">
        <f t="shared" si="3"/>
        <v>0</v>
      </c>
      <c r="L115" s="4">
        <v>0</v>
      </c>
      <c r="M115">
        <f t="shared" si="4"/>
        <v>1</v>
      </c>
      <c r="N115">
        <f t="shared" si="5"/>
        <v>1</v>
      </c>
      <c r="R115" s="7" t="s">
        <v>248</v>
      </c>
      <c r="S115" s="7" t="s">
        <v>22</v>
      </c>
    </row>
    <row r="116" spans="1:19">
      <c r="A116" s="4" t="s">
        <v>249</v>
      </c>
      <c r="B116" s="4">
        <v>0</v>
      </c>
      <c r="C116">
        <v>0</v>
      </c>
      <c r="D116" s="14">
        <v>0</v>
      </c>
      <c r="E116" s="4">
        <v>0</v>
      </c>
      <c r="F116">
        <v>0</v>
      </c>
      <c r="G116" s="14">
        <v>0</v>
      </c>
      <c r="H116" s="4">
        <v>0</v>
      </c>
      <c r="I116">
        <v>0</v>
      </c>
      <c r="J116" s="14">
        <v>0</v>
      </c>
      <c r="K116">
        <f t="shared" si="3"/>
        <v>0</v>
      </c>
      <c r="L116" s="4">
        <v>0</v>
      </c>
      <c r="M116">
        <f t="shared" si="4"/>
        <v>1</v>
      </c>
      <c r="N116">
        <f t="shared" si="5"/>
        <v>1</v>
      </c>
      <c r="R116" s="7" t="s">
        <v>250</v>
      </c>
      <c r="S116" s="7" t="s">
        <v>25</v>
      </c>
    </row>
    <row r="117" spans="1:19">
      <c r="A117" s="4" t="s">
        <v>251</v>
      </c>
      <c r="B117" s="4">
        <v>1</v>
      </c>
      <c r="C117">
        <v>0</v>
      </c>
      <c r="D117" s="14">
        <v>1</v>
      </c>
      <c r="E117" s="4">
        <v>1</v>
      </c>
      <c r="F117">
        <v>1</v>
      </c>
      <c r="G117" s="14">
        <v>2</v>
      </c>
      <c r="H117" s="4">
        <v>1</v>
      </c>
      <c r="I117">
        <v>1</v>
      </c>
      <c r="J117" s="14">
        <v>2</v>
      </c>
      <c r="K117">
        <f t="shared" si="3"/>
        <v>-2</v>
      </c>
      <c r="L117" s="4">
        <v>1</v>
      </c>
      <c r="M117">
        <f t="shared" si="4"/>
        <v>0</v>
      </c>
      <c r="N117">
        <f t="shared" si="5"/>
        <v>1</v>
      </c>
      <c r="R117" s="7" t="s">
        <v>252</v>
      </c>
      <c r="S117" s="7" t="s">
        <v>28</v>
      </c>
    </row>
    <row r="118" spans="1:19">
      <c r="A118" s="4" t="s">
        <v>253</v>
      </c>
      <c r="B118" s="4">
        <v>1</v>
      </c>
      <c r="C118">
        <v>0</v>
      </c>
      <c r="D118" s="14">
        <v>1</v>
      </c>
      <c r="E118" s="4">
        <v>1</v>
      </c>
      <c r="F118">
        <v>0</v>
      </c>
      <c r="G118" s="14">
        <v>1</v>
      </c>
      <c r="H118" s="4">
        <v>1</v>
      </c>
      <c r="I118">
        <v>0</v>
      </c>
      <c r="J118" s="14">
        <v>1</v>
      </c>
      <c r="K118">
        <f t="shared" si="3"/>
        <v>0</v>
      </c>
      <c r="L118" s="4">
        <v>1</v>
      </c>
      <c r="M118">
        <f t="shared" si="4"/>
        <v>1</v>
      </c>
      <c r="N118">
        <f t="shared" si="5"/>
        <v>2</v>
      </c>
      <c r="R118" s="7" t="s">
        <v>254</v>
      </c>
      <c r="S118" s="7" t="s">
        <v>28</v>
      </c>
    </row>
    <row r="119" spans="1:19">
      <c r="A119" s="4" t="s">
        <v>255</v>
      </c>
      <c r="B119" s="4">
        <v>1</v>
      </c>
      <c r="C119">
        <v>1</v>
      </c>
      <c r="D119" s="14">
        <v>2</v>
      </c>
      <c r="E119" s="4">
        <v>1</v>
      </c>
      <c r="F119">
        <v>0</v>
      </c>
      <c r="G119" s="14">
        <v>1</v>
      </c>
      <c r="H119" s="4">
        <v>1</v>
      </c>
      <c r="I119">
        <v>1</v>
      </c>
      <c r="J119" s="14">
        <v>2</v>
      </c>
      <c r="K119">
        <f t="shared" si="3"/>
        <v>0</v>
      </c>
      <c r="L119" s="4">
        <v>1</v>
      </c>
      <c r="M119">
        <f t="shared" si="4"/>
        <v>1</v>
      </c>
      <c r="N119">
        <f t="shared" si="5"/>
        <v>2</v>
      </c>
      <c r="R119" s="7" t="s">
        <v>256</v>
      </c>
      <c r="S119" s="7" t="s">
        <v>34</v>
      </c>
    </row>
    <row r="120" spans="1:19">
      <c r="A120" s="4" t="s">
        <v>257</v>
      </c>
      <c r="B120" s="4">
        <v>0</v>
      </c>
      <c r="C120">
        <v>1</v>
      </c>
      <c r="D120" s="14">
        <v>1</v>
      </c>
      <c r="E120" s="4">
        <v>0</v>
      </c>
      <c r="F120">
        <v>0</v>
      </c>
      <c r="G120" s="14">
        <v>0</v>
      </c>
      <c r="H120" s="4">
        <v>0</v>
      </c>
      <c r="I120">
        <v>0</v>
      </c>
      <c r="J120" s="14">
        <v>0</v>
      </c>
      <c r="K120">
        <f t="shared" si="3"/>
        <v>1</v>
      </c>
      <c r="L120" s="4">
        <v>0</v>
      </c>
      <c r="M120">
        <f t="shared" si="4"/>
        <v>1</v>
      </c>
      <c r="N120">
        <f t="shared" si="5"/>
        <v>1</v>
      </c>
      <c r="R120" s="7" t="s">
        <v>258</v>
      </c>
      <c r="S120" s="7" t="s">
        <v>37</v>
      </c>
    </row>
    <row r="121" spans="1:19">
      <c r="A121" s="4" t="s">
        <v>259</v>
      </c>
      <c r="B121" s="4">
        <v>1</v>
      </c>
      <c r="C121">
        <v>1</v>
      </c>
      <c r="D121" s="14">
        <v>2</v>
      </c>
      <c r="E121" s="4">
        <v>1</v>
      </c>
      <c r="F121">
        <v>0</v>
      </c>
      <c r="G121" s="14">
        <v>1</v>
      </c>
      <c r="H121" s="4">
        <v>1</v>
      </c>
      <c r="I121">
        <v>0</v>
      </c>
      <c r="J121" s="14">
        <v>1</v>
      </c>
      <c r="K121">
        <f t="shared" si="3"/>
        <v>1</v>
      </c>
      <c r="L121" s="4">
        <v>1</v>
      </c>
      <c r="M121">
        <f t="shared" si="4"/>
        <v>1</v>
      </c>
      <c r="N121">
        <f t="shared" si="5"/>
        <v>2</v>
      </c>
      <c r="R121" s="7" t="s">
        <v>260</v>
      </c>
      <c r="S121" s="7" t="s">
        <v>40</v>
      </c>
    </row>
    <row r="122" spans="1:19">
      <c r="A122" s="4" t="s">
        <v>261</v>
      </c>
      <c r="B122" s="4">
        <v>0</v>
      </c>
      <c r="C122">
        <v>0</v>
      </c>
      <c r="D122" s="14">
        <v>0</v>
      </c>
      <c r="E122" s="4">
        <v>0</v>
      </c>
      <c r="F122">
        <v>1</v>
      </c>
      <c r="G122" s="14">
        <v>1</v>
      </c>
      <c r="H122" s="4">
        <v>0</v>
      </c>
      <c r="I122">
        <v>0</v>
      </c>
      <c r="J122" s="14">
        <v>0</v>
      </c>
      <c r="K122">
        <f t="shared" si="3"/>
        <v>-1</v>
      </c>
      <c r="L122" s="4">
        <v>0</v>
      </c>
      <c r="M122">
        <f t="shared" si="4"/>
        <v>0</v>
      </c>
      <c r="N122">
        <f t="shared" si="5"/>
        <v>0</v>
      </c>
      <c r="R122" s="7" t="s">
        <v>262</v>
      </c>
      <c r="S122" s="7" t="s">
        <v>31</v>
      </c>
    </row>
    <row r="123" spans="1:19">
      <c r="A123" s="4" t="s">
        <v>263</v>
      </c>
      <c r="B123" s="4">
        <v>0</v>
      </c>
      <c r="C123">
        <v>0</v>
      </c>
      <c r="D123" s="14">
        <v>0</v>
      </c>
      <c r="E123" s="4">
        <v>0</v>
      </c>
      <c r="F123">
        <v>0</v>
      </c>
      <c r="G123" s="14">
        <v>0</v>
      </c>
      <c r="H123" s="4">
        <v>0</v>
      </c>
      <c r="I123">
        <v>0</v>
      </c>
      <c r="J123" s="14">
        <v>0</v>
      </c>
      <c r="K123">
        <f t="shared" si="3"/>
        <v>0</v>
      </c>
      <c r="L123" s="4">
        <v>0</v>
      </c>
      <c r="M123">
        <f t="shared" si="4"/>
        <v>1</v>
      </c>
      <c r="N123">
        <f t="shared" si="5"/>
        <v>1</v>
      </c>
      <c r="R123" s="7" t="s">
        <v>264</v>
      </c>
      <c r="S123" s="7" t="s">
        <v>16</v>
      </c>
    </row>
    <row r="124" spans="1:19">
      <c r="A124" s="4" t="s">
        <v>265</v>
      </c>
      <c r="B124" s="4">
        <v>1</v>
      </c>
      <c r="C124">
        <v>0</v>
      </c>
      <c r="D124" s="14">
        <v>1</v>
      </c>
      <c r="E124" s="4">
        <v>1</v>
      </c>
      <c r="F124">
        <v>1</v>
      </c>
      <c r="G124" s="14">
        <v>2</v>
      </c>
      <c r="H124" s="4">
        <v>1</v>
      </c>
      <c r="I124">
        <v>0</v>
      </c>
      <c r="J124" s="14">
        <v>1</v>
      </c>
      <c r="K124">
        <f t="shared" si="3"/>
        <v>-1</v>
      </c>
      <c r="L124" s="4">
        <v>1</v>
      </c>
      <c r="M124">
        <f t="shared" si="4"/>
        <v>0</v>
      </c>
      <c r="N124">
        <f t="shared" si="5"/>
        <v>1</v>
      </c>
      <c r="R124" s="7" t="s">
        <v>266</v>
      </c>
      <c r="S124" s="7" t="s">
        <v>19</v>
      </c>
    </row>
    <row r="125" spans="1:19">
      <c r="A125" s="4" t="s">
        <v>267</v>
      </c>
      <c r="B125" s="4">
        <v>1</v>
      </c>
      <c r="C125">
        <v>0</v>
      </c>
      <c r="D125" s="14">
        <v>1</v>
      </c>
      <c r="E125" s="4">
        <v>1</v>
      </c>
      <c r="F125">
        <v>0</v>
      </c>
      <c r="G125" s="14">
        <v>1</v>
      </c>
      <c r="H125" s="4">
        <v>1</v>
      </c>
      <c r="I125">
        <v>0</v>
      </c>
      <c r="J125" s="14">
        <v>1</v>
      </c>
      <c r="K125">
        <f t="shared" si="3"/>
        <v>0</v>
      </c>
      <c r="L125" s="4">
        <v>1</v>
      </c>
      <c r="M125">
        <f t="shared" si="4"/>
        <v>1</v>
      </c>
      <c r="N125">
        <f t="shared" si="5"/>
        <v>2</v>
      </c>
      <c r="R125" s="7" t="s">
        <v>268</v>
      </c>
      <c r="S125" s="7" t="s">
        <v>22</v>
      </c>
    </row>
    <row r="126" spans="1:19">
      <c r="A126" s="4" t="s">
        <v>269</v>
      </c>
      <c r="B126" s="4">
        <v>1</v>
      </c>
      <c r="C126">
        <v>0</v>
      </c>
      <c r="D126" s="14">
        <v>1</v>
      </c>
      <c r="E126" s="4">
        <v>1</v>
      </c>
      <c r="F126">
        <v>0</v>
      </c>
      <c r="G126" s="14">
        <v>1</v>
      </c>
      <c r="H126" s="4">
        <v>1</v>
      </c>
      <c r="I126">
        <v>0</v>
      </c>
      <c r="J126" s="14">
        <v>1</v>
      </c>
      <c r="K126">
        <f t="shared" si="3"/>
        <v>0</v>
      </c>
      <c r="L126" s="4">
        <v>1</v>
      </c>
      <c r="M126">
        <f t="shared" si="4"/>
        <v>1</v>
      </c>
      <c r="N126">
        <f t="shared" si="5"/>
        <v>2</v>
      </c>
      <c r="R126" s="7" t="s">
        <v>270</v>
      </c>
      <c r="S126" s="7" t="s">
        <v>25</v>
      </c>
    </row>
    <row r="127" spans="1:19">
      <c r="A127" s="4" t="s">
        <v>271</v>
      </c>
      <c r="B127" s="4">
        <v>0</v>
      </c>
      <c r="C127">
        <v>0</v>
      </c>
      <c r="D127" s="14">
        <v>0</v>
      </c>
      <c r="E127" s="4">
        <v>0</v>
      </c>
      <c r="F127">
        <v>1</v>
      </c>
      <c r="G127" s="14">
        <v>1</v>
      </c>
      <c r="H127" s="4">
        <v>0</v>
      </c>
      <c r="I127">
        <v>1</v>
      </c>
      <c r="J127" s="14">
        <v>1</v>
      </c>
      <c r="K127">
        <f t="shared" si="3"/>
        <v>-2</v>
      </c>
      <c r="L127" s="4">
        <v>0</v>
      </c>
      <c r="M127">
        <f t="shared" si="4"/>
        <v>0</v>
      </c>
      <c r="N127">
        <f t="shared" si="5"/>
        <v>0</v>
      </c>
      <c r="R127" s="7" t="s">
        <v>272</v>
      </c>
      <c r="S127" s="7" t="s">
        <v>28</v>
      </c>
    </row>
    <row r="128" spans="1:19">
      <c r="A128" s="4" t="s">
        <v>273</v>
      </c>
      <c r="B128" s="4">
        <v>0</v>
      </c>
      <c r="C128">
        <v>0</v>
      </c>
      <c r="D128" s="14">
        <v>0</v>
      </c>
      <c r="E128" s="4">
        <v>0</v>
      </c>
      <c r="F128">
        <v>1</v>
      </c>
      <c r="G128" s="14">
        <v>1</v>
      </c>
      <c r="H128" s="4">
        <v>0</v>
      </c>
      <c r="I128">
        <v>0</v>
      </c>
      <c r="J128" s="14">
        <v>0</v>
      </c>
      <c r="K128">
        <f t="shared" si="3"/>
        <v>-1</v>
      </c>
      <c r="L128" s="4">
        <v>0</v>
      </c>
      <c r="M128">
        <f t="shared" si="4"/>
        <v>0</v>
      </c>
      <c r="N128">
        <f t="shared" si="5"/>
        <v>0</v>
      </c>
      <c r="R128" s="7" t="s">
        <v>274</v>
      </c>
      <c r="S128" s="7" t="s">
        <v>31</v>
      </c>
    </row>
    <row r="129" spans="1:19">
      <c r="A129" s="4" t="s">
        <v>275</v>
      </c>
      <c r="B129" s="4">
        <v>1</v>
      </c>
      <c r="C129">
        <v>1</v>
      </c>
      <c r="D129" s="14">
        <v>2</v>
      </c>
      <c r="E129" s="4">
        <v>1</v>
      </c>
      <c r="F129">
        <v>1</v>
      </c>
      <c r="G129" s="14">
        <v>2</v>
      </c>
      <c r="H129" s="4">
        <v>1</v>
      </c>
      <c r="I129">
        <v>1</v>
      </c>
      <c r="J129" s="14">
        <v>2</v>
      </c>
      <c r="K129">
        <f t="shared" si="3"/>
        <v>-1</v>
      </c>
      <c r="L129" s="4">
        <v>1</v>
      </c>
      <c r="M129">
        <f t="shared" si="4"/>
        <v>0</v>
      </c>
      <c r="N129">
        <f t="shared" si="5"/>
        <v>1</v>
      </c>
      <c r="R129" s="7" t="s">
        <v>276</v>
      </c>
      <c r="S129" s="7" t="s">
        <v>34</v>
      </c>
    </row>
    <row r="130" spans="1:19">
      <c r="A130" s="4" t="s">
        <v>277</v>
      </c>
      <c r="B130" s="4">
        <v>1</v>
      </c>
      <c r="C130">
        <v>1</v>
      </c>
      <c r="D130" s="14">
        <v>2</v>
      </c>
      <c r="E130" s="4">
        <v>1</v>
      </c>
      <c r="F130">
        <v>0</v>
      </c>
      <c r="G130" s="14">
        <v>1</v>
      </c>
      <c r="H130" s="4">
        <v>1</v>
      </c>
      <c r="I130">
        <v>0</v>
      </c>
      <c r="J130" s="14">
        <v>1</v>
      </c>
      <c r="K130">
        <f t="shared" si="3"/>
        <v>1</v>
      </c>
      <c r="L130" s="4">
        <v>1</v>
      </c>
      <c r="M130">
        <f t="shared" si="4"/>
        <v>1</v>
      </c>
      <c r="N130">
        <f t="shared" si="5"/>
        <v>2</v>
      </c>
      <c r="R130" s="7" t="s">
        <v>278</v>
      </c>
      <c r="S130" s="7" t="s">
        <v>37</v>
      </c>
    </row>
    <row r="131" spans="1:19">
      <c r="A131" s="4" t="s">
        <v>279</v>
      </c>
      <c r="B131" s="4">
        <v>1</v>
      </c>
      <c r="C131">
        <v>1</v>
      </c>
      <c r="D131" s="14">
        <v>2</v>
      </c>
      <c r="E131" s="4">
        <v>1</v>
      </c>
      <c r="F131">
        <v>1</v>
      </c>
      <c r="G131" s="14">
        <v>2</v>
      </c>
      <c r="H131" s="4">
        <v>1</v>
      </c>
      <c r="I131">
        <v>1</v>
      </c>
      <c r="J131" s="14">
        <v>2</v>
      </c>
      <c r="K131">
        <f t="shared" si="3"/>
        <v>-1</v>
      </c>
      <c r="L131" s="4">
        <v>1</v>
      </c>
      <c r="M131">
        <f t="shared" si="4"/>
        <v>0</v>
      </c>
      <c r="N131">
        <f t="shared" si="5"/>
        <v>1</v>
      </c>
      <c r="R131" s="7" t="s">
        <v>280</v>
      </c>
      <c r="S131" s="7" t="s">
        <v>40</v>
      </c>
    </row>
    <row r="132" spans="1:19">
      <c r="A132" s="4" t="s">
        <v>281</v>
      </c>
      <c r="B132" s="4">
        <v>1</v>
      </c>
      <c r="C132">
        <v>0</v>
      </c>
      <c r="D132" s="14">
        <v>1</v>
      </c>
      <c r="E132" s="4">
        <v>1</v>
      </c>
      <c r="F132">
        <v>0</v>
      </c>
      <c r="G132" s="14">
        <v>1</v>
      </c>
      <c r="H132" s="4">
        <v>1</v>
      </c>
      <c r="I132">
        <v>1</v>
      </c>
      <c r="J132" s="14">
        <v>2</v>
      </c>
      <c r="K132">
        <f t="shared" ref="K132:K195" si="6">C132-P$3*F132-Q$3*I132</f>
        <v>-1</v>
      </c>
      <c r="L132" s="4">
        <v>1</v>
      </c>
      <c r="M132">
        <f t="shared" ref="M132:M195" si="7">IF(K132&lt;0,0,1)</f>
        <v>0</v>
      </c>
      <c r="N132">
        <f t="shared" ref="N132:N195" si="8">L132+M132</f>
        <v>1</v>
      </c>
      <c r="R132" s="7" t="s">
        <v>282</v>
      </c>
      <c r="S132" s="7" t="s">
        <v>31</v>
      </c>
    </row>
    <row r="133" spans="1:19">
      <c r="A133" s="4" t="s">
        <v>283</v>
      </c>
      <c r="B133" s="4">
        <v>1</v>
      </c>
      <c r="C133">
        <v>0</v>
      </c>
      <c r="D133" s="14">
        <v>1</v>
      </c>
      <c r="E133" s="4">
        <v>1</v>
      </c>
      <c r="F133">
        <v>0</v>
      </c>
      <c r="G133" s="14">
        <v>1</v>
      </c>
      <c r="H133" s="4">
        <v>1</v>
      </c>
      <c r="I133">
        <v>0</v>
      </c>
      <c r="J133" s="14">
        <v>1</v>
      </c>
      <c r="K133">
        <f t="shared" si="6"/>
        <v>0</v>
      </c>
      <c r="L133" s="4">
        <v>1</v>
      </c>
      <c r="M133">
        <f t="shared" si="7"/>
        <v>1</v>
      </c>
      <c r="N133">
        <f t="shared" si="8"/>
        <v>2</v>
      </c>
      <c r="R133" s="7" t="s">
        <v>284</v>
      </c>
      <c r="S133" s="7" t="s">
        <v>16</v>
      </c>
    </row>
    <row r="134" spans="1:19">
      <c r="A134" s="4" t="s">
        <v>285</v>
      </c>
      <c r="B134" s="4">
        <v>0</v>
      </c>
      <c r="C134">
        <v>1</v>
      </c>
      <c r="D134" s="14">
        <v>1</v>
      </c>
      <c r="E134" s="4">
        <v>0</v>
      </c>
      <c r="F134">
        <v>0</v>
      </c>
      <c r="G134" s="14">
        <v>0</v>
      </c>
      <c r="H134" s="4">
        <v>0</v>
      </c>
      <c r="I134">
        <v>0</v>
      </c>
      <c r="J134" s="14">
        <v>0</v>
      </c>
      <c r="K134">
        <f t="shared" si="6"/>
        <v>1</v>
      </c>
      <c r="L134" s="4">
        <v>0</v>
      </c>
      <c r="M134">
        <f t="shared" si="7"/>
        <v>1</v>
      </c>
      <c r="N134">
        <f t="shared" si="8"/>
        <v>1</v>
      </c>
      <c r="R134" s="7" t="s">
        <v>286</v>
      </c>
      <c r="S134" s="7" t="s">
        <v>19</v>
      </c>
    </row>
    <row r="135" spans="1:19">
      <c r="A135" s="4" t="s">
        <v>287</v>
      </c>
      <c r="B135" s="4">
        <v>1</v>
      </c>
      <c r="C135">
        <v>0</v>
      </c>
      <c r="D135" s="14">
        <v>1</v>
      </c>
      <c r="E135" s="4">
        <v>1</v>
      </c>
      <c r="F135">
        <v>0</v>
      </c>
      <c r="G135" s="14">
        <v>1</v>
      </c>
      <c r="H135" s="4">
        <v>1</v>
      </c>
      <c r="I135">
        <v>0</v>
      </c>
      <c r="J135" s="14">
        <v>1</v>
      </c>
      <c r="K135">
        <f t="shared" si="6"/>
        <v>0</v>
      </c>
      <c r="L135" s="4">
        <v>1</v>
      </c>
      <c r="M135">
        <f t="shared" si="7"/>
        <v>1</v>
      </c>
      <c r="N135">
        <f t="shared" si="8"/>
        <v>2</v>
      </c>
      <c r="R135" s="7" t="s">
        <v>288</v>
      </c>
      <c r="S135" s="7" t="s">
        <v>22</v>
      </c>
    </row>
    <row r="136" spans="1:19">
      <c r="A136" s="4" t="s">
        <v>289</v>
      </c>
      <c r="B136" s="4">
        <v>1</v>
      </c>
      <c r="C136">
        <v>0</v>
      </c>
      <c r="D136" s="14">
        <v>1</v>
      </c>
      <c r="E136" s="4">
        <v>1</v>
      </c>
      <c r="F136">
        <v>1</v>
      </c>
      <c r="G136" s="14">
        <v>2</v>
      </c>
      <c r="H136" s="4">
        <v>1</v>
      </c>
      <c r="I136">
        <v>0</v>
      </c>
      <c r="J136" s="14">
        <v>1</v>
      </c>
      <c r="K136">
        <f t="shared" si="6"/>
        <v>-1</v>
      </c>
      <c r="L136" s="4">
        <v>1</v>
      </c>
      <c r="M136">
        <f t="shared" si="7"/>
        <v>0</v>
      </c>
      <c r="N136">
        <f t="shared" si="8"/>
        <v>1</v>
      </c>
      <c r="R136" s="7" t="s">
        <v>290</v>
      </c>
      <c r="S136" s="7" t="s">
        <v>25</v>
      </c>
    </row>
    <row r="137" spans="1:19">
      <c r="A137" s="4" t="s">
        <v>291</v>
      </c>
      <c r="B137" s="4">
        <v>1</v>
      </c>
      <c r="C137">
        <v>0</v>
      </c>
      <c r="D137" s="14">
        <v>1</v>
      </c>
      <c r="E137" s="4">
        <v>1</v>
      </c>
      <c r="F137">
        <v>0</v>
      </c>
      <c r="G137" s="14">
        <v>1</v>
      </c>
      <c r="H137" s="4">
        <v>1</v>
      </c>
      <c r="I137">
        <v>0</v>
      </c>
      <c r="J137" s="14">
        <v>1</v>
      </c>
      <c r="K137">
        <f t="shared" si="6"/>
        <v>0</v>
      </c>
      <c r="L137" s="4">
        <v>1</v>
      </c>
      <c r="M137">
        <f t="shared" si="7"/>
        <v>1</v>
      </c>
      <c r="N137">
        <f t="shared" si="8"/>
        <v>2</v>
      </c>
      <c r="R137" s="7" t="s">
        <v>292</v>
      </c>
      <c r="S137" s="7" t="s">
        <v>28</v>
      </c>
    </row>
    <row r="138" spans="1:19">
      <c r="A138" s="4" t="s">
        <v>293</v>
      </c>
      <c r="B138" s="4">
        <v>1</v>
      </c>
      <c r="C138">
        <v>0</v>
      </c>
      <c r="D138" s="14">
        <v>1</v>
      </c>
      <c r="E138" s="4">
        <v>1</v>
      </c>
      <c r="F138">
        <v>1</v>
      </c>
      <c r="G138" s="14">
        <v>2</v>
      </c>
      <c r="H138" s="4">
        <v>1</v>
      </c>
      <c r="I138">
        <v>1</v>
      </c>
      <c r="J138" s="14">
        <v>2</v>
      </c>
      <c r="K138">
        <f t="shared" si="6"/>
        <v>-2</v>
      </c>
      <c r="L138" s="4">
        <v>1</v>
      </c>
      <c r="M138">
        <f t="shared" si="7"/>
        <v>0</v>
      </c>
      <c r="N138">
        <f t="shared" si="8"/>
        <v>1</v>
      </c>
      <c r="R138" s="7" t="s">
        <v>294</v>
      </c>
      <c r="S138" s="7" t="s">
        <v>16</v>
      </c>
    </row>
    <row r="139" spans="1:19">
      <c r="A139" s="4" t="s">
        <v>295</v>
      </c>
      <c r="B139" s="4">
        <v>1</v>
      </c>
      <c r="C139">
        <v>0</v>
      </c>
      <c r="D139" s="14">
        <v>1</v>
      </c>
      <c r="E139" s="4">
        <v>1</v>
      </c>
      <c r="F139">
        <v>1</v>
      </c>
      <c r="G139" s="14">
        <v>2</v>
      </c>
      <c r="H139" s="4">
        <v>1</v>
      </c>
      <c r="I139">
        <v>1</v>
      </c>
      <c r="J139" s="14">
        <v>2</v>
      </c>
      <c r="K139">
        <f t="shared" si="6"/>
        <v>-2</v>
      </c>
      <c r="L139" s="4">
        <v>1</v>
      </c>
      <c r="M139">
        <f t="shared" si="7"/>
        <v>0</v>
      </c>
      <c r="N139">
        <f t="shared" si="8"/>
        <v>1</v>
      </c>
      <c r="R139" s="7" t="s">
        <v>296</v>
      </c>
      <c r="S139" s="7" t="s">
        <v>34</v>
      </c>
    </row>
    <row r="140" spans="1:19">
      <c r="A140" s="4" t="s">
        <v>297</v>
      </c>
      <c r="B140" s="4">
        <v>0</v>
      </c>
      <c r="C140">
        <v>0</v>
      </c>
      <c r="D140" s="14">
        <v>0</v>
      </c>
      <c r="E140" s="4">
        <v>0</v>
      </c>
      <c r="F140">
        <v>0</v>
      </c>
      <c r="G140" s="14">
        <v>0</v>
      </c>
      <c r="H140" s="4">
        <v>0</v>
      </c>
      <c r="I140">
        <v>1</v>
      </c>
      <c r="J140" s="14">
        <v>1</v>
      </c>
      <c r="K140">
        <f t="shared" si="6"/>
        <v>-1</v>
      </c>
      <c r="L140" s="4">
        <v>0</v>
      </c>
      <c r="M140">
        <f t="shared" si="7"/>
        <v>0</v>
      </c>
      <c r="N140">
        <f t="shared" si="8"/>
        <v>0</v>
      </c>
      <c r="R140" s="7" t="s">
        <v>298</v>
      </c>
      <c r="S140" s="7" t="s">
        <v>37</v>
      </c>
    </row>
    <row r="141" spans="1:19">
      <c r="A141" s="4" t="s">
        <v>299</v>
      </c>
      <c r="B141" s="4">
        <v>1</v>
      </c>
      <c r="C141">
        <v>1</v>
      </c>
      <c r="D141" s="14">
        <v>2</v>
      </c>
      <c r="E141" s="4">
        <v>1</v>
      </c>
      <c r="F141">
        <v>0</v>
      </c>
      <c r="G141" s="14">
        <v>1</v>
      </c>
      <c r="H141" s="4">
        <v>1</v>
      </c>
      <c r="I141">
        <v>1</v>
      </c>
      <c r="J141" s="14">
        <v>2</v>
      </c>
      <c r="K141">
        <f t="shared" si="6"/>
        <v>0</v>
      </c>
      <c r="L141" s="4">
        <v>1</v>
      </c>
      <c r="M141">
        <f t="shared" si="7"/>
        <v>1</v>
      </c>
      <c r="N141">
        <f t="shared" si="8"/>
        <v>2</v>
      </c>
      <c r="R141" s="7" t="s">
        <v>300</v>
      </c>
      <c r="S141" s="7" t="s">
        <v>40</v>
      </c>
    </row>
    <row r="142" spans="1:19">
      <c r="A142" s="4" t="s">
        <v>301</v>
      </c>
      <c r="B142" s="4">
        <v>0</v>
      </c>
      <c r="C142">
        <v>1</v>
      </c>
      <c r="D142" s="14">
        <v>1</v>
      </c>
      <c r="E142" s="4">
        <v>0</v>
      </c>
      <c r="F142">
        <v>1</v>
      </c>
      <c r="G142" s="14">
        <v>1</v>
      </c>
      <c r="H142" s="4">
        <v>0</v>
      </c>
      <c r="I142">
        <v>0</v>
      </c>
      <c r="J142" s="14">
        <v>0</v>
      </c>
      <c r="K142">
        <f t="shared" si="6"/>
        <v>0</v>
      </c>
      <c r="L142" s="4">
        <v>0</v>
      </c>
      <c r="M142">
        <f t="shared" si="7"/>
        <v>1</v>
      </c>
      <c r="N142">
        <f t="shared" si="8"/>
        <v>1</v>
      </c>
      <c r="R142" s="7" t="s">
        <v>302</v>
      </c>
      <c r="S142" s="7" t="s">
        <v>31</v>
      </c>
    </row>
    <row r="143" spans="1:19">
      <c r="A143" s="4" t="s">
        <v>303</v>
      </c>
      <c r="B143" s="4">
        <v>0</v>
      </c>
      <c r="C143">
        <v>0</v>
      </c>
      <c r="D143" s="14">
        <v>0</v>
      </c>
      <c r="E143" s="4">
        <v>0</v>
      </c>
      <c r="F143">
        <v>1</v>
      </c>
      <c r="G143" s="14">
        <v>1</v>
      </c>
      <c r="H143" s="4">
        <v>0</v>
      </c>
      <c r="I143">
        <v>0</v>
      </c>
      <c r="J143" s="14">
        <v>0</v>
      </c>
      <c r="K143">
        <f t="shared" si="6"/>
        <v>-1</v>
      </c>
      <c r="L143" s="4">
        <v>0</v>
      </c>
      <c r="M143">
        <f t="shared" si="7"/>
        <v>0</v>
      </c>
      <c r="N143">
        <f t="shared" si="8"/>
        <v>0</v>
      </c>
      <c r="R143" s="7" t="s">
        <v>304</v>
      </c>
      <c r="S143" s="7" t="s">
        <v>16</v>
      </c>
    </row>
    <row r="144" spans="1:19">
      <c r="A144" s="4" t="s">
        <v>305</v>
      </c>
      <c r="B144" s="4">
        <v>1</v>
      </c>
      <c r="C144">
        <v>0</v>
      </c>
      <c r="D144" s="14">
        <v>1</v>
      </c>
      <c r="E144" s="4">
        <v>1</v>
      </c>
      <c r="F144">
        <v>1</v>
      </c>
      <c r="G144" s="14">
        <v>2</v>
      </c>
      <c r="H144" s="4">
        <v>1</v>
      </c>
      <c r="I144">
        <v>0</v>
      </c>
      <c r="J144" s="14">
        <v>1</v>
      </c>
      <c r="K144">
        <f t="shared" si="6"/>
        <v>-1</v>
      </c>
      <c r="L144" s="4">
        <v>1</v>
      </c>
      <c r="M144">
        <f t="shared" si="7"/>
        <v>0</v>
      </c>
      <c r="N144">
        <f t="shared" si="8"/>
        <v>1</v>
      </c>
      <c r="R144" s="7" t="s">
        <v>306</v>
      </c>
      <c r="S144" s="7" t="s">
        <v>19</v>
      </c>
    </row>
    <row r="145" spans="1:19">
      <c r="A145" s="4" t="s">
        <v>307</v>
      </c>
      <c r="B145" s="4">
        <v>1</v>
      </c>
      <c r="C145">
        <v>1</v>
      </c>
      <c r="D145" s="14">
        <v>2</v>
      </c>
      <c r="E145" s="4">
        <v>1</v>
      </c>
      <c r="F145">
        <v>0</v>
      </c>
      <c r="G145" s="14">
        <v>1</v>
      </c>
      <c r="H145" s="4">
        <v>1</v>
      </c>
      <c r="I145">
        <v>0</v>
      </c>
      <c r="J145" s="14">
        <v>1</v>
      </c>
      <c r="K145">
        <f t="shared" si="6"/>
        <v>1</v>
      </c>
      <c r="L145" s="4">
        <v>1</v>
      </c>
      <c r="M145">
        <f t="shared" si="7"/>
        <v>1</v>
      </c>
      <c r="N145">
        <f t="shared" si="8"/>
        <v>2</v>
      </c>
      <c r="R145" s="7" t="s">
        <v>308</v>
      </c>
      <c r="S145" s="7" t="s">
        <v>22</v>
      </c>
    </row>
    <row r="146" spans="1:19">
      <c r="A146" s="4" t="s">
        <v>309</v>
      </c>
      <c r="B146" s="4">
        <v>1</v>
      </c>
      <c r="C146">
        <v>1</v>
      </c>
      <c r="D146" s="14">
        <v>2</v>
      </c>
      <c r="E146" s="4">
        <v>1</v>
      </c>
      <c r="F146">
        <v>0</v>
      </c>
      <c r="G146" s="14">
        <v>1</v>
      </c>
      <c r="H146" s="4">
        <v>1</v>
      </c>
      <c r="I146">
        <v>0</v>
      </c>
      <c r="J146" s="14">
        <v>1</v>
      </c>
      <c r="K146">
        <f t="shared" si="6"/>
        <v>1</v>
      </c>
      <c r="L146" s="4">
        <v>1</v>
      </c>
      <c r="M146">
        <f t="shared" si="7"/>
        <v>1</v>
      </c>
      <c r="N146">
        <f t="shared" si="8"/>
        <v>2</v>
      </c>
      <c r="R146" s="7" t="s">
        <v>310</v>
      </c>
      <c r="S146" s="7" t="s">
        <v>25</v>
      </c>
    </row>
    <row r="147" spans="1:19">
      <c r="A147" s="4" t="s">
        <v>311</v>
      </c>
      <c r="B147" s="4">
        <v>1</v>
      </c>
      <c r="C147">
        <v>1</v>
      </c>
      <c r="D147" s="14">
        <v>2</v>
      </c>
      <c r="E147" s="4">
        <v>1</v>
      </c>
      <c r="F147">
        <v>1</v>
      </c>
      <c r="G147" s="14">
        <v>2</v>
      </c>
      <c r="H147" s="4">
        <v>1</v>
      </c>
      <c r="I147">
        <v>1</v>
      </c>
      <c r="J147" s="14">
        <v>2</v>
      </c>
      <c r="K147">
        <f t="shared" si="6"/>
        <v>-1</v>
      </c>
      <c r="L147" s="4">
        <v>1</v>
      </c>
      <c r="M147">
        <f t="shared" si="7"/>
        <v>0</v>
      </c>
      <c r="N147">
        <f t="shared" si="8"/>
        <v>1</v>
      </c>
      <c r="R147" s="7" t="s">
        <v>312</v>
      </c>
      <c r="S147" s="7" t="s">
        <v>28</v>
      </c>
    </row>
    <row r="148" spans="1:19">
      <c r="A148" s="4" t="s">
        <v>313</v>
      </c>
      <c r="B148" s="4">
        <v>0</v>
      </c>
      <c r="C148">
        <v>0</v>
      </c>
      <c r="D148" s="14">
        <v>0</v>
      </c>
      <c r="E148" s="4">
        <v>0</v>
      </c>
      <c r="F148">
        <v>0</v>
      </c>
      <c r="G148" s="14">
        <v>0</v>
      </c>
      <c r="H148" s="4">
        <v>0</v>
      </c>
      <c r="I148">
        <v>1</v>
      </c>
      <c r="J148" s="14">
        <v>1</v>
      </c>
      <c r="K148">
        <f t="shared" si="6"/>
        <v>-1</v>
      </c>
      <c r="L148" s="4">
        <v>0</v>
      </c>
      <c r="M148">
        <f t="shared" si="7"/>
        <v>0</v>
      </c>
      <c r="N148">
        <f t="shared" si="8"/>
        <v>0</v>
      </c>
      <c r="R148" s="7" t="s">
        <v>314</v>
      </c>
      <c r="S148" s="7" t="s">
        <v>19</v>
      </c>
    </row>
    <row r="149" spans="1:19">
      <c r="A149" s="4" t="s">
        <v>315</v>
      </c>
      <c r="B149" s="4">
        <v>0</v>
      </c>
      <c r="C149">
        <v>1</v>
      </c>
      <c r="D149" s="14">
        <v>1</v>
      </c>
      <c r="E149" s="4">
        <v>0</v>
      </c>
      <c r="F149">
        <v>0</v>
      </c>
      <c r="G149" s="14">
        <v>0</v>
      </c>
      <c r="H149" s="4">
        <v>0</v>
      </c>
      <c r="I149">
        <v>1</v>
      </c>
      <c r="J149" s="14">
        <v>1</v>
      </c>
      <c r="K149">
        <f t="shared" si="6"/>
        <v>0</v>
      </c>
      <c r="L149" s="4">
        <v>0</v>
      </c>
      <c r="M149">
        <f t="shared" si="7"/>
        <v>1</v>
      </c>
      <c r="N149">
        <f t="shared" si="8"/>
        <v>1</v>
      </c>
      <c r="R149" s="7" t="s">
        <v>316</v>
      </c>
      <c r="S149" s="7" t="s">
        <v>34</v>
      </c>
    </row>
    <row r="150" spans="1:19">
      <c r="A150" s="4" t="s">
        <v>317</v>
      </c>
      <c r="B150" s="4">
        <v>0</v>
      </c>
      <c r="C150">
        <v>1</v>
      </c>
      <c r="D150" s="14">
        <v>1</v>
      </c>
      <c r="E150" s="4">
        <v>0</v>
      </c>
      <c r="F150">
        <v>0</v>
      </c>
      <c r="G150" s="14">
        <v>0</v>
      </c>
      <c r="H150" s="4">
        <v>0</v>
      </c>
      <c r="I150">
        <v>0</v>
      </c>
      <c r="J150" s="14">
        <v>0</v>
      </c>
      <c r="K150">
        <f t="shared" si="6"/>
        <v>1</v>
      </c>
      <c r="L150" s="4">
        <v>0</v>
      </c>
      <c r="M150">
        <f t="shared" si="7"/>
        <v>1</v>
      </c>
      <c r="N150">
        <f t="shared" si="8"/>
        <v>1</v>
      </c>
      <c r="R150" s="7" t="s">
        <v>318</v>
      </c>
      <c r="S150" s="7" t="s">
        <v>37</v>
      </c>
    </row>
    <row r="151" spans="1:19">
      <c r="A151" s="4" t="s">
        <v>319</v>
      </c>
      <c r="B151" s="4">
        <v>0</v>
      </c>
      <c r="C151">
        <v>1</v>
      </c>
      <c r="D151" s="14">
        <v>1</v>
      </c>
      <c r="E151" s="4">
        <v>0</v>
      </c>
      <c r="F151">
        <v>0</v>
      </c>
      <c r="G151" s="14">
        <v>0</v>
      </c>
      <c r="H151" s="4">
        <v>0</v>
      </c>
      <c r="I151">
        <v>1</v>
      </c>
      <c r="J151" s="14">
        <v>1</v>
      </c>
      <c r="K151">
        <f t="shared" si="6"/>
        <v>0</v>
      </c>
      <c r="L151" s="4">
        <v>0</v>
      </c>
      <c r="M151">
        <f t="shared" si="7"/>
        <v>1</v>
      </c>
      <c r="N151">
        <f t="shared" si="8"/>
        <v>1</v>
      </c>
      <c r="R151" s="7" t="s">
        <v>320</v>
      </c>
      <c r="S151" s="7" t="s">
        <v>40</v>
      </c>
    </row>
    <row r="152" spans="1:19">
      <c r="A152" s="4" t="s">
        <v>321</v>
      </c>
      <c r="B152" s="4">
        <v>1</v>
      </c>
      <c r="C152">
        <v>0</v>
      </c>
      <c r="D152" s="14">
        <v>1</v>
      </c>
      <c r="E152" s="4">
        <v>1</v>
      </c>
      <c r="F152">
        <v>1</v>
      </c>
      <c r="G152" s="14">
        <v>2</v>
      </c>
      <c r="H152" s="4">
        <v>1</v>
      </c>
      <c r="I152">
        <v>1</v>
      </c>
      <c r="J152" s="14">
        <v>2</v>
      </c>
      <c r="K152">
        <f t="shared" si="6"/>
        <v>-2</v>
      </c>
      <c r="L152" s="4">
        <v>1</v>
      </c>
      <c r="M152">
        <f t="shared" si="7"/>
        <v>0</v>
      </c>
      <c r="N152">
        <f t="shared" si="8"/>
        <v>1</v>
      </c>
      <c r="R152" s="7" t="s">
        <v>322</v>
      </c>
      <c r="S152" s="7" t="s">
        <v>31</v>
      </c>
    </row>
    <row r="153" spans="1:19">
      <c r="A153" s="4" t="s">
        <v>323</v>
      </c>
      <c r="B153" s="4">
        <v>0</v>
      </c>
      <c r="C153">
        <v>0</v>
      </c>
      <c r="D153" s="14">
        <v>0</v>
      </c>
      <c r="E153" s="4">
        <v>0</v>
      </c>
      <c r="F153">
        <v>0</v>
      </c>
      <c r="G153" s="14">
        <v>0</v>
      </c>
      <c r="H153" s="4">
        <v>0</v>
      </c>
      <c r="I153">
        <v>0</v>
      </c>
      <c r="J153" s="14">
        <v>0</v>
      </c>
      <c r="K153">
        <f t="shared" si="6"/>
        <v>0</v>
      </c>
      <c r="L153" s="4">
        <v>0</v>
      </c>
      <c r="M153">
        <f t="shared" si="7"/>
        <v>1</v>
      </c>
      <c r="N153">
        <f t="shared" si="8"/>
        <v>1</v>
      </c>
      <c r="R153" s="7" t="s">
        <v>324</v>
      </c>
      <c r="S153" s="7" t="s">
        <v>16</v>
      </c>
    </row>
    <row r="154" spans="1:19">
      <c r="A154" s="4" t="s">
        <v>325</v>
      </c>
      <c r="B154" s="4">
        <v>0</v>
      </c>
      <c r="C154">
        <v>1</v>
      </c>
      <c r="D154" s="14">
        <v>1</v>
      </c>
      <c r="E154" s="4">
        <v>0</v>
      </c>
      <c r="F154">
        <v>1</v>
      </c>
      <c r="G154" s="14">
        <v>1</v>
      </c>
      <c r="H154" s="4">
        <v>0</v>
      </c>
      <c r="I154">
        <v>1</v>
      </c>
      <c r="J154" s="14">
        <v>1</v>
      </c>
      <c r="K154">
        <f t="shared" si="6"/>
        <v>-1</v>
      </c>
      <c r="L154" s="4">
        <v>0</v>
      </c>
      <c r="M154">
        <f t="shared" si="7"/>
        <v>0</v>
      </c>
      <c r="N154">
        <f t="shared" si="8"/>
        <v>0</v>
      </c>
      <c r="R154" s="7" t="s">
        <v>326</v>
      </c>
      <c r="S154" s="7" t="s">
        <v>19</v>
      </c>
    </row>
    <row r="155" spans="1:19">
      <c r="A155" s="4" t="s">
        <v>327</v>
      </c>
      <c r="B155" s="4">
        <v>1</v>
      </c>
      <c r="C155">
        <v>1</v>
      </c>
      <c r="D155" s="14">
        <v>2</v>
      </c>
      <c r="E155" s="4">
        <v>1</v>
      </c>
      <c r="F155">
        <v>0</v>
      </c>
      <c r="G155" s="14">
        <v>1</v>
      </c>
      <c r="H155" s="4">
        <v>1</v>
      </c>
      <c r="I155">
        <v>0</v>
      </c>
      <c r="J155" s="14">
        <v>1</v>
      </c>
      <c r="K155">
        <f t="shared" si="6"/>
        <v>1</v>
      </c>
      <c r="L155" s="4">
        <v>1</v>
      </c>
      <c r="M155">
        <f t="shared" si="7"/>
        <v>1</v>
      </c>
      <c r="N155">
        <f t="shared" si="8"/>
        <v>2</v>
      </c>
      <c r="R155" s="7" t="s">
        <v>328</v>
      </c>
      <c r="S155" s="7" t="s">
        <v>22</v>
      </c>
    </row>
    <row r="156" spans="1:19">
      <c r="A156" s="4" t="s">
        <v>329</v>
      </c>
      <c r="B156" s="4">
        <v>0</v>
      </c>
      <c r="C156">
        <v>0</v>
      </c>
      <c r="D156" s="14">
        <v>0</v>
      </c>
      <c r="E156" s="4">
        <v>0</v>
      </c>
      <c r="F156">
        <v>1</v>
      </c>
      <c r="G156" s="14">
        <v>1</v>
      </c>
      <c r="H156" s="4">
        <v>0</v>
      </c>
      <c r="I156">
        <v>0</v>
      </c>
      <c r="J156" s="14">
        <v>0</v>
      </c>
      <c r="K156">
        <f t="shared" si="6"/>
        <v>-1</v>
      </c>
      <c r="L156" s="4">
        <v>0</v>
      </c>
      <c r="M156">
        <f t="shared" si="7"/>
        <v>0</v>
      </c>
      <c r="N156">
        <f t="shared" si="8"/>
        <v>0</v>
      </c>
      <c r="R156" s="7" t="s">
        <v>330</v>
      </c>
      <c r="S156" s="7" t="s">
        <v>25</v>
      </c>
    </row>
    <row r="157" spans="1:19">
      <c r="A157" s="4" t="s">
        <v>331</v>
      </c>
      <c r="B157" s="4">
        <v>1</v>
      </c>
      <c r="C157">
        <v>1</v>
      </c>
      <c r="D157" s="14">
        <v>2</v>
      </c>
      <c r="E157" s="4">
        <v>1</v>
      </c>
      <c r="F157">
        <v>1</v>
      </c>
      <c r="G157" s="14">
        <v>2</v>
      </c>
      <c r="H157" s="4">
        <v>1</v>
      </c>
      <c r="I157">
        <v>1</v>
      </c>
      <c r="J157" s="14">
        <v>2</v>
      </c>
      <c r="K157">
        <f t="shared" si="6"/>
        <v>-1</v>
      </c>
      <c r="L157" s="4">
        <v>1</v>
      </c>
      <c r="M157">
        <f t="shared" si="7"/>
        <v>0</v>
      </c>
      <c r="N157">
        <f t="shared" si="8"/>
        <v>1</v>
      </c>
      <c r="R157" s="7" t="s">
        <v>332</v>
      </c>
      <c r="S157" s="7" t="s">
        <v>28</v>
      </c>
    </row>
    <row r="158" spans="1:19">
      <c r="A158" s="4" t="s">
        <v>333</v>
      </c>
      <c r="B158" s="4">
        <v>0</v>
      </c>
      <c r="C158">
        <v>0</v>
      </c>
      <c r="D158" s="14">
        <v>0</v>
      </c>
      <c r="E158" s="4">
        <v>0</v>
      </c>
      <c r="F158">
        <v>1</v>
      </c>
      <c r="G158" s="14">
        <v>1</v>
      </c>
      <c r="H158" s="4">
        <v>0</v>
      </c>
      <c r="I158">
        <v>0</v>
      </c>
      <c r="J158" s="14">
        <v>0</v>
      </c>
      <c r="K158">
        <f t="shared" si="6"/>
        <v>-1</v>
      </c>
      <c r="L158" s="4">
        <v>0</v>
      </c>
      <c r="M158">
        <f t="shared" si="7"/>
        <v>0</v>
      </c>
      <c r="N158">
        <f t="shared" si="8"/>
        <v>0</v>
      </c>
      <c r="R158" s="7" t="s">
        <v>334</v>
      </c>
      <c r="S158" s="7" t="s">
        <v>22</v>
      </c>
    </row>
    <row r="159" spans="1:19">
      <c r="A159" s="4" t="s">
        <v>335</v>
      </c>
      <c r="B159" s="4">
        <v>1</v>
      </c>
      <c r="C159">
        <v>0</v>
      </c>
      <c r="D159" s="14">
        <v>1</v>
      </c>
      <c r="E159" s="4">
        <v>1</v>
      </c>
      <c r="F159">
        <v>1</v>
      </c>
      <c r="G159" s="14">
        <v>2</v>
      </c>
      <c r="H159" s="4">
        <v>1</v>
      </c>
      <c r="I159">
        <v>1</v>
      </c>
      <c r="J159" s="14">
        <v>2</v>
      </c>
      <c r="K159">
        <f t="shared" si="6"/>
        <v>-2</v>
      </c>
      <c r="L159" s="4">
        <v>1</v>
      </c>
      <c r="M159">
        <f t="shared" si="7"/>
        <v>0</v>
      </c>
      <c r="N159">
        <f t="shared" si="8"/>
        <v>1</v>
      </c>
      <c r="R159" s="7" t="s">
        <v>336</v>
      </c>
      <c r="S159" s="7" t="s">
        <v>34</v>
      </c>
    </row>
    <row r="160" spans="1:19">
      <c r="A160" s="4" t="s">
        <v>337</v>
      </c>
      <c r="B160" s="4">
        <v>0</v>
      </c>
      <c r="C160">
        <v>1</v>
      </c>
      <c r="D160" s="14">
        <v>1</v>
      </c>
      <c r="E160" s="4">
        <v>0</v>
      </c>
      <c r="F160">
        <v>0</v>
      </c>
      <c r="G160" s="14">
        <v>0</v>
      </c>
      <c r="H160" s="4">
        <v>0</v>
      </c>
      <c r="I160">
        <v>0</v>
      </c>
      <c r="J160" s="14">
        <v>0</v>
      </c>
      <c r="K160">
        <f t="shared" si="6"/>
        <v>1</v>
      </c>
      <c r="L160" s="4">
        <v>0</v>
      </c>
      <c r="M160">
        <f t="shared" si="7"/>
        <v>1</v>
      </c>
      <c r="N160">
        <f t="shared" si="8"/>
        <v>1</v>
      </c>
      <c r="R160" s="7" t="s">
        <v>338</v>
      </c>
      <c r="S160" s="7" t="s">
        <v>37</v>
      </c>
    </row>
    <row r="161" spans="1:19">
      <c r="A161" s="4" t="s">
        <v>339</v>
      </c>
      <c r="B161" s="4">
        <v>1</v>
      </c>
      <c r="C161">
        <v>0</v>
      </c>
      <c r="D161" s="14">
        <v>1</v>
      </c>
      <c r="E161" s="4">
        <v>1</v>
      </c>
      <c r="F161">
        <v>1</v>
      </c>
      <c r="G161" s="14">
        <v>2</v>
      </c>
      <c r="H161" s="4">
        <v>1</v>
      </c>
      <c r="I161">
        <v>1</v>
      </c>
      <c r="J161" s="14">
        <v>2</v>
      </c>
      <c r="K161">
        <f t="shared" si="6"/>
        <v>-2</v>
      </c>
      <c r="L161" s="4">
        <v>1</v>
      </c>
      <c r="M161">
        <f t="shared" si="7"/>
        <v>0</v>
      </c>
      <c r="N161">
        <f t="shared" si="8"/>
        <v>1</v>
      </c>
      <c r="R161" s="7" t="s">
        <v>340</v>
      </c>
      <c r="S161" s="7" t="s">
        <v>40</v>
      </c>
    </row>
    <row r="162" spans="1:19">
      <c r="A162" s="4" t="s">
        <v>341</v>
      </c>
      <c r="B162" s="4">
        <v>1</v>
      </c>
      <c r="C162">
        <v>1</v>
      </c>
      <c r="D162" s="14">
        <v>2</v>
      </c>
      <c r="E162" s="4">
        <v>1</v>
      </c>
      <c r="F162">
        <v>0</v>
      </c>
      <c r="G162" s="14">
        <v>1</v>
      </c>
      <c r="H162" s="4">
        <v>1</v>
      </c>
      <c r="I162">
        <v>1</v>
      </c>
      <c r="J162" s="14">
        <v>2</v>
      </c>
      <c r="K162">
        <f t="shared" si="6"/>
        <v>0</v>
      </c>
      <c r="L162" s="4">
        <v>1</v>
      </c>
      <c r="M162">
        <f t="shared" si="7"/>
        <v>1</v>
      </c>
      <c r="N162">
        <f t="shared" si="8"/>
        <v>2</v>
      </c>
      <c r="R162" s="7" t="s">
        <v>342</v>
      </c>
      <c r="S162" s="7" t="s">
        <v>31</v>
      </c>
    </row>
    <row r="163" spans="1:19">
      <c r="A163" s="4" t="s">
        <v>343</v>
      </c>
      <c r="B163" s="4">
        <v>1</v>
      </c>
      <c r="C163">
        <v>0</v>
      </c>
      <c r="D163" s="14">
        <v>1</v>
      </c>
      <c r="E163" s="4">
        <v>1</v>
      </c>
      <c r="F163">
        <v>1</v>
      </c>
      <c r="G163" s="14">
        <v>2</v>
      </c>
      <c r="H163" s="4">
        <v>1</v>
      </c>
      <c r="I163">
        <v>0</v>
      </c>
      <c r="J163" s="14">
        <v>1</v>
      </c>
      <c r="K163">
        <f t="shared" si="6"/>
        <v>-1</v>
      </c>
      <c r="L163" s="4">
        <v>1</v>
      </c>
      <c r="M163">
        <f t="shared" si="7"/>
        <v>0</v>
      </c>
      <c r="N163">
        <f t="shared" si="8"/>
        <v>1</v>
      </c>
      <c r="R163" s="7" t="s">
        <v>344</v>
      </c>
      <c r="S163" s="7" t="s">
        <v>16</v>
      </c>
    </row>
    <row r="164" spans="1:19">
      <c r="A164" s="4" t="s">
        <v>345</v>
      </c>
      <c r="B164" s="4">
        <v>0</v>
      </c>
      <c r="C164">
        <v>1</v>
      </c>
      <c r="D164" s="14">
        <v>1</v>
      </c>
      <c r="E164" s="4">
        <v>0</v>
      </c>
      <c r="F164">
        <v>1</v>
      </c>
      <c r="G164" s="14">
        <v>1</v>
      </c>
      <c r="H164" s="4">
        <v>0</v>
      </c>
      <c r="I164">
        <v>0</v>
      </c>
      <c r="J164" s="14">
        <v>0</v>
      </c>
      <c r="K164">
        <f t="shared" si="6"/>
        <v>0</v>
      </c>
      <c r="L164" s="4">
        <v>0</v>
      </c>
      <c r="M164">
        <f t="shared" si="7"/>
        <v>1</v>
      </c>
      <c r="N164">
        <f t="shared" si="8"/>
        <v>1</v>
      </c>
      <c r="R164" s="7" t="s">
        <v>346</v>
      </c>
      <c r="S164" s="7" t="s">
        <v>19</v>
      </c>
    </row>
    <row r="165" spans="1:19">
      <c r="A165" s="4" t="s">
        <v>347</v>
      </c>
      <c r="B165" s="4">
        <v>0</v>
      </c>
      <c r="C165">
        <v>1</v>
      </c>
      <c r="D165" s="14">
        <v>1</v>
      </c>
      <c r="E165" s="4">
        <v>0</v>
      </c>
      <c r="F165">
        <v>0</v>
      </c>
      <c r="G165" s="14">
        <v>0</v>
      </c>
      <c r="H165" s="4">
        <v>0</v>
      </c>
      <c r="I165">
        <v>1</v>
      </c>
      <c r="J165" s="14">
        <v>1</v>
      </c>
      <c r="K165">
        <f t="shared" si="6"/>
        <v>0</v>
      </c>
      <c r="L165" s="4">
        <v>0</v>
      </c>
      <c r="M165">
        <f t="shared" si="7"/>
        <v>1</v>
      </c>
      <c r="N165">
        <f t="shared" si="8"/>
        <v>1</v>
      </c>
      <c r="R165" s="7" t="s">
        <v>348</v>
      </c>
      <c r="S165" s="7" t="s">
        <v>22</v>
      </c>
    </row>
    <row r="166" spans="1:19">
      <c r="A166" s="4" t="s">
        <v>349</v>
      </c>
      <c r="B166" s="4">
        <v>0</v>
      </c>
      <c r="C166">
        <v>0</v>
      </c>
      <c r="D166" s="14">
        <v>0</v>
      </c>
      <c r="E166" s="4">
        <v>0</v>
      </c>
      <c r="F166">
        <v>1</v>
      </c>
      <c r="G166" s="14">
        <v>1</v>
      </c>
      <c r="H166" s="4">
        <v>0</v>
      </c>
      <c r="I166">
        <v>1</v>
      </c>
      <c r="J166" s="14">
        <v>1</v>
      </c>
      <c r="K166">
        <f t="shared" si="6"/>
        <v>-2</v>
      </c>
      <c r="L166" s="4">
        <v>0</v>
      </c>
      <c r="M166">
        <f t="shared" si="7"/>
        <v>0</v>
      </c>
      <c r="N166">
        <f t="shared" si="8"/>
        <v>0</v>
      </c>
      <c r="R166" s="7" t="s">
        <v>350</v>
      </c>
      <c r="S166" s="7" t="s">
        <v>25</v>
      </c>
    </row>
    <row r="167" spans="1:19">
      <c r="A167" s="4" t="s">
        <v>351</v>
      </c>
      <c r="B167" s="4">
        <v>1</v>
      </c>
      <c r="C167">
        <v>0</v>
      </c>
      <c r="D167" s="14">
        <v>1</v>
      </c>
      <c r="E167" s="4">
        <v>1</v>
      </c>
      <c r="F167">
        <v>1</v>
      </c>
      <c r="G167" s="14">
        <v>2</v>
      </c>
      <c r="H167" s="4">
        <v>1</v>
      </c>
      <c r="I167">
        <v>0</v>
      </c>
      <c r="J167" s="14">
        <v>1</v>
      </c>
      <c r="K167">
        <f t="shared" si="6"/>
        <v>-1</v>
      </c>
      <c r="L167" s="4">
        <v>1</v>
      </c>
      <c r="M167">
        <f t="shared" si="7"/>
        <v>0</v>
      </c>
      <c r="N167">
        <f t="shared" si="8"/>
        <v>1</v>
      </c>
      <c r="R167" s="7" t="s">
        <v>352</v>
      </c>
      <c r="S167" s="7" t="s">
        <v>28</v>
      </c>
    </row>
    <row r="168" spans="1:19">
      <c r="A168" s="4" t="s">
        <v>353</v>
      </c>
      <c r="B168" s="4">
        <v>1</v>
      </c>
      <c r="C168">
        <v>0</v>
      </c>
      <c r="D168" s="14">
        <v>1</v>
      </c>
      <c r="E168" s="4">
        <v>1</v>
      </c>
      <c r="F168">
        <v>0</v>
      </c>
      <c r="G168" s="14">
        <v>1</v>
      </c>
      <c r="H168" s="4">
        <v>1</v>
      </c>
      <c r="I168">
        <v>1</v>
      </c>
      <c r="J168" s="14">
        <v>2</v>
      </c>
      <c r="K168">
        <f t="shared" si="6"/>
        <v>-1</v>
      </c>
      <c r="L168" s="4">
        <v>1</v>
      </c>
      <c r="M168">
        <f t="shared" si="7"/>
        <v>0</v>
      </c>
      <c r="N168">
        <f t="shared" si="8"/>
        <v>1</v>
      </c>
      <c r="R168" s="7" t="s">
        <v>354</v>
      </c>
      <c r="S168" s="7" t="s">
        <v>25</v>
      </c>
    </row>
    <row r="169" spans="1:19">
      <c r="A169" s="4" t="s">
        <v>355</v>
      </c>
      <c r="B169" s="4">
        <v>0</v>
      </c>
      <c r="C169">
        <v>1</v>
      </c>
      <c r="D169" s="14">
        <v>1</v>
      </c>
      <c r="E169" s="4">
        <v>0</v>
      </c>
      <c r="F169">
        <v>0</v>
      </c>
      <c r="G169" s="14">
        <v>0</v>
      </c>
      <c r="H169" s="4">
        <v>0</v>
      </c>
      <c r="I169">
        <v>1</v>
      </c>
      <c r="J169" s="14">
        <v>1</v>
      </c>
      <c r="K169">
        <f t="shared" si="6"/>
        <v>0</v>
      </c>
      <c r="L169" s="4">
        <v>0</v>
      </c>
      <c r="M169">
        <f t="shared" si="7"/>
        <v>1</v>
      </c>
      <c r="N169">
        <f t="shared" si="8"/>
        <v>1</v>
      </c>
      <c r="R169" s="7" t="s">
        <v>356</v>
      </c>
      <c r="S169" s="7" t="s">
        <v>34</v>
      </c>
    </row>
    <row r="170" spans="1:19">
      <c r="A170" s="4" t="s">
        <v>357</v>
      </c>
      <c r="B170" s="4">
        <v>0</v>
      </c>
      <c r="C170">
        <v>0</v>
      </c>
      <c r="D170" s="14">
        <v>0</v>
      </c>
      <c r="E170" s="4">
        <v>0</v>
      </c>
      <c r="F170">
        <v>0</v>
      </c>
      <c r="G170" s="14">
        <v>0</v>
      </c>
      <c r="H170" s="4">
        <v>0</v>
      </c>
      <c r="I170">
        <v>0</v>
      </c>
      <c r="J170" s="14">
        <v>0</v>
      </c>
      <c r="K170">
        <f t="shared" si="6"/>
        <v>0</v>
      </c>
      <c r="L170" s="4">
        <v>0</v>
      </c>
      <c r="M170">
        <f t="shared" si="7"/>
        <v>1</v>
      </c>
      <c r="N170">
        <f t="shared" si="8"/>
        <v>1</v>
      </c>
      <c r="R170" s="7" t="s">
        <v>358</v>
      </c>
      <c r="S170" s="7" t="s">
        <v>37</v>
      </c>
    </row>
    <row r="171" spans="1:19">
      <c r="A171" s="4" t="s">
        <v>359</v>
      </c>
      <c r="B171" s="4">
        <v>1</v>
      </c>
      <c r="C171">
        <v>0</v>
      </c>
      <c r="D171" s="14">
        <v>1</v>
      </c>
      <c r="E171" s="4">
        <v>1</v>
      </c>
      <c r="F171">
        <v>0</v>
      </c>
      <c r="G171" s="14">
        <v>1</v>
      </c>
      <c r="H171" s="4">
        <v>1</v>
      </c>
      <c r="I171">
        <v>0</v>
      </c>
      <c r="J171" s="14">
        <v>1</v>
      </c>
      <c r="K171">
        <f t="shared" si="6"/>
        <v>0</v>
      </c>
      <c r="L171" s="4">
        <v>1</v>
      </c>
      <c r="M171">
        <f t="shared" si="7"/>
        <v>1</v>
      </c>
      <c r="N171">
        <f t="shared" si="8"/>
        <v>2</v>
      </c>
      <c r="R171" s="7" t="s">
        <v>360</v>
      </c>
      <c r="S171" s="7" t="s">
        <v>40</v>
      </c>
    </row>
    <row r="172" spans="1:19">
      <c r="A172" s="4" t="s">
        <v>361</v>
      </c>
      <c r="B172" s="4">
        <v>0</v>
      </c>
      <c r="C172">
        <v>1</v>
      </c>
      <c r="D172" s="14">
        <v>1</v>
      </c>
      <c r="E172" s="4">
        <v>0</v>
      </c>
      <c r="F172">
        <v>1</v>
      </c>
      <c r="G172" s="14">
        <v>1</v>
      </c>
      <c r="H172" s="4">
        <v>0</v>
      </c>
      <c r="I172">
        <v>1</v>
      </c>
      <c r="J172" s="14">
        <v>1</v>
      </c>
      <c r="K172">
        <f t="shared" si="6"/>
        <v>-1</v>
      </c>
      <c r="L172" s="4">
        <v>0</v>
      </c>
      <c r="M172">
        <f t="shared" si="7"/>
        <v>0</v>
      </c>
      <c r="N172">
        <f t="shared" si="8"/>
        <v>0</v>
      </c>
      <c r="R172" s="7" t="s">
        <v>362</v>
      </c>
      <c r="S172" s="7" t="s">
        <v>31</v>
      </c>
    </row>
    <row r="173" spans="1:19">
      <c r="A173" s="4" t="s">
        <v>363</v>
      </c>
      <c r="B173" s="4">
        <v>0</v>
      </c>
      <c r="C173">
        <v>0</v>
      </c>
      <c r="D173" s="14">
        <v>0</v>
      </c>
      <c r="E173" s="4">
        <v>0</v>
      </c>
      <c r="F173">
        <v>1</v>
      </c>
      <c r="G173" s="14">
        <v>1</v>
      </c>
      <c r="H173" s="4">
        <v>0</v>
      </c>
      <c r="I173">
        <v>1</v>
      </c>
      <c r="J173" s="14">
        <v>1</v>
      </c>
      <c r="K173">
        <f t="shared" si="6"/>
        <v>-2</v>
      </c>
      <c r="L173" s="4">
        <v>0</v>
      </c>
      <c r="M173">
        <f t="shared" si="7"/>
        <v>0</v>
      </c>
      <c r="N173">
        <f t="shared" si="8"/>
        <v>0</v>
      </c>
      <c r="R173" s="7" t="s">
        <v>364</v>
      </c>
      <c r="S173" s="7" t="s">
        <v>16</v>
      </c>
    </row>
    <row r="174" spans="1:19">
      <c r="A174" s="4" t="s">
        <v>365</v>
      </c>
      <c r="B174" s="4">
        <v>0</v>
      </c>
      <c r="C174">
        <v>0</v>
      </c>
      <c r="D174" s="14">
        <v>0</v>
      </c>
      <c r="E174" s="4">
        <v>0</v>
      </c>
      <c r="F174">
        <v>0</v>
      </c>
      <c r="G174" s="14">
        <v>0</v>
      </c>
      <c r="H174" s="4">
        <v>0</v>
      </c>
      <c r="I174">
        <v>1</v>
      </c>
      <c r="J174" s="14">
        <v>1</v>
      </c>
      <c r="K174">
        <f t="shared" si="6"/>
        <v>-1</v>
      </c>
      <c r="L174" s="4">
        <v>0</v>
      </c>
      <c r="M174">
        <f t="shared" si="7"/>
        <v>0</v>
      </c>
      <c r="N174">
        <f t="shared" si="8"/>
        <v>0</v>
      </c>
      <c r="R174" s="7" t="s">
        <v>366</v>
      </c>
      <c r="S174" s="7" t="s">
        <v>19</v>
      </c>
    </row>
    <row r="175" spans="1:19">
      <c r="A175" s="4" t="s">
        <v>367</v>
      </c>
      <c r="B175" s="4">
        <v>1</v>
      </c>
      <c r="C175">
        <v>1</v>
      </c>
      <c r="D175" s="14">
        <v>2</v>
      </c>
      <c r="E175" s="4">
        <v>1</v>
      </c>
      <c r="F175">
        <v>0</v>
      </c>
      <c r="G175" s="14">
        <v>1</v>
      </c>
      <c r="H175" s="4">
        <v>1</v>
      </c>
      <c r="I175">
        <v>1</v>
      </c>
      <c r="J175" s="14">
        <v>2</v>
      </c>
      <c r="K175">
        <f t="shared" si="6"/>
        <v>0</v>
      </c>
      <c r="L175" s="4">
        <v>1</v>
      </c>
      <c r="M175">
        <f t="shared" si="7"/>
        <v>1</v>
      </c>
      <c r="N175">
        <f t="shared" si="8"/>
        <v>2</v>
      </c>
      <c r="R175" s="7" t="s">
        <v>368</v>
      </c>
      <c r="S175" s="7" t="s">
        <v>22</v>
      </c>
    </row>
    <row r="176" spans="1:19">
      <c r="A176" s="4" t="s">
        <v>369</v>
      </c>
      <c r="B176" s="4">
        <v>1</v>
      </c>
      <c r="C176">
        <v>1</v>
      </c>
      <c r="D176" s="14">
        <v>2</v>
      </c>
      <c r="E176" s="4">
        <v>1</v>
      </c>
      <c r="F176">
        <v>0</v>
      </c>
      <c r="G176" s="14">
        <v>1</v>
      </c>
      <c r="H176" s="4">
        <v>1</v>
      </c>
      <c r="I176">
        <v>1</v>
      </c>
      <c r="J176" s="14">
        <v>2</v>
      </c>
      <c r="K176">
        <f t="shared" si="6"/>
        <v>0</v>
      </c>
      <c r="L176" s="4">
        <v>1</v>
      </c>
      <c r="M176">
        <f t="shared" si="7"/>
        <v>1</v>
      </c>
      <c r="N176">
        <f t="shared" si="8"/>
        <v>2</v>
      </c>
      <c r="R176" s="7" t="s">
        <v>370</v>
      </c>
      <c r="S176" s="7" t="s">
        <v>25</v>
      </c>
    </row>
    <row r="177" spans="1:19">
      <c r="A177" s="4" t="s">
        <v>371</v>
      </c>
      <c r="B177" s="4">
        <v>1</v>
      </c>
      <c r="C177">
        <v>0</v>
      </c>
      <c r="D177" s="14">
        <v>1</v>
      </c>
      <c r="E177" s="4">
        <v>1</v>
      </c>
      <c r="F177">
        <v>0</v>
      </c>
      <c r="G177" s="14">
        <v>1</v>
      </c>
      <c r="H177" s="4">
        <v>1</v>
      </c>
      <c r="I177">
        <v>0</v>
      </c>
      <c r="J177" s="14">
        <v>1</v>
      </c>
      <c r="K177">
        <f t="shared" si="6"/>
        <v>0</v>
      </c>
      <c r="L177" s="4">
        <v>1</v>
      </c>
      <c r="M177">
        <f t="shared" si="7"/>
        <v>1</v>
      </c>
      <c r="N177">
        <f t="shared" si="8"/>
        <v>2</v>
      </c>
      <c r="R177" s="7" t="s">
        <v>372</v>
      </c>
      <c r="S177" s="7" t="s">
        <v>28</v>
      </c>
    </row>
    <row r="178" spans="1:19">
      <c r="A178" s="4" t="s">
        <v>373</v>
      </c>
      <c r="B178" s="4">
        <v>1</v>
      </c>
      <c r="C178">
        <v>0</v>
      </c>
      <c r="D178" s="14">
        <v>1</v>
      </c>
      <c r="E178" s="4">
        <v>1</v>
      </c>
      <c r="F178">
        <v>1</v>
      </c>
      <c r="G178" s="14">
        <v>2</v>
      </c>
      <c r="H178" s="4">
        <v>1</v>
      </c>
      <c r="I178">
        <v>1</v>
      </c>
      <c r="J178" s="14">
        <v>2</v>
      </c>
      <c r="K178">
        <f t="shared" si="6"/>
        <v>-2</v>
      </c>
      <c r="L178" s="4">
        <v>1</v>
      </c>
      <c r="M178">
        <f t="shared" si="7"/>
        <v>0</v>
      </c>
      <c r="N178">
        <f t="shared" si="8"/>
        <v>1</v>
      </c>
      <c r="R178" s="7" t="s">
        <v>374</v>
      </c>
      <c r="S178" s="7" t="s">
        <v>28</v>
      </c>
    </row>
    <row r="179" spans="1:19">
      <c r="A179" s="4" t="s">
        <v>375</v>
      </c>
      <c r="B179" s="4">
        <v>0</v>
      </c>
      <c r="C179">
        <v>0</v>
      </c>
      <c r="D179" s="14">
        <v>0</v>
      </c>
      <c r="E179" s="4">
        <v>0</v>
      </c>
      <c r="F179">
        <v>1</v>
      </c>
      <c r="G179" s="14">
        <v>1</v>
      </c>
      <c r="H179" s="4">
        <v>0</v>
      </c>
      <c r="I179">
        <v>1</v>
      </c>
      <c r="J179" s="14">
        <v>1</v>
      </c>
      <c r="K179">
        <f t="shared" si="6"/>
        <v>-2</v>
      </c>
      <c r="L179" s="4">
        <v>0</v>
      </c>
      <c r="M179">
        <f t="shared" si="7"/>
        <v>0</v>
      </c>
      <c r="N179">
        <f t="shared" si="8"/>
        <v>0</v>
      </c>
      <c r="R179" s="7" t="s">
        <v>376</v>
      </c>
      <c r="S179" s="7" t="s">
        <v>34</v>
      </c>
    </row>
    <row r="180" spans="1:19">
      <c r="A180" s="4" t="s">
        <v>377</v>
      </c>
      <c r="B180" s="4">
        <v>1</v>
      </c>
      <c r="C180">
        <v>0</v>
      </c>
      <c r="D180" s="14">
        <v>1</v>
      </c>
      <c r="E180" s="4">
        <v>1</v>
      </c>
      <c r="F180">
        <v>0</v>
      </c>
      <c r="G180" s="14">
        <v>1</v>
      </c>
      <c r="H180" s="4">
        <v>1</v>
      </c>
      <c r="I180">
        <v>0</v>
      </c>
      <c r="J180" s="14">
        <v>1</v>
      </c>
      <c r="K180">
        <f t="shared" si="6"/>
        <v>0</v>
      </c>
      <c r="L180" s="4">
        <v>1</v>
      </c>
      <c r="M180">
        <f t="shared" si="7"/>
        <v>1</v>
      </c>
      <c r="N180">
        <f t="shared" si="8"/>
        <v>2</v>
      </c>
      <c r="R180" s="7" t="s">
        <v>378</v>
      </c>
      <c r="S180" s="7" t="s">
        <v>37</v>
      </c>
    </row>
    <row r="181" spans="1:19">
      <c r="A181" s="4" t="s">
        <v>379</v>
      </c>
      <c r="B181" s="4">
        <v>1</v>
      </c>
      <c r="C181">
        <v>1</v>
      </c>
      <c r="D181" s="14">
        <v>2</v>
      </c>
      <c r="E181" s="4">
        <v>1</v>
      </c>
      <c r="F181">
        <v>0</v>
      </c>
      <c r="G181" s="14">
        <v>1</v>
      </c>
      <c r="H181" s="4">
        <v>1</v>
      </c>
      <c r="I181">
        <v>1</v>
      </c>
      <c r="J181" s="14">
        <v>2</v>
      </c>
      <c r="K181">
        <f t="shared" si="6"/>
        <v>0</v>
      </c>
      <c r="L181" s="4">
        <v>1</v>
      </c>
      <c r="M181">
        <f t="shared" si="7"/>
        <v>1</v>
      </c>
      <c r="N181">
        <f t="shared" si="8"/>
        <v>2</v>
      </c>
      <c r="R181" s="7" t="s">
        <v>380</v>
      </c>
      <c r="S181" s="7" t="s">
        <v>40</v>
      </c>
    </row>
    <row r="182" spans="1:19">
      <c r="A182" s="4" t="s">
        <v>381</v>
      </c>
      <c r="B182" s="4">
        <v>0</v>
      </c>
      <c r="C182">
        <v>0</v>
      </c>
      <c r="D182" s="14">
        <v>0</v>
      </c>
      <c r="E182" s="4">
        <v>0</v>
      </c>
      <c r="F182">
        <v>1</v>
      </c>
      <c r="G182" s="14">
        <v>1</v>
      </c>
      <c r="H182" s="4">
        <v>0</v>
      </c>
      <c r="I182">
        <v>1</v>
      </c>
      <c r="J182" s="14">
        <v>1</v>
      </c>
      <c r="K182">
        <f t="shared" si="6"/>
        <v>-2</v>
      </c>
      <c r="L182" s="4">
        <v>0</v>
      </c>
      <c r="M182">
        <f t="shared" si="7"/>
        <v>0</v>
      </c>
      <c r="N182">
        <f t="shared" si="8"/>
        <v>0</v>
      </c>
      <c r="R182" s="7" t="s">
        <v>382</v>
      </c>
      <c r="S182" s="7" t="s">
        <v>31</v>
      </c>
    </row>
    <row r="183" spans="1:19">
      <c r="A183" s="4" t="s">
        <v>383</v>
      </c>
      <c r="B183" s="4">
        <v>0</v>
      </c>
      <c r="C183">
        <v>0</v>
      </c>
      <c r="D183" s="14">
        <v>0</v>
      </c>
      <c r="E183" s="4">
        <v>0</v>
      </c>
      <c r="F183">
        <v>1</v>
      </c>
      <c r="G183" s="14">
        <v>1</v>
      </c>
      <c r="H183" s="4">
        <v>0</v>
      </c>
      <c r="I183">
        <v>1</v>
      </c>
      <c r="J183" s="14">
        <v>1</v>
      </c>
      <c r="K183">
        <f t="shared" si="6"/>
        <v>-2</v>
      </c>
      <c r="L183" s="4">
        <v>0</v>
      </c>
      <c r="M183">
        <f t="shared" si="7"/>
        <v>0</v>
      </c>
      <c r="N183">
        <f t="shared" si="8"/>
        <v>0</v>
      </c>
      <c r="R183" s="7" t="s">
        <v>384</v>
      </c>
      <c r="S183" s="7" t="s">
        <v>16</v>
      </c>
    </row>
    <row r="184" spans="1:19">
      <c r="A184" s="4" t="s">
        <v>385</v>
      </c>
      <c r="B184" s="4">
        <v>1</v>
      </c>
      <c r="C184">
        <v>1</v>
      </c>
      <c r="D184" s="14">
        <v>2</v>
      </c>
      <c r="E184" s="4">
        <v>1</v>
      </c>
      <c r="F184">
        <v>0</v>
      </c>
      <c r="G184" s="14">
        <v>1</v>
      </c>
      <c r="H184" s="4">
        <v>1</v>
      </c>
      <c r="I184">
        <v>1</v>
      </c>
      <c r="J184" s="14">
        <v>2</v>
      </c>
      <c r="K184">
        <f t="shared" si="6"/>
        <v>0</v>
      </c>
      <c r="L184" s="4">
        <v>1</v>
      </c>
      <c r="M184">
        <f t="shared" si="7"/>
        <v>1</v>
      </c>
      <c r="N184">
        <f t="shared" si="8"/>
        <v>2</v>
      </c>
      <c r="R184" s="7" t="s">
        <v>386</v>
      </c>
      <c r="S184" s="7" t="s">
        <v>19</v>
      </c>
    </row>
    <row r="185" spans="1:19">
      <c r="A185" s="4" t="s">
        <v>387</v>
      </c>
      <c r="B185" s="4">
        <v>1</v>
      </c>
      <c r="C185">
        <v>1</v>
      </c>
      <c r="D185" s="14">
        <v>2</v>
      </c>
      <c r="E185" s="4">
        <v>1</v>
      </c>
      <c r="F185">
        <v>0</v>
      </c>
      <c r="G185" s="14">
        <v>1</v>
      </c>
      <c r="H185" s="4">
        <v>1</v>
      </c>
      <c r="I185">
        <v>0</v>
      </c>
      <c r="J185" s="14">
        <v>1</v>
      </c>
      <c r="K185">
        <f t="shared" si="6"/>
        <v>1</v>
      </c>
      <c r="L185" s="4">
        <v>1</v>
      </c>
      <c r="M185">
        <f t="shared" si="7"/>
        <v>1</v>
      </c>
      <c r="N185">
        <f t="shared" si="8"/>
        <v>2</v>
      </c>
      <c r="R185" s="7" t="s">
        <v>388</v>
      </c>
      <c r="S185" s="7" t="s">
        <v>22</v>
      </c>
    </row>
    <row r="186" spans="1:19">
      <c r="A186" s="4" t="s">
        <v>389</v>
      </c>
      <c r="B186" s="4">
        <v>1</v>
      </c>
      <c r="C186">
        <v>1</v>
      </c>
      <c r="D186" s="14">
        <v>2</v>
      </c>
      <c r="E186" s="4">
        <v>1</v>
      </c>
      <c r="F186">
        <v>1</v>
      </c>
      <c r="G186" s="14">
        <v>2</v>
      </c>
      <c r="H186" s="4">
        <v>1</v>
      </c>
      <c r="I186">
        <v>0</v>
      </c>
      <c r="J186" s="14">
        <v>1</v>
      </c>
      <c r="K186">
        <f t="shared" si="6"/>
        <v>0</v>
      </c>
      <c r="L186" s="4">
        <v>1</v>
      </c>
      <c r="M186">
        <f t="shared" si="7"/>
        <v>1</v>
      </c>
      <c r="N186">
        <f t="shared" si="8"/>
        <v>2</v>
      </c>
      <c r="R186" s="7" t="s">
        <v>390</v>
      </c>
      <c r="S186" s="7" t="s">
        <v>25</v>
      </c>
    </row>
    <row r="187" spans="1:19">
      <c r="A187" s="4" t="s">
        <v>391</v>
      </c>
      <c r="B187" s="4">
        <v>1</v>
      </c>
      <c r="C187">
        <v>0</v>
      </c>
      <c r="D187" s="14">
        <v>1</v>
      </c>
      <c r="E187" s="4">
        <v>1</v>
      </c>
      <c r="F187">
        <v>1</v>
      </c>
      <c r="G187" s="14">
        <v>2</v>
      </c>
      <c r="H187" s="4">
        <v>1</v>
      </c>
      <c r="I187">
        <v>0</v>
      </c>
      <c r="J187" s="14">
        <v>1</v>
      </c>
      <c r="K187">
        <f t="shared" si="6"/>
        <v>-1</v>
      </c>
      <c r="L187" s="4">
        <v>1</v>
      </c>
      <c r="M187">
        <f t="shared" si="7"/>
        <v>0</v>
      </c>
      <c r="N187">
        <f t="shared" si="8"/>
        <v>1</v>
      </c>
      <c r="R187" s="7" t="s">
        <v>392</v>
      </c>
      <c r="S187" s="7" t="s">
        <v>28</v>
      </c>
    </row>
    <row r="188" spans="1:19">
      <c r="A188" s="4" t="s">
        <v>393</v>
      </c>
      <c r="B188" s="4">
        <v>0</v>
      </c>
      <c r="C188">
        <v>0</v>
      </c>
      <c r="D188" s="14">
        <v>0</v>
      </c>
      <c r="E188" s="4">
        <v>0</v>
      </c>
      <c r="F188">
        <v>0</v>
      </c>
      <c r="G188" s="14">
        <v>0</v>
      </c>
      <c r="H188" s="4">
        <v>0</v>
      </c>
      <c r="I188">
        <v>1</v>
      </c>
      <c r="J188" s="14">
        <v>1</v>
      </c>
      <c r="K188">
        <f t="shared" si="6"/>
        <v>-1</v>
      </c>
      <c r="L188" s="4">
        <v>0</v>
      </c>
      <c r="M188">
        <f t="shared" si="7"/>
        <v>0</v>
      </c>
      <c r="N188">
        <f t="shared" si="8"/>
        <v>0</v>
      </c>
      <c r="R188" s="7" t="s">
        <v>394</v>
      </c>
      <c r="S188" s="7" t="s">
        <v>31</v>
      </c>
    </row>
    <row r="189" spans="1:19">
      <c r="A189" s="4" t="s">
        <v>395</v>
      </c>
      <c r="B189" s="4">
        <v>1</v>
      </c>
      <c r="C189">
        <v>0</v>
      </c>
      <c r="D189" s="14">
        <v>1</v>
      </c>
      <c r="E189" s="4">
        <v>1</v>
      </c>
      <c r="F189">
        <v>0</v>
      </c>
      <c r="G189" s="14">
        <v>1</v>
      </c>
      <c r="H189" s="4">
        <v>1</v>
      </c>
      <c r="I189">
        <v>1</v>
      </c>
      <c r="J189" s="14">
        <v>2</v>
      </c>
      <c r="K189">
        <f t="shared" si="6"/>
        <v>-1</v>
      </c>
      <c r="L189" s="4">
        <v>1</v>
      </c>
      <c r="M189">
        <f t="shared" si="7"/>
        <v>0</v>
      </c>
      <c r="N189">
        <f t="shared" si="8"/>
        <v>1</v>
      </c>
      <c r="R189" s="7" t="s">
        <v>396</v>
      </c>
      <c r="S189" s="7" t="s">
        <v>34</v>
      </c>
    </row>
    <row r="190" spans="1:19">
      <c r="A190" s="4" t="s">
        <v>397</v>
      </c>
      <c r="B190" s="4">
        <v>0</v>
      </c>
      <c r="C190">
        <v>0</v>
      </c>
      <c r="D190" s="14">
        <v>0</v>
      </c>
      <c r="E190" s="4">
        <v>0</v>
      </c>
      <c r="F190">
        <v>0</v>
      </c>
      <c r="G190" s="14">
        <v>0</v>
      </c>
      <c r="H190" s="4">
        <v>0</v>
      </c>
      <c r="I190">
        <v>0</v>
      </c>
      <c r="J190" s="14">
        <v>0</v>
      </c>
      <c r="K190">
        <f t="shared" si="6"/>
        <v>0</v>
      </c>
      <c r="L190" s="4">
        <v>0</v>
      </c>
      <c r="M190">
        <f t="shared" si="7"/>
        <v>1</v>
      </c>
      <c r="N190">
        <f t="shared" si="8"/>
        <v>1</v>
      </c>
      <c r="R190" s="7" t="s">
        <v>398</v>
      </c>
      <c r="S190" s="7" t="s">
        <v>37</v>
      </c>
    </row>
    <row r="191" spans="1:19">
      <c r="A191" s="4" t="s">
        <v>399</v>
      </c>
      <c r="B191" s="4">
        <v>1</v>
      </c>
      <c r="C191">
        <v>0</v>
      </c>
      <c r="D191" s="14">
        <v>1</v>
      </c>
      <c r="E191" s="4">
        <v>1</v>
      </c>
      <c r="F191">
        <v>0</v>
      </c>
      <c r="G191" s="14">
        <v>1</v>
      </c>
      <c r="H191" s="4">
        <v>1</v>
      </c>
      <c r="I191">
        <v>0</v>
      </c>
      <c r="J191" s="14">
        <v>1</v>
      </c>
      <c r="K191">
        <f t="shared" si="6"/>
        <v>0</v>
      </c>
      <c r="L191" s="4">
        <v>1</v>
      </c>
      <c r="M191">
        <f t="shared" si="7"/>
        <v>1</v>
      </c>
      <c r="N191">
        <f t="shared" si="8"/>
        <v>2</v>
      </c>
      <c r="R191" s="7" t="s">
        <v>400</v>
      </c>
      <c r="S191" s="7" t="s">
        <v>40</v>
      </c>
    </row>
    <row r="192" spans="1:19">
      <c r="A192" s="4" t="s">
        <v>401</v>
      </c>
      <c r="B192" s="4">
        <v>0</v>
      </c>
      <c r="C192">
        <v>0</v>
      </c>
      <c r="D192" s="14">
        <v>0</v>
      </c>
      <c r="E192" s="4">
        <v>0</v>
      </c>
      <c r="F192">
        <v>1</v>
      </c>
      <c r="G192" s="14">
        <v>1</v>
      </c>
      <c r="H192" s="4">
        <v>0</v>
      </c>
      <c r="I192">
        <v>1</v>
      </c>
      <c r="J192" s="14">
        <v>1</v>
      </c>
      <c r="K192">
        <f t="shared" si="6"/>
        <v>-2</v>
      </c>
      <c r="L192" s="4">
        <v>0</v>
      </c>
      <c r="M192">
        <f t="shared" si="7"/>
        <v>0</v>
      </c>
      <c r="N192">
        <f t="shared" si="8"/>
        <v>0</v>
      </c>
      <c r="R192" s="7" t="s">
        <v>402</v>
      </c>
      <c r="S192" s="7" t="s">
        <v>31</v>
      </c>
    </row>
    <row r="193" spans="1:19">
      <c r="A193" s="4" t="s">
        <v>403</v>
      </c>
      <c r="B193" s="4">
        <v>0</v>
      </c>
      <c r="C193">
        <v>0</v>
      </c>
      <c r="D193" s="14">
        <v>0</v>
      </c>
      <c r="E193" s="4">
        <v>0</v>
      </c>
      <c r="F193">
        <v>1</v>
      </c>
      <c r="G193" s="14">
        <v>1</v>
      </c>
      <c r="H193" s="4">
        <v>0</v>
      </c>
      <c r="I193">
        <v>0</v>
      </c>
      <c r="J193" s="14">
        <v>0</v>
      </c>
      <c r="K193">
        <f t="shared" si="6"/>
        <v>-1</v>
      </c>
      <c r="L193" s="4">
        <v>0</v>
      </c>
      <c r="M193">
        <f t="shared" si="7"/>
        <v>0</v>
      </c>
      <c r="N193">
        <f t="shared" si="8"/>
        <v>0</v>
      </c>
      <c r="R193" s="7" t="s">
        <v>404</v>
      </c>
      <c r="S193" s="7" t="s">
        <v>16</v>
      </c>
    </row>
    <row r="194" spans="1:19">
      <c r="A194" s="4" t="s">
        <v>405</v>
      </c>
      <c r="B194" s="4">
        <v>1</v>
      </c>
      <c r="C194">
        <v>0</v>
      </c>
      <c r="D194" s="14">
        <v>1</v>
      </c>
      <c r="E194" s="4">
        <v>1</v>
      </c>
      <c r="F194">
        <v>1</v>
      </c>
      <c r="G194" s="14">
        <v>2</v>
      </c>
      <c r="H194" s="4">
        <v>1</v>
      </c>
      <c r="I194">
        <v>0</v>
      </c>
      <c r="J194" s="14">
        <v>1</v>
      </c>
      <c r="K194">
        <f t="shared" si="6"/>
        <v>-1</v>
      </c>
      <c r="L194" s="4">
        <v>1</v>
      </c>
      <c r="M194">
        <f t="shared" si="7"/>
        <v>0</v>
      </c>
      <c r="N194">
        <f t="shared" si="8"/>
        <v>1</v>
      </c>
      <c r="R194" s="7" t="s">
        <v>406</v>
      </c>
      <c r="S194" s="7" t="s">
        <v>19</v>
      </c>
    </row>
    <row r="195" spans="1:19">
      <c r="A195" s="4" t="s">
        <v>407</v>
      </c>
      <c r="B195" s="4">
        <v>0</v>
      </c>
      <c r="C195">
        <v>0</v>
      </c>
      <c r="D195" s="14">
        <v>0</v>
      </c>
      <c r="E195" s="4">
        <v>0</v>
      </c>
      <c r="F195">
        <v>0</v>
      </c>
      <c r="G195" s="14">
        <v>0</v>
      </c>
      <c r="H195" s="4">
        <v>0</v>
      </c>
      <c r="I195">
        <v>0</v>
      </c>
      <c r="J195" s="14">
        <v>0</v>
      </c>
      <c r="K195">
        <f t="shared" si="6"/>
        <v>0</v>
      </c>
      <c r="L195" s="4">
        <v>0</v>
      </c>
      <c r="M195">
        <f t="shared" si="7"/>
        <v>1</v>
      </c>
      <c r="N195">
        <f t="shared" si="8"/>
        <v>1</v>
      </c>
      <c r="R195" s="7" t="s">
        <v>408</v>
      </c>
      <c r="S195" s="7" t="s">
        <v>22</v>
      </c>
    </row>
    <row r="196" spans="1:19">
      <c r="A196" s="4" t="s">
        <v>409</v>
      </c>
      <c r="B196" s="4">
        <v>1</v>
      </c>
      <c r="C196">
        <v>0</v>
      </c>
      <c r="D196" s="14">
        <v>1</v>
      </c>
      <c r="E196" s="4">
        <v>1</v>
      </c>
      <c r="F196">
        <v>0</v>
      </c>
      <c r="G196" s="14">
        <v>1</v>
      </c>
      <c r="H196" s="4">
        <v>1</v>
      </c>
      <c r="I196">
        <v>0</v>
      </c>
      <c r="J196" s="14">
        <v>1</v>
      </c>
      <c r="K196">
        <f t="shared" ref="K196:K259" si="9">C196-P$3*F196-Q$3*I196</f>
        <v>0</v>
      </c>
      <c r="L196" s="4">
        <v>1</v>
      </c>
      <c r="M196">
        <f t="shared" ref="M196:M259" si="10">IF(K196&lt;0,0,1)</f>
        <v>1</v>
      </c>
      <c r="N196">
        <f t="shared" ref="N196:N259" si="11">L196+M196</f>
        <v>2</v>
      </c>
      <c r="R196" s="7" t="s">
        <v>410</v>
      </c>
      <c r="S196" s="7" t="s">
        <v>25</v>
      </c>
    </row>
    <row r="197" spans="1:19">
      <c r="A197" s="4" t="s">
        <v>411</v>
      </c>
      <c r="B197" s="4">
        <v>0</v>
      </c>
      <c r="C197">
        <v>0</v>
      </c>
      <c r="D197" s="14">
        <v>0</v>
      </c>
      <c r="E197" s="4">
        <v>0</v>
      </c>
      <c r="F197">
        <v>1</v>
      </c>
      <c r="G197" s="14">
        <v>1</v>
      </c>
      <c r="H197" s="4">
        <v>0</v>
      </c>
      <c r="I197">
        <v>0</v>
      </c>
      <c r="J197" s="14">
        <v>0</v>
      </c>
      <c r="K197">
        <f t="shared" si="9"/>
        <v>-1</v>
      </c>
      <c r="L197" s="4">
        <v>0</v>
      </c>
      <c r="M197">
        <f t="shared" si="10"/>
        <v>0</v>
      </c>
      <c r="N197">
        <f t="shared" si="11"/>
        <v>0</v>
      </c>
      <c r="R197" s="7" t="s">
        <v>412</v>
      </c>
      <c r="S197" s="7" t="s">
        <v>28</v>
      </c>
    </row>
    <row r="198" spans="1:19">
      <c r="A198" s="4" t="s">
        <v>413</v>
      </c>
      <c r="B198" s="4">
        <v>1</v>
      </c>
      <c r="C198">
        <v>0</v>
      </c>
      <c r="D198" s="14">
        <v>1</v>
      </c>
      <c r="E198" s="4">
        <v>1</v>
      </c>
      <c r="F198">
        <v>1</v>
      </c>
      <c r="G198" s="14">
        <v>2</v>
      </c>
      <c r="H198" s="4">
        <v>1</v>
      </c>
      <c r="I198">
        <v>0</v>
      </c>
      <c r="J198" s="14">
        <v>1</v>
      </c>
      <c r="K198">
        <f t="shared" si="9"/>
        <v>-1</v>
      </c>
      <c r="L198" s="4">
        <v>1</v>
      </c>
      <c r="M198">
        <f t="shared" si="10"/>
        <v>0</v>
      </c>
      <c r="N198">
        <f t="shared" si="11"/>
        <v>1</v>
      </c>
      <c r="R198" s="7" t="s">
        <v>414</v>
      </c>
      <c r="S198" s="7" t="s">
        <v>16</v>
      </c>
    </row>
    <row r="199" spans="1:19">
      <c r="A199" s="4" t="s">
        <v>415</v>
      </c>
      <c r="B199" s="4">
        <v>0</v>
      </c>
      <c r="C199">
        <v>1</v>
      </c>
      <c r="D199" s="14">
        <v>1</v>
      </c>
      <c r="E199" s="4">
        <v>0</v>
      </c>
      <c r="F199">
        <v>1</v>
      </c>
      <c r="G199" s="14">
        <v>1</v>
      </c>
      <c r="H199" s="4">
        <v>0</v>
      </c>
      <c r="I199">
        <v>1</v>
      </c>
      <c r="J199" s="14">
        <v>1</v>
      </c>
      <c r="K199">
        <f t="shared" si="9"/>
        <v>-1</v>
      </c>
      <c r="L199" s="4">
        <v>0</v>
      </c>
      <c r="M199">
        <f t="shared" si="10"/>
        <v>0</v>
      </c>
      <c r="N199">
        <f t="shared" si="11"/>
        <v>0</v>
      </c>
      <c r="R199" s="7" t="s">
        <v>416</v>
      </c>
      <c r="S199" s="7" t="s">
        <v>34</v>
      </c>
    </row>
    <row r="200" spans="1:19">
      <c r="A200" s="4" t="s">
        <v>417</v>
      </c>
      <c r="B200" s="4">
        <v>0</v>
      </c>
      <c r="C200">
        <v>0</v>
      </c>
      <c r="D200" s="14">
        <v>0</v>
      </c>
      <c r="E200" s="4">
        <v>0</v>
      </c>
      <c r="F200">
        <v>0</v>
      </c>
      <c r="G200" s="14">
        <v>0</v>
      </c>
      <c r="H200" s="4">
        <v>0</v>
      </c>
      <c r="I200">
        <v>0</v>
      </c>
      <c r="J200" s="14">
        <v>0</v>
      </c>
      <c r="K200">
        <f t="shared" si="9"/>
        <v>0</v>
      </c>
      <c r="L200" s="4">
        <v>0</v>
      </c>
      <c r="M200">
        <f t="shared" si="10"/>
        <v>1</v>
      </c>
      <c r="N200">
        <f t="shared" si="11"/>
        <v>1</v>
      </c>
      <c r="R200" s="7" t="s">
        <v>418</v>
      </c>
      <c r="S200" s="7" t="s">
        <v>37</v>
      </c>
    </row>
    <row r="201" spans="1:19">
      <c r="A201" s="4" t="s">
        <v>419</v>
      </c>
      <c r="B201" s="4">
        <v>1</v>
      </c>
      <c r="C201">
        <v>1</v>
      </c>
      <c r="D201" s="14">
        <v>2</v>
      </c>
      <c r="E201" s="4">
        <v>1</v>
      </c>
      <c r="F201">
        <v>0</v>
      </c>
      <c r="G201" s="14">
        <v>1</v>
      </c>
      <c r="H201" s="4">
        <v>1</v>
      </c>
      <c r="I201">
        <v>1</v>
      </c>
      <c r="J201" s="14">
        <v>2</v>
      </c>
      <c r="K201">
        <f t="shared" si="9"/>
        <v>0</v>
      </c>
      <c r="L201" s="4">
        <v>1</v>
      </c>
      <c r="M201">
        <f t="shared" si="10"/>
        <v>1</v>
      </c>
      <c r="N201">
        <f t="shared" si="11"/>
        <v>2</v>
      </c>
      <c r="R201" s="7" t="s">
        <v>420</v>
      </c>
      <c r="S201" s="7" t="s">
        <v>40</v>
      </c>
    </row>
    <row r="202" spans="1:19">
      <c r="A202" s="4" t="s">
        <v>421</v>
      </c>
      <c r="B202" s="4">
        <v>0</v>
      </c>
      <c r="C202">
        <v>1</v>
      </c>
      <c r="D202" s="14">
        <v>1</v>
      </c>
      <c r="E202" s="4">
        <v>0</v>
      </c>
      <c r="F202">
        <v>1</v>
      </c>
      <c r="G202" s="14">
        <v>1</v>
      </c>
      <c r="H202" s="4">
        <v>0</v>
      </c>
      <c r="I202">
        <v>1</v>
      </c>
      <c r="J202" s="14">
        <v>1</v>
      </c>
      <c r="K202">
        <f t="shared" si="9"/>
        <v>-1</v>
      </c>
      <c r="L202" s="4">
        <v>0</v>
      </c>
      <c r="M202">
        <f t="shared" si="10"/>
        <v>0</v>
      </c>
      <c r="N202">
        <f t="shared" si="11"/>
        <v>0</v>
      </c>
      <c r="R202" s="7" t="s">
        <v>422</v>
      </c>
      <c r="S202" s="7" t="s">
        <v>31</v>
      </c>
    </row>
    <row r="203" spans="1:19">
      <c r="A203" s="4" t="s">
        <v>423</v>
      </c>
      <c r="B203" s="4">
        <v>1</v>
      </c>
      <c r="C203">
        <v>0</v>
      </c>
      <c r="D203" s="14">
        <v>1</v>
      </c>
      <c r="E203" s="4">
        <v>1</v>
      </c>
      <c r="F203">
        <v>0</v>
      </c>
      <c r="G203" s="14">
        <v>1</v>
      </c>
      <c r="H203" s="4">
        <v>1</v>
      </c>
      <c r="I203">
        <v>0</v>
      </c>
      <c r="J203" s="14">
        <v>1</v>
      </c>
      <c r="K203">
        <f t="shared" si="9"/>
        <v>0</v>
      </c>
      <c r="L203" s="4">
        <v>1</v>
      </c>
      <c r="M203">
        <f t="shared" si="10"/>
        <v>1</v>
      </c>
      <c r="N203">
        <f t="shared" si="11"/>
        <v>2</v>
      </c>
      <c r="R203" s="7" t="s">
        <v>424</v>
      </c>
      <c r="S203" s="7" t="s">
        <v>16</v>
      </c>
    </row>
    <row r="204" spans="1:19">
      <c r="A204" s="4" t="s">
        <v>425</v>
      </c>
      <c r="B204" s="4">
        <v>0</v>
      </c>
      <c r="C204">
        <v>1</v>
      </c>
      <c r="D204" s="14">
        <v>1</v>
      </c>
      <c r="E204" s="4">
        <v>0</v>
      </c>
      <c r="F204">
        <v>0</v>
      </c>
      <c r="G204" s="14">
        <v>0</v>
      </c>
      <c r="H204" s="4">
        <v>0</v>
      </c>
      <c r="I204">
        <v>0</v>
      </c>
      <c r="J204" s="14">
        <v>0</v>
      </c>
      <c r="K204">
        <f t="shared" si="9"/>
        <v>1</v>
      </c>
      <c r="L204" s="4">
        <v>0</v>
      </c>
      <c r="M204">
        <f t="shared" si="10"/>
        <v>1</v>
      </c>
      <c r="N204">
        <f t="shared" si="11"/>
        <v>1</v>
      </c>
      <c r="R204" s="7" t="s">
        <v>426</v>
      </c>
      <c r="S204" s="7" t="s">
        <v>19</v>
      </c>
    </row>
    <row r="205" spans="1:19">
      <c r="A205" s="4" t="s">
        <v>427</v>
      </c>
      <c r="B205" s="4">
        <v>0</v>
      </c>
      <c r="C205">
        <v>0</v>
      </c>
      <c r="D205" s="14">
        <v>0</v>
      </c>
      <c r="E205" s="4">
        <v>0</v>
      </c>
      <c r="F205">
        <v>0</v>
      </c>
      <c r="G205" s="14">
        <v>0</v>
      </c>
      <c r="H205" s="4">
        <v>0</v>
      </c>
      <c r="I205">
        <v>0</v>
      </c>
      <c r="J205" s="14">
        <v>0</v>
      </c>
      <c r="K205">
        <f t="shared" si="9"/>
        <v>0</v>
      </c>
      <c r="L205" s="4">
        <v>0</v>
      </c>
      <c r="M205">
        <f t="shared" si="10"/>
        <v>1</v>
      </c>
      <c r="N205">
        <f t="shared" si="11"/>
        <v>1</v>
      </c>
      <c r="R205" s="7" t="s">
        <v>428</v>
      </c>
      <c r="S205" s="7" t="s">
        <v>22</v>
      </c>
    </row>
    <row r="206" spans="1:19">
      <c r="A206" s="4" t="s">
        <v>429</v>
      </c>
      <c r="B206" s="4">
        <v>0</v>
      </c>
      <c r="C206">
        <v>0</v>
      </c>
      <c r="D206" s="14">
        <v>0</v>
      </c>
      <c r="E206" s="4">
        <v>0</v>
      </c>
      <c r="F206">
        <v>0</v>
      </c>
      <c r="G206" s="14">
        <v>0</v>
      </c>
      <c r="H206" s="4">
        <v>0</v>
      </c>
      <c r="I206">
        <v>1</v>
      </c>
      <c r="J206" s="14">
        <v>1</v>
      </c>
      <c r="K206">
        <f t="shared" si="9"/>
        <v>-1</v>
      </c>
      <c r="L206" s="4">
        <v>0</v>
      </c>
      <c r="M206">
        <f t="shared" si="10"/>
        <v>0</v>
      </c>
      <c r="N206">
        <f t="shared" si="11"/>
        <v>0</v>
      </c>
      <c r="R206" s="7" t="s">
        <v>430</v>
      </c>
      <c r="S206" s="7" t="s">
        <v>25</v>
      </c>
    </row>
    <row r="207" spans="1:19">
      <c r="A207" s="4" t="s">
        <v>431</v>
      </c>
      <c r="B207" s="4">
        <v>1</v>
      </c>
      <c r="C207">
        <v>0</v>
      </c>
      <c r="D207" s="14">
        <v>1</v>
      </c>
      <c r="E207" s="4">
        <v>1</v>
      </c>
      <c r="F207">
        <v>1</v>
      </c>
      <c r="G207" s="14">
        <v>2</v>
      </c>
      <c r="H207" s="4">
        <v>1</v>
      </c>
      <c r="I207">
        <v>1</v>
      </c>
      <c r="J207" s="14">
        <v>2</v>
      </c>
      <c r="K207">
        <f t="shared" si="9"/>
        <v>-2</v>
      </c>
      <c r="L207" s="4">
        <v>1</v>
      </c>
      <c r="M207">
        <f t="shared" si="10"/>
        <v>0</v>
      </c>
      <c r="N207">
        <f t="shared" si="11"/>
        <v>1</v>
      </c>
      <c r="R207" s="7" t="s">
        <v>432</v>
      </c>
      <c r="S207" s="7" t="s">
        <v>28</v>
      </c>
    </row>
    <row r="208" spans="1:19">
      <c r="A208" s="4" t="s">
        <v>433</v>
      </c>
      <c r="B208" s="4">
        <v>0</v>
      </c>
      <c r="C208">
        <v>0</v>
      </c>
      <c r="D208" s="14">
        <v>0</v>
      </c>
      <c r="E208" s="4">
        <v>0</v>
      </c>
      <c r="F208">
        <v>0</v>
      </c>
      <c r="G208" s="14">
        <v>0</v>
      </c>
      <c r="H208" s="4">
        <v>0</v>
      </c>
      <c r="I208">
        <v>0</v>
      </c>
      <c r="J208" s="14">
        <v>0</v>
      </c>
      <c r="K208">
        <f t="shared" si="9"/>
        <v>0</v>
      </c>
      <c r="L208" s="4">
        <v>0</v>
      </c>
      <c r="M208">
        <f t="shared" si="10"/>
        <v>1</v>
      </c>
      <c r="N208">
        <f t="shared" si="11"/>
        <v>1</v>
      </c>
      <c r="R208" s="7" t="s">
        <v>434</v>
      </c>
      <c r="S208" s="7" t="s">
        <v>19</v>
      </c>
    </row>
    <row r="209" spans="1:19">
      <c r="A209" s="4" t="s">
        <v>435</v>
      </c>
      <c r="B209" s="4">
        <v>0</v>
      </c>
      <c r="C209">
        <v>0</v>
      </c>
      <c r="D209" s="14">
        <v>0</v>
      </c>
      <c r="E209" s="4">
        <v>0</v>
      </c>
      <c r="F209">
        <v>0</v>
      </c>
      <c r="G209" s="14">
        <v>0</v>
      </c>
      <c r="H209" s="4">
        <v>0</v>
      </c>
      <c r="I209">
        <v>0</v>
      </c>
      <c r="J209" s="14">
        <v>0</v>
      </c>
      <c r="K209">
        <f t="shared" si="9"/>
        <v>0</v>
      </c>
      <c r="L209" s="4">
        <v>0</v>
      </c>
      <c r="M209">
        <f t="shared" si="10"/>
        <v>1</v>
      </c>
      <c r="N209">
        <f t="shared" si="11"/>
        <v>1</v>
      </c>
      <c r="R209" s="7" t="s">
        <v>436</v>
      </c>
      <c r="S209" s="7" t="s">
        <v>34</v>
      </c>
    </row>
    <row r="210" spans="1:19">
      <c r="A210" s="4" t="s">
        <v>437</v>
      </c>
      <c r="B210" s="4">
        <v>1</v>
      </c>
      <c r="C210">
        <v>0</v>
      </c>
      <c r="D210" s="14">
        <v>1</v>
      </c>
      <c r="E210" s="4">
        <v>1</v>
      </c>
      <c r="F210">
        <v>0</v>
      </c>
      <c r="G210" s="14">
        <v>1</v>
      </c>
      <c r="H210" s="4">
        <v>1</v>
      </c>
      <c r="I210">
        <v>1</v>
      </c>
      <c r="J210" s="14">
        <v>2</v>
      </c>
      <c r="K210">
        <f t="shared" si="9"/>
        <v>-1</v>
      </c>
      <c r="L210" s="4">
        <v>1</v>
      </c>
      <c r="M210">
        <f t="shared" si="10"/>
        <v>0</v>
      </c>
      <c r="N210">
        <f t="shared" si="11"/>
        <v>1</v>
      </c>
      <c r="R210" s="7" t="s">
        <v>438</v>
      </c>
      <c r="S210" s="7" t="s">
        <v>37</v>
      </c>
    </row>
    <row r="211" spans="1:19">
      <c r="A211" s="4" t="s">
        <v>439</v>
      </c>
      <c r="B211" s="4">
        <v>0</v>
      </c>
      <c r="C211">
        <v>1</v>
      </c>
      <c r="D211" s="14">
        <v>1</v>
      </c>
      <c r="E211" s="4">
        <v>0</v>
      </c>
      <c r="F211">
        <v>1</v>
      </c>
      <c r="G211" s="14">
        <v>1</v>
      </c>
      <c r="H211" s="4">
        <v>0</v>
      </c>
      <c r="I211">
        <v>0</v>
      </c>
      <c r="J211" s="14">
        <v>0</v>
      </c>
      <c r="K211">
        <f t="shared" si="9"/>
        <v>0</v>
      </c>
      <c r="L211" s="4">
        <v>0</v>
      </c>
      <c r="M211">
        <f t="shared" si="10"/>
        <v>1</v>
      </c>
      <c r="N211">
        <f t="shared" si="11"/>
        <v>1</v>
      </c>
      <c r="R211" s="7" t="s">
        <v>440</v>
      </c>
      <c r="S211" s="7" t="s">
        <v>40</v>
      </c>
    </row>
    <row r="212" spans="1:19">
      <c r="A212" s="4" t="s">
        <v>441</v>
      </c>
      <c r="B212" s="4">
        <v>1</v>
      </c>
      <c r="C212">
        <v>0</v>
      </c>
      <c r="D212" s="14">
        <v>1</v>
      </c>
      <c r="E212" s="4">
        <v>1</v>
      </c>
      <c r="F212">
        <v>1</v>
      </c>
      <c r="G212" s="14">
        <v>2</v>
      </c>
      <c r="H212" s="4">
        <v>1</v>
      </c>
      <c r="I212">
        <v>1</v>
      </c>
      <c r="J212" s="14">
        <v>2</v>
      </c>
      <c r="K212">
        <f t="shared" si="9"/>
        <v>-2</v>
      </c>
      <c r="L212" s="4">
        <v>1</v>
      </c>
      <c r="M212">
        <f t="shared" si="10"/>
        <v>0</v>
      </c>
      <c r="N212">
        <f t="shared" si="11"/>
        <v>1</v>
      </c>
      <c r="R212" s="7" t="s">
        <v>442</v>
      </c>
      <c r="S212" s="7" t="s">
        <v>31</v>
      </c>
    </row>
    <row r="213" spans="1:19">
      <c r="A213" s="4" t="s">
        <v>443</v>
      </c>
      <c r="B213" s="4">
        <v>0</v>
      </c>
      <c r="C213">
        <v>0</v>
      </c>
      <c r="D213" s="14">
        <v>0</v>
      </c>
      <c r="E213" s="4">
        <v>0</v>
      </c>
      <c r="F213">
        <v>1</v>
      </c>
      <c r="G213" s="14">
        <v>1</v>
      </c>
      <c r="H213" s="4">
        <v>0</v>
      </c>
      <c r="I213">
        <v>1</v>
      </c>
      <c r="J213" s="14">
        <v>1</v>
      </c>
      <c r="K213">
        <f t="shared" si="9"/>
        <v>-2</v>
      </c>
      <c r="L213" s="4">
        <v>0</v>
      </c>
      <c r="M213">
        <f t="shared" si="10"/>
        <v>0</v>
      </c>
      <c r="N213">
        <f t="shared" si="11"/>
        <v>0</v>
      </c>
      <c r="R213" s="7" t="s">
        <v>444</v>
      </c>
      <c r="S213" s="7" t="s">
        <v>16</v>
      </c>
    </row>
    <row r="214" spans="1:19">
      <c r="A214" s="4" t="s">
        <v>445</v>
      </c>
      <c r="B214" s="4">
        <v>1</v>
      </c>
      <c r="C214">
        <v>1</v>
      </c>
      <c r="D214" s="14">
        <v>2</v>
      </c>
      <c r="E214" s="4">
        <v>1</v>
      </c>
      <c r="F214">
        <v>1</v>
      </c>
      <c r="G214" s="14">
        <v>2</v>
      </c>
      <c r="H214" s="4">
        <v>1</v>
      </c>
      <c r="I214">
        <v>0</v>
      </c>
      <c r="J214" s="14">
        <v>1</v>
      </c>
      <c r="K214">
        <f t="shared" si="9"/>
        <v>0</v>
      </c>
      <c r="L214" s="4">
        <v>1</v>
      </c>
      <c r="M214">
        <f t="shared" si="10"/>
        <v>1</v>
      </c>
      <c r="N214">
        <f t="shared" si="11"/>
        <v>2</v>
      </c>
      <c r="R214" s="7" t="s">
        <v>446</v>
      </c>
      <c r="S214" s="7" t="s">
        <v>19</v>
      </c>
    </row>
    <row r="215" spans="1:19">
      <c r="A215" s="4" t="s">
        <v>447</v>
      </c>
      <c r="B215" s="4">
        <v>1</v>
      </c>
      <c r="C215">
        <v>0</v>
      </c>
      <c r="D215" s="14">
        <v>1</v>
      </c>
      <c r="E215" s="4">
        <v>1</v>
      </c>
      <c r="F215">
        <v>0</v>
      </c>
      <c r="G215" s="14">
        <v>1</v>
      </c>
      <c r="H215" s="4">
        <v>1</v>
      </c>
      <c r="I215">
        <v>0</v>
      </c>
      <c r="J215" s="14">
        <v>1</v>
      </c>
      <c r="K215">
        <f t="shared" si="9"/>
        <v>0</v>
      </c>
      <c r="L215" s="4">
        <v>1</v>
      </c>
      <c r="M215">
        <f t="shared" si="10"/>
        <v>1</v>
      </c>
      <c r="N215">
        <f t="shared" si="11"/>
        <v>2</v>
      </c>
      <c r="R215" s="7" t="s">
        <v>448</v>
      </c>
      <c r="S215" s="7" t="s">
        <v>22</v>
      </c>
    </row>
    <row r="216" spans="1:19">
      <c r="A216" s="4" t="s">
        <v>449</v>
      </c>
      <c r="B216" s="4">
        <v>0</v>
      </c>
      <c r="C216">
        <v>0</v>
      </c>
      <c r="D216" s="14">
        <v>0</v>
      </c>
      <c r="E216" s="4">
        <v>0</v>
      </c>
      <c r="F216">
        <v>1</v>
      </c>
      <c r="G216" s="14">
        <v>1</v>
      </c>
      <c r="H216" s="4">
        <v>0</v>
      </c>
      <c r="I216">
        <v>0</v>
      </c>
      <c r="J216" s="14">
        <v>0</v>
      </c>
      <c r="K216">
        <f t="shared" si="9"/>
        <v>-1</v>
      </c>
      <c r="L216" s="4">
        <v>0</v>
      </c>
      <c r="M216">
        <f t="shared" si="10"/>
        <v>0</v>
      </c>
      <c r="N216">
        <f t="shared" si="11"/>
        <v>0</v>
      </c>
      <c r="R216" s="7" t="s">
        <v>450</v>
      </c>
      <c r="S216" s="7" t="s">
        <v>25</v>
      </c>
    </row>
    <row r="217" spans="1:19">
      <c r="A217" s="4" t="s">
        <v>451</v>
      </c>
      <c r="B217" s="4">
        <v>1</v>
      </c>
      <c r="C217">
        <v>0</v>
      </c>
      <c r="D217" s="14">
        <v>1</v>
      </c>
      <c r="E217" s="4">
        <v>1</v>
      </c>
      <c r="F217">
        <v>1</v>
      </c>
      <c r="G217" s="14">
        <v>2</v>
      </c>
      <c r="H217" s="4">
        <v>1</v>
      </c>
      <c r="I217">
        <v>0</v>
      </c>
      <c r="J217" s="14">
        <v>1</v>
      </c>
      <c r="K217">
        <f t="shared" si="9"/>
        <v>-1</v>
      </c>
      <c r="L217" s="4">
        <v>1</v>
      </c>
      <c r="M217">
        <f t="shared" si="10"/>
        <v>0</v>
      </c>
      <c r="N217">
        <f t="shared" si="11"/>
        <v>1</v>
      </c>
      <c r="R217" s="7" t="s">
        <v>452</v>
      </c>
      <c r="S217" s="7" t="s">
        <v>28</v>
      </c>
    </row>
    <row r="218" spans="1:19">
      <c r="A218" s="4" t="s">
        <v>453</v>
      </c>
      <c r="B218" s="4">
        <v>1</v>
      </c>
      <c r="C218">
        <v>0</v>
      </c>
      <c r="D218" s="14">
        <v>1</v>
      </c>
      <c r="E218" s="4">
        <v>1</v>
      </c>
      <c r="F218">
        <v>1</v>
      </c>
      <c r="G218" s="14">
        <v>2</v>
      </c>
      <c r="H218" s="4">
        <v>1</v>
      </c>
      <c r="I218">
        <v>0</v>
      </c>
      <c r="J218" s="14">
        <v>1</v>
      </c>
      <c r="K218">
        <f t="shared" si="9"/>
        <v>-1</v>
      </c>
      <c r="L218" s="4">
        <v>1</v>
      </c>
      <c r="M218">
        <f t="shared" si="10"/>
        <v>0</v>
      </c>
      <c r="N218">
        <f t="shared" si="11"/>
        <v>1</v>
      </c>
      <c r="R218" s="7" t="s">
        <v>454</v>
      </c>
      <c r="S218" s="7" t="s">
        <v>22</v>
      </c>
    </row>
    <row r="219" spans="1:19">
      <c r="A219" s="4" t="s">
        <v>455</v>
      </c>
      <c r="B219" s="4">
        <v>0</v>
      </c>
      <c r="C219">
        <v>1</v>
      </c>
      <c r="D219" s="14">
        <v>1</v>
      </c>
      <c r="E219" s="4">
        <v>0</v>
      </c>
      <c r="F219">
        <v>0</v>
      </c>
      <c r="G219" s="14">
        <v>0</v>
      </c>
      <c r="H219" s="4">
        <v>0</v>
      </c>
      <c r="I219">
        <v>1</v>
      </c>
      <c r="J219" s="14">
        <v>1</v>
      </c>
      <c r="K219">
        <f t="shared" si="9"/>
        <v>0</v>
      </c>
      <c r="L219" s="4">
        <v>0</v>
      </c>
      <c r="M219">
        <f t="shared" si="10"/>
        <v>1</v>
      </c>
      <c r="N219">
        <f t="shared" si="11"/>
        <v>1</v>
      </c>
      <c r="R219" s="7" t="s">
        <v>456</v>
      </c>
      <c r="S219" s="7" t="s">
        <v>34</v>
      </c>
    </row>
    <row r="220" spans="1:19">
      <c r="A220" s="4" t="s">
        <v>457</v>
      </c>
      <c r="B220" s="4">
        <v>0</v>
      </c>
      <c r="C220">
        <v>0</v>
      </c>
      <c r="D220" s="14">
        <v>0</v>
      </c>
      <c r="E220" s="4">
        <v>0</v>
      </c>
      <c r="F220">
        <v>1</v>
      </c>
      <c r="G220" s="14">
        <v>1</v>
      </c>
      <c r="H220" s="4">
        <v>0</v>
      </c>
      <c r="I220">
        <v>1</v>
      </c>
      <c r="J220" s="14">
        <v>1</v>
      </c>
      <c r="K220">
        <f t="shared" si="9"/>
        <v>-2</v>
      </c>
      <c r="L220" s="4">
        <v>0</v>
      </c>
      <c r="M220">
        <f t="shared" si="10"/>
        <v>0</v>
      </c>
      <c r="N220">
        <f t="shared" si="11"/>
        <v>0</v>
      </c>
      <c r="R220" s="7" t="s">
        <v>458</v>
      </c>
      <c r="S220" s="7" t="s">
        <v>37</v>
      </c>
    </row>
    <row r="221" spans="1:19">
      <c r="A221" s="4" t="s">
        <v>459</v>
      </c>
      <c r="B221" s="4">
        <v>0</v>
      </c>
      <c r="C221">
        <v>0</v>
      </c>
      <c r="D221" s="14">
        <v>0</v>
      </c>
      <c r="E221" s="4">
        <v>0</v>
      </c>
      <c r="F221">
        <v>0</v>
      </c>
      <c r="G221" s="14">
        <v>0</v>
      </c>
      <c r="H221" s="4">
        <v>0</v>
      </c>
      <c r="I221">
        <v>1</v>
      </c>
      <c r="J221" s="14">
        <v>1</v>
      </c>
      <c r="K221">
        <f t="shared" si="9"/>
        <v>-1</v>
      </c>
      <c r="L221" s="4">
        <v>0</v>
      </c>
      <c r="M221">
        <f t="shared" si="10"/>
        <v>0</v>
      </c>
      <c r="N221">
        <f t="shared" si="11"/>
        <v>0</v>
      </c>
      <c r="R221" s="7" t="s">
        <v>460</v>
      </c>
      <c r="S221" s="7" t="s">
        <v>40</v>
      </c>
    </row>
    <row r="222" spans="1:19">
      <c r="A222" s="4" t="s">
        <v>461</v>
      </c>
      <c r="B222" s="4">
        <v>1</v>
      </c>
      <c r="C222">
        <v>0</v>
      </c>
      <c r="D222" s="14">
        <v>1</v>
      </c>
      <c r="E222" s="4">
        <v>1</v>
      </c>
      <c r="F222">
        <v>0</v>
      </c>
      <c r="G222" s="14">
        <v>1</v>
      </c>
      <c r="H222" s="4">
        <v>1</v>
      </c>
      <c r="I222">
        <v>0</v>
      </c>
      <c r="J222" s="14">
        <v>1</v>
      </c>
      <c r="K222">
        <f t="shared" si="9"/>
        <v>0</v>
      </c>
      <c r="L222" s="4">
        <v>1</v>
      </c>
      <c r="M222">
        <f t="shared" si="10"/>
        <v>1</v>
      </c>
      <c r="N222">
        <f t="shared" si="11"/>
        <v>2</v>
      </c>
      <c r="R222" s="7" t="s">
        <v>462</v>
      </c>
      <c r="S222" s="7" t="s">
        <v>31</v>
      </c>
    </row>
    <row r="223" spans="1:19">
      <c r="A223" s="4" t="s">
        <v>463</v>
      </c>
      <c r="B223" s="4">
        <v>0</v>
      </c>
      <c r="C223">
        <v>0</v>
      </c>
      <c r="D223" s="14">
        <v>0</v>
      </c>
      <c r="E223" s="4">
        <v>0</v>
      </c>
      <c r="F223">
        <v>1</v>
      </c>
      <c r="G223" s="14">
        <v>1</v>
      </c>
      <c r="H223" s="4">
        <v>0</v>
      </c>
      <c r="I223">
        <v>0</v>
      </c>
      <c r="J223" s="14">
        <v>0</v>
      </c>
      <c r="K223">
        <f t="shared" si="9"/>
        <v>-1</v>
      </c>
      <c r="L223" s="4">
        <v>0</v>
      </c>
      <c r="M223">
        <f t="shared" si="10"/>
        <v>0</v>
      </c>
      <c r="N223">
        <f t="shared" si="11"/>
        <v>0</v>
      </c>
      <c r="R223" s="7" t="s">
        <v>464</v>
      </c>
      <c r="S223" s="7" t="s">
        <v>16</v>
      </c>
    </row>
    <row r="224" spans="1:19">
      <c r="A224" s="4" t="s">
        <v>465</v>
      </c>
      <c r="B224" s="4">
        <v>1</v>
      </c>
      <c r="C224">
        <v>1</v>
      </c>
      <c r="D224" s="14">
        <v>2</v>
      </c>
      <c r="E224" s="4">
        <v>1</v>
      </c>
      <c r="F224">
        <v>1</v>
      </c>
      <c r="G224" s="14">
        <v>2</v>
      </c>
      <c r="H224" s="4">
        <v>1</v>
      </c>
      <c r="I224">
        <v>1</v>
      </c>
      <c r="J224" s="14">
        <v>2</v>
      </c>
      <c r="K224">
        <f t="shared" si="9"/>
        <v>-1</v>
      </c>
      <c r="L224" s="4">
        <v>1</v>
      </c>
      <c r="M224">
        <f t="shared" si="10"/>
        <v>0</v>
      </c>
      <c r="N224">
        <f t="shared" si="11"/>
        <v>1</v>
      </c>
      <c r="R224" s="7" t="s">
        <v>466</v>
      </c>
      <c r="S224" s="7" t="s">
        <v>19</v>
      </c>
    </row>
    <row r="225" spans="1:19">
      <c r="A225" s="4" t="s">
        <v>467</v>
      </c>
      <c r="B225" s="4">
        <v>1</v>
      </c>
      <c r="C225">
        <v>0</v>
      </c>
      <c r="D225" s="14">
        <v>1</v>
      </c>
      <c r="E225" s="4">
        <v>1</v>
      </c>
      <c r="F225">
        <v>0</v>
      </c>
      <c r="G225" s="14">
        <v>1</v>
      </c>
      <c r="H225" s="4">
        <v>1</v>
      </c>
      <c r="I225">
        <v>0</v>
      </c>
      <c r="J225" s="14">
        <v>1</v>
      </c>
      <c r="K225">
        <f t="shared" si="9"/>
        <v>0</v>
      </c>
      <c r="L225" s="4">
        <v>1</v>
      </c>
      <c r="M225">
        <f t="shared" si="10"/>
        <v>1</v>
      </c>
      <c r="N225">
        <f t="shared" si="11"/>
        <v>2</v>
      </c>
      <c r="R225" s="7" t="s">
        <v>468</v>
      </c>
      <c r="S225" s="7" t="s">
        <v>22</v>
      </c>
    </row>
    <row r="226" spans="1:19">
      <c r="A226" s="4" t="s">
        <v>469</v>
      </c>
      <c r="B226" s="4">
        <v>0</v>
      </c>
      <c r="C226">
        <v>1</v>
      </c>
      <c r="D226" s="14">
        <v>1</v>
      </c>
      <c r="E226" s="4">
        <v>0</v>
      </c>
      <c r="F226">
        <v>0</v>
      </c>
      <c r="G226" s="14">
        <v>0</v>
      </c>
      <c r="H226" s="4">
        <v>0</v>
      </c>
      <c r="I226">
        <v>0</v>
      </c>
      <c r="J226" s="14">
        <v>0</v>
      </c>
      <c r="K226">
        <f t="shared" si="9"/>
        <v>1</v>
      </c>
      <c r="L226" s="4">
        <v>0</v>
      </c>
      <c r="M226">
        <f t="shared" si="10"/>
        <v>1</v>
      </c>
      <c r="N226">
        <f t="shared" si="11"/>
        <v>1</v>
      </c>
      <c r="R226" s="7" t="s">
        <v>470</v>
      </c>
      <c r="S226" s="7" t="s">
        <v>25</v>
      </c>
    </row>
    <row r="227" spans="1:19">
      <c r="A227" s="4" t="s">
        <v>471</v>
      </c>
      <c r="B227" s="4">
        <v>0</v>
      </c>
      <c r="C227">
        <v>1</v>
      </c>
      <c r="D227" s="14">
        <v>1</v>
      </c>
      <c r="E227" s="4">
        <v>0</v>
      </c>
      <c r="F227">
        <v>1</v>
      </c>
      <c r="G227" s="14">
        <v>1</v>
      </c>
      <c r="H227" s="4">
        <v>0</v>
      </c>
      <c r="I227">
        <v>1</v>
      </c>
      <c r="J227" s="14">
        <v>1</v>
      </c>
      <c r="K227">
        <f t="shared" si="9"/>
        <v>-1</v>
      </c>
      <c r="L227" s="4">
        <v>0</v>
      </c>
      <c r="M227">
        <f t="shared" si="10"/>
        <v>0</v>
      </c>
      <c r="N227">
        <f t="shared" si="11"/>
        <v>0</v>
      </c>
      <c r="R227" s="7" t="s">
        <v>472</v>
      </c>
      <c r="S227" s="7" t="s">
        <v>28</v>
      </c>
    </row>
    <row r="228" spans="1:19">
      <c r="A228" s="4" t="s">
        <v>473</v>
      </c>
      <c r="B228" s="4">
        <v>0</v>
      </c>
      <c r="C228">
        <v>0</v>
      </c>
      <c r="D228" s="14">
        <v>0</v>
      </c>
      <c r="E228" s="4">
        <v>0</v>
      </c>
      <c r="F228">
        <v>0</v>
      </c>
      <c r="G228" s="14">
        <v>0</v>
      </c>
      <c r="H228" s="4">
        <v>0</v>
      </c>
      <c r="I228">
        <v>0</v>
      </c>
      <c r="J228" s="14">
        <v>0</v>
      </c>
      <c r="K228">
        <f t="shared" si="9"/>
        <v>0</v>
      </c>
      <c r="L228" s="4">
        <v>0</v>
      </c>
      <c r="M228">
        <f t="shared" si="10"/>
        <v>1</v>
      </c>
      <c r="N228">
        <f t="shared" si="11"/>
        <v>1</v>
      </c>
      <c r="R228" s="7" t="s">
        <v>474</v>
      </c>
      <c r="S228" s="7" t="s">
        <v>25</v>
      </c>
    </row>
    <row r="229" spans="1:19">
      <c r="A229" s="4" t="s">
        <v>475</v>
      </c>
      <c r="B229" s="4">
        <v>0</v>
      </c>
      <c r="C229">
        <v>0</v>
      </c>
      <c r="D229" s="14">
        <v>0</v>
      </c>
      <c r="E229" s="4">
        <v>0</v>
      </c>
      <c r="F229">
        <v>0</v>
      </c>
      <c r="G229" s="14">
        <v>0</v>
      </c>
      <c r="H229" s="4">
        <v>0</v>
      </c>
      <c r="I229">
        <v>0</v>
      </c>
      <c r="J229" s="14">
        <v>0</v>
      </c>
      <c r="K229">
        <f t="shared" si="9"/>
        <v>0</v>
      </c>
      <c r="L229" s="4">
        <v>0</v>
      </c>
      <c r="M229">
        <f t="shared" si="10"/>
        <v>1</v>
      </c>
      <c r="N229">
        <f t="shared" si="11"/>
        <v>1</v>
      </c>
      <c r="R229" s="7" t="s">
        <v>476</v>
      </c>
      <c r="S229" s="7" t="s">
        <v>34</v>
      </c>
    </row>
    <row r="230" spans="1:19">
      <c r="A230" s="4" t="s">
        <v>477</v>
      </c>
      <c r="B230" s="4">
        <v>1</v>
      </c>
      <c r="C230">
        <v>0</v>
      </c>
      <c r="D230" s="14">
        <v>1</v>
      </c>
      <c r="E230" s="4">
        <v>1</v>
      </c>
      <c r="F230">
        <v>0</v>
      </c>
      <c r="G230" s="14">
        <v>1</v>
      </c>
      <c r="H230" s="4">
        <v>1</v>
      </c>
      <c r="I230">
        <v>0</v>
      </c>
      <c r="J230" s="14">
        <v>1</v>
      </c>
      <c r="K230">
        <f t="shared" si="9"/>
        <v>0</v>
      </c>
      <c r="L230" s="4">
        <v>1</v>
      </c>
      <c r="M230">
        <f t="shared" si="10"/>
        <v>1</v>
      </c>
      <c r="N230">
        <f t="shared" si="11"/>
        <v>2</v>
      </c>
      <c r="R230" s="7" t="s">
        <v>478</v>
      </c>
      <c r="S230" s="7" t="s">
        <v>37</v>
      </c>
    </row>
    <row r="231" spans="1:19">
      <c r="A231" s="4" t="s">
        <v>479</v>
      </c>
      <c r="B231" s="4">
        <v>1</v>
      </c>
      <c r="C231">
        <v>0</v>
      </c>
      <c r="D231" s="14">
        <v>1</v>
      </c>
      <c r="E231" s="4">
        <v>1</v>
      </c>
      <c r="F231">
        <v>0</v>
      </c>
      <c r="G231" s="14">
        <v>1</v>
      </c>
      <c r="H231" s="4">
        <v>1</v>
      </c>
      <c r="I231">
        <v>0</v>
      </c>
      <c r="J231" s="14">
        <v>1</v>
      </c>
      <c r="K231">
        <f t="shared" si="9"/>
        <v>0</v>
      </c>
      <c r="L231" s="4">
        <v>1</v>
      </c>
      <c r="M231">
        <f t="shared" si="10"/>
        <v>1</v>
      </c>
      <c r="N231">
        <f t="shared" si="11"/>
        <v>2</v>
      </c>
      <c r="R231" s="7" t="s">
        <v>480</v>
      </c>
      <c r="S231" s="7" t="s">
        <v>40</v>
      </c>
    </row>
    <row r="232" spans="1:19">
      <c r="A232" s="4" t="s">
        <v>481</v>
      </c>
      <c r="B232" s="4">
        <v>1</v>
      </c>
      <c r="C232">
        <v>0</v>
      </c>
      <c r="D232" s="14">
        <v>1</v>
      </c>
      <c r="E232" s="4">
        <v>1</v>
      </c>
      <c r="F232">
        <v>1</v>
      </c>
      <c r="G232" s="14">
        <v>2</v>
      </c>
      <c r="H232" s="4">
        <v>1</v>
      </c>
      <c r="I232">
        <v>1</v>
      </c>
      <c r="J232" s="14">
        <v>2</v>
      </c>
      <c r="K232">
        <f t="shared" si="9"/>
        <v>-2</v>
      </c>
      <c r="L232" s="4">
        <v>1</v>
      </c>
      <c r="M232">
        <f t="shared" si="10"/>
        <v>0</v>
      </c>
      <c r="N232">
        <f t="shared" si="11"/>
        <v>1</v>
      </c>
      <c r="R232" s="7" t="s">
        <v>482</v>
      </c>
      <c r="S232" s="7" t="s">
        <v>31</v>
      </c>
    </row>
    <row r="233" spans="1:19">
      <c r="A233" s="4" t="s">
        <v>483</v>
      </c>
      <c r="B233" s="4">
        <v>0</v>
      </c>
      <c r="C233">
        <v>0</v>
      </c>
      <c r="D233" s="14">
        <v>0</v>
      </c>
      <c r="E233" s="4">
        <v>0</v>
      </c>
      <c r="F233">
        <v>1</v>
      </c>
      <c r="G233" s="14">
        <v>1</v>
      </c>
      <c r="H233" s="4">
        <v>0</v>
      </c>
      <c r="I233">
        <v>0</v>
      </c>
      <c r="J233" s="14">
        <v>0</v>
      </c>
      <c r="K233">
        <f t="shared" si="9"/>
        <v>-1</v>
      </c>
      <c r="L233" s="4">
        <v>0</v>
      </c>
      <c r="M233">
        <f t="shared" si="10"/>
        <v>0</v>
      </c>
      <c r="N233">
        <f t="shared" si="11"/>
        <v>0</v>
      </c>
      <c r="R233" s="7" t="s">
        <v>484</v>
      </c>
      <c r="S233" s="7" t="s">
        <v>16</v>
      </c>
    </row>
    <row r="234" spans="1:19">
      <c r="A234" s="4" t="s">
        <v>485</v>
      </c>
      <c r="B234" s="4">
        <v>1</v>
      </c>
      <c r="C234">
        <v>0</v>
      </c>
      <c r="D234" s="14">
        <v>1</v>
      </c>
      <c r="E234" s="4">
        <v>1</v>
      </c>
      <c r="F234">
        <v>0</v>
      </c>
      <c r="G234" s="14">
        <v>1</v>
      </c>
      <c r="H234" s="4">
        <v>1</v>
      </c>
      <c r="I234">
        <v>1</v>
      </c>
      <c r="J234" s="14">
        <v>2</v>
      </c>
      <c r="K234">
        <f t="shared" si="9"/>
        <v>-1</v>
      </c>
      <c r="L234" s="4">
        <v>1</v>
      </c>
      <c r="M234">
        <f t="shared" si="10"/>
        <v>0</v>
      </c>
      <c r="N234">
        <f t="shared" si="11"/>
        <v>1</v>
      </c>
      <c r="R234" s="7" t="s">
        <v>486</v>
      </c>
      <c r="S234" s="7" t="s">
        <v>19</v>
      </c>
    </row>
    <row r="235" spans="1:19">
      <c r="A235" s="4" t="s">
        <v>487</v>
      </c>
      <c r="B235" s="4">
        <v>1</v>
      </c>
      <c r="C235">
        <v>1</v>
      </c>
      <c r="D235" s="14">
        <v>2</v>
      </c>
      <c r="E235" s="4">
        <v>1</v>
      </c>
      <c r="F235">
        <v>0</v>
      </c>
      <c r="G235" s="14">
        <v>1</v>
      </c>
      <c r="H235" s="4">
        <v>1</v>
      </c>
      <c r="I235">
        <v>0</v>
      </c>
      <c r="J235" s="14">
        <v>1</v>
      </c>
      <c r="K235">
        <f t="shared" si="9"/>
        <v>1</v>
      </c>
      <c r="L235" s="4">
        <v>1</v>
      </c>
      <c r="M235">
        <f t="shared" si="10"/>
        <v>1</v>
      </c>
      <c r="N235">
        <f t="shared" si="11"/>
        <v>2</v>
      </c>
      <c r="R235" s="7" t="s">
        <v>488</v>
      </c>
      <c r="S235" s="7" t="s">
        <v>22</v>
      </c>
    </row>
    <row r="236" spans="1:19">
      <c r="A236" s="4" t="s">
        <v>489</v>
      </c>
      <c r="B236" s="4">
        <v>0</v>
      </c>
      <c r="C236">
        <v>0</v>
      </c>
      <c r="D236" s="14">
        <v>0</v>
      </c>
      <c r="E236" s="4">
        <v>0</v>
      </c>
      <c r="F236">
        <v>0</v>
      </c>
      <c r="G236" s="14">
        <v>0</v>
      </c>
      <c r="H236" s="4">
        <v>0</v>
      </c>
      <c r="I236">
        <v>0</v>
      </c>
      <c r="J236" s="14">
        <v>0</v>
      </c>
      <c r="K236">
        <f t="shared" si="9"/>
        <v>0</v>
      </c>
      <c r="L236" s="4">
        <v>0</v>
      </c>
      <c r="M236">
        <f t="shared" si="10"/>
        <v>1</v>
      </c>
      <c r="N236">
        <f t="shared" si="11"/>
        <v>1</v>
      </c>
      <c r="R236" s="7" t="s">
        <v>490</v>
      </c>
      <c r="S236" s="7" t="s">
        <v>25</v>
      </c>
    </row>
    <row r="237" spans="1:19">
      <c r="A237" s="4" t="s">
        <v>491</v>
      </c>
      <c r="B237" s="4">
        <v>1</v>
      </c>
      <c r="C237">
        <v>0</v>
      </c>
      <c r="D237" s="14">
        <v>1</v>
      </c>
      <c r="E237" s="4">
        <v>1</v>
      </c>
      <c r="F237">
        <v>1</v>
      </c>
      <c r="G237" s="14">
        <v>2</v>
      </c>
      <c r="H237" s="4">
        <v>1</v>
      </c>
      <c r="I237">
        <v>0</v>
      </c>
      <c r="J237" s="14">
        <v>1</v>
      </c>
      <c r="K237">
        <f t="shared" si="9"/>
        <v>-1</v>
      </c>
      <c r="L237" s="4">
        <v>1</v>
      </c>
      <c r="M237">
        <f t="shared" si="10"/>
        <v>0</v>
      </c>
      <c r="N237">
        <f t="shared" si="11"/>
        <v>1</v>
      </c>
      <c r="R237" s="7" t="s">
        <v>492</v>
      </c>
      <c r="S237" s="7" t="s">
        <v>28</v>
      </c>
    </row>
    <row r="238" spans="1:19">
      <c r="A238" s="4" t="s">
        <v>493</v>
      </c>
      <c r="B238" s="4">
        <v>0</v>
      </c>
      <c r="C238">
        <v>0</v>
      </c>
      <c r="D238" s="14">
        <v>0</v>
      </c>
      <c r="E238" s="4">
        <v>0</v>
      </c>
      <c r="F238">
        <v>0</v>
      </c>
      <c r="G238" s="14">
        <v>0</v>
      </c>
      <c r="H238" s="4">
        <v>0</v>
      </c>
      <c r="I238">
        <v>1</v>
      </c>
      <c r="J238" s="14">
        <v>1</v>
      </c>
      <c r="K238">
        <f t="shared" si="9"/>
        <v>-1</v>
      </c>
      <c r="L238" s="4">
        <v>0</v>
      </c>
      <c r="M238">
        <f t="shared" si="10"/>
        <v>0</v>
      </c>
      <c r="N238">
        <f t="shared" si="11"/>
        <v>0</v>
      </c>
      <c r="R238" s="7" t="s">
        <v>494</v>
      </c>
      <c r="S238" s="7" t="s">
        <v>28</v>
      </c>
    </row>
    <row r="239" spans="1:19">
      <c r="A239" s="4" t="s">
        <v>495</v>
      </c>
      <c r="B239" s="4">
        <v>1</v>
      </c>
      <c r="C239">
        <v>1</v>
      </c>
      <c r="D239" s="14">
        <v>2</v>
      </c>
      <c r="E239" s="4">
        <v>1</v>
      </c>
      <c r="F239">
        <v>1</v>
      </c>
      <c r="G239" s="14">
        <v>2</v>
      </c>
      <c r="H239" s="4">
        <v>1</v>
      </c>
      <c r="I239">
        <v>0</v>
      </c>
      <c r="J239" s="14">
        <v>1</v>
      </c>
      <c r="K239">
        <f t="shared" si="9"/>
        <v>0</v>
      </c>
      <c r="L239" s="4">
        <v>1</v>
      </c>
      <c r="M239">
        <f t="shared" si="10"/>
        <v>1</v>
      </c>
      <c r="N239">
        <f t="shared" si="11"/>
        <v>2</v>
      </c>
      <c r="R239" s="7" t="s">
        <v>496</v>
      </c>
      <c r="S239" s="7" t="s">
        <v>34</v>
      </c>
    </row>
    <row r="240" spans="1:19">
      <c r="A240" s="4" t="s">
        <v>497</v>
      </c>
      <c r="B240" s="4">
        <v>1</v>
      </c>
      <c r="C240">
        <v>0</v>
      </c>
      <c r="D240" s="14">
        <v>1</v>
      </c>
      <c r="E240" s="4">
        <v>1</v>
      </c>
      <c r="F240">
        <v>0</v>
      </c>
      <c r="G240" s="14">
        <v>1</v>
      </c>
      <c r="H240" s="4">
        <v>1</v>
      </c>
      <c r="I240">
        <v>0</v>
      </c>
      <c r="J240" s="14">
        <v>1</v>
      </c>
      <c r="K240">
        <f t="shared" si="9"/>
        <v>0</v>
      </c>
      <c r="L240" s="4">
        <v>1</v>
      </c>
      <c r="M240">
        <f t="shared" si="10"/>
        <v>1</v>
      </c>
      <c r="N240">
        <f t="shared" si="11"/>
        <v>2</v>
      </c>
      <c r="R240" s="7" t="s">
        <v>498</v>
      </c>
      <c r="S240" s="7" t="s">
        <v>37</v>
      </c>
    </row>
    <row r="241" spans="1:19">
      <c r="A241" s="4" t="s">
        <v>499</v>
      </c>
      <c r="B241" s="4">
        <v>0</v>
      </c>
      <c r="C241">
        <v>0</v>
      </c>
      <c r="D241" s="14">
        <v>0</v>
      </c>
      <c r="E241" s="4">
        <v>0</v>
      </c>
      <c r="F241">
        <v>1</v>
      </c>
      <c r="G241" s="14">
        <v>1</v>
      </c>
      <c r="H241" s="4">
        <v>0</v>
      </c>
      <c r="I241">
        <v>1</v>
      </c>
      <c r="J241" s="14">
        <v>1</v>
      </c>
      <c r="K241">
        <f t="shared" si="9"/>
        <v>-2</v>
      </c>
      <c r="L241" s="4">
        <v>0</v>
      </c>
      <c r="M241">
        <f t="shared" si="10"/>
        <v>0</v>
      </c>
      <c r="N241">
        <f t="shared" si="11"/>
        <v>0</v>
      </c>
      <c r="R241" s="7" t="s">
        <v>500</v>
      </c>
      <c r="S241" s="7" t="s">
        <v>40</v>
      </c>
    </row>
    <row r="242" spans="1:19">
      <c r="A242" s="4" t="s">
        <v>501</v>
      </c>
      <c r="B242" s="4">
        <v>1</v>
      </c>
      <c r="C242">
        <v>1</v>
      </c>
      <c r="D242" s="14">
        <v>2</v>
      </c>
      <c r="E242" s="4">
        <v>1</v>
      </c>
      <c r="F242">
        <v>0</v>
      </c>
      <c r="G242" s="14">
        <v>1</v>
      </c>
      <c r="H242" s="4">
        <v>1</v>
      </c>
      <c r="I242">
        <v>0</v>
      </c>
      <c r="J242" s="14">
        <v>1</v>
      </c>
      <c r="K242">
        <f t="shared" si="9"/>
        <v>1</v>
      </c>
      <c r="L242" s="4">
        <v>1</v>
      </c>
      <c r="M242">
        <f t="shared" si="10"/>
        <v>1</v>
      </c>
      <c r="N242">
        <f t="shared" si="11"/>
        <v>2</v>
      </c>
      <c r="R242" s="7" t="s">
        <v>502</v>
      </c>
      <c r="S242" s="7" t="s">
        <v>31</v>
      </c>
    </row>
    <row r="243" spans="1:19">
      <c r="A243" s="4" t="s">
        <v>503</v>
      </c>
      <c r="B243" s="4">
        <v>1</v>
      </c>
      <c r="C243">
        <v>0</v>
      </c>
      <c r="D243" s="14">
        <v>1</v>
      </c>
      <c r="E243" s="4">
        <v>1</v>
      </c>
      <c r="F243">
        <v>0</v>
      </c>
      <c r="G243" s="14">
        <v>1</v>
      </c>
      <c r="H243" s="4">
        <v>1</v>
      </c>
      <c r="I243">
        <v>0</v>
      </c>
      <c r="J243" s="14">
        <v>1</v>
      </c>
      <c r="K243">
        <f t="shared" si="9"/>
        <v>0</v>
      </c>
      <c r="L243" s="4">
        <v>1</v>
      </c>
      <c r="M243">
        <f t="shared" si="10"/>
        <v>1</v>
      </c>
      <c r="N243">
        <f t="shared" si="11"/>
        <v>2</v>
      </c>
      <c r="R243" s="7" t="s">
        <v>504</v>
      </c>
      <c r="S243" s="7" t="s">
        <v>16</v>
      </c>
    </row>
    <row r="244" spans="1:19">
      <c r="A244" s="4" t="s">
        <v>505</v>
      </c>
      <c r="B244" s="4">
        <v>1</v>
      </c>
      <c r="C244">
        <v>1</v>
      </c>
      <c r="D244" s="14">
        <v>2</v>
      </c>
      <c r="E244" s="4">
        <v>1</v>
      </c>
      <c r="F244">
        <v>0</v>
      </c>
      <c r="G244" s="14">
        <v>1</v>
      </c>
      <c r="H244" s="4">
        <v>1</v>
      </c>
      <c r="I244">
        <v>1</v>
      </c>
      <c r="J244" s="14">
        <v>2</v>
      </c>
      <c r="K244">
        <f t="shared" si="9"/>
        <v>0</v>
      </c>
      <c r="L244" s="4">
        <v>1</v>
      </c>
      <c r="M244">
        <f t="shared" si="10"/>
        <v>1</v>
      </c>
      <c r="N244">
        <f t="shared" si="11"/>
        <v>2</v>
      </c>
      <c r="R244" s="7" t="s">
        <v>506</v>
      </c>
      <c r="S244" s="7" t="s">
        <v>19</v>
      </c>
    </row>
    <row r="245" spans="1:19">
      <c r="A245" s="4" t="s">
        <v>507</v>
      </c>
      <c r="B245" s="4">
        <v>1</v>
      </c>
      <c r="C245">
        <v>1</v>
      </c>
      <c r="D245" s="14">
        <v>2</v>
      </c>
      <c r="E245" s="4">
        <v>1</v>
      </c>
      <c r="F245">
        <v>0</v>
      </c>
      <c r="G245" s="14">
        <v>1</v>
      </c>
      <c r="H245" s="4">
        <v>1</v>
      </c>
      <c r="I245">
        <v>1</v>
      </c>
      <c r="J245" s="14">
        <v>2</v>
      </c>
      <c r="K245">
        <f t="shared" si="9"/>
        <v>0</v>
      </c>
      <c r="L245" s="4">
        <v>1</v>
      </c>
      <c r="M245">
        <f t="shared" si="10"/>
        <v>1</v>
      </c>
      <c r="N245">
        <f t="shared" si="11"/>
        <v>2</v>
      </c>
      <c r="R245" s="7" t="s">
        <v>508</v>
      </c>
      <c r="S245" s="7" t="s">
        <v>22</v>
      </c>
    </row>
    <row r="246" spans="1:19">
      <c r="A246" s="4" t="s">
        <v>509</v>
      </c>
      <c r="B246" s="4">
        <v>0</v>
      </c>
      <c r="C246">
        <v>0</v>
      </c>
      <c r="D246" s="14">
        <v>0</v>
      </c>
      <c r="E246" s="4">
        <v>0</v>
      </c>
      <c r="F246">
        <v>1</v>
      </c>
      <c r="G246" s="14">
        <v>1</v>
      </c>
      <c r="H246" s="4">
        <v>0</v>
      </c>
      <c r="I246">
        <v>1</v>
      </c>
      <c r="J246" s="14">
        <v>1</v>
      </c>
      <c r="K246">
        <f t="shared" si="9"/>
        <v>-2</v>
      </c>
      <c r="L246" s="4">
        <v>0</v>
      </c>
      <c r="M246">
        <f t="shared" si="10"/>
        <v>0</v>
      </c>
      <c r="N246">
        <f t="shared" si="11"/>
        <v>0</v>
      </c>
      <c r="R246" s="7" t="s">
        <v>510</v>
      </c>
      <c r="S246" s="7" t="s">
        <v>25</v>
      </c>
    </row>
    <row r="247" spans="1:19">
      <c r="A247" s="4" t="s">
        <v>511</v>
      </c>
      <c r="B247" s="4">
        <v>1</v>
      </c>
      <c r="C247">
        <v>1</v>
      </c>
      <c r="D247" s="14">
        <v>2</v>
      </c>
      <c r="E247" s="4">
        <v>1</v>
      </c>
      <c r="F247">
        <v>1</v>
      </c>
      <c r="G247" s="14">
        <v>2</v>
      </c>
      <c r="H247" s="4">
        <v>1</v>
      </c>
      <c r="I247">
        <v>1</v>
      </c>
      <c r="J247" s="14">
        <v>2</v>
      </c>
      <c r="K247">
        <f t="shared" si="9"/>
        <v>-1</v>
      </c>
      <c r="L247" s="4">
        <v>1</v>
      </c>
      <c r="M247">
        <f t="shared" si="10"/>
        <v>0</v>
      </c>
      <c r="N247">
        <f t="shared" si="11"/>
        <v>1</v>
      </c>
      <c r="R247" s="7" t="s">
        <v>512</v>
      </c>
      <c r="S247" s="7" t="s">
        <v>28</v>
      </c>
    </row>
    <row r="248" spans="1:19">
      <c r="A248" s="4" t="s">
        <v>513</v>
      </c>
      <c r="B248" s="4">
        <v>1</v>
      </c>
      <c r="C248">
        <v>0</v>
      </c>
      <c r="D248" s="14">
        <v>1</v>
      </c>
      <c r="E248" s="4">
        <v>1</v>
      </c>
      <c r="F248">
        <v>0</v>
      </c>
      <c r="G248" s="14">
        <v>1</v>
      </c>
      <c r="H248" s="4">
        <v>1</v>
      </c>
      <c r="I248">
        <v>0</v>
      </c>
      <c r="J248" s="14">
        <v>1</v>
      </c>
      <c r="K248">
        <f t="shared" si="9"/>
        <v>0</v>
      </c>
      <c r="L248" s="4">
        <v>1</v>
      </c>
      <c r="M248">
        <f t="shared" si="10"/>
        <v>1</v>
      </c>
      <c r="N248">
        <f t="shared" si="11"/>
        <v>2</v>
      </c>
      <c r="R248" s="7" t="s">
        <v>514</v>
      </c>
      <c r="S248" s="7" t="s">
        <v>31</v>
      </c>
    </row>
    <row r="249" spans="1:19">
      <c r="A249" s="4" t="s">
        <v>515</v>
      </c>
      <c r="B249" s="4">
        <v>0</v>
      </c>
      <c r="C249">
        <v>1</v>
      </c>
      <c r="D249" s="14">
        <v>1</v>
      </c>
      <c r="E249" s="4">
        <v>0</v>
      </c>
      <c r="F249">
        <v>1</v>
      </c>
      <c r="G249" s="14">
        <v>1</v>
      </c>
      <c r="H249" s="4">
        <v>0</v>
      </c>
      <c r="I249">
        <v>1</v>
      </c>
      <c r="J249" s="14">
        <v>1</v>
      </c>
      <c r="K249">
        <f t="shared" si="9"/>
        <v>-1</v>
      </c>
      <c r="L249" s="4">
        <v>0</v>
      </c>
      <c r="M249">
        <f t="shared" si="10"/>
        <v>0</v>
      </c>
      <c r="N249">
        <f t="shared" si="11"/>
        <v>0</v>
      </c>
      <c r="R249" s="7" t="s">
        <v>516</v>
      </c>
      <c r="S249" s="7" t="s">
        <v>34</v>
      </c>
    </row>
    <row r="250" spans="1:19">
      <c r="A250" s="4" t="s">
        <v>517</v>
      </c>
      <c r="B250" s="4">
        <v>0</v>
      </c>
      <c r="C250">
        <v>0</v>
      </c>
      <c r="D250" s="14">
        <v>0</v>
      </c>
      <c r="E250" s="4">
        <v>0</v>
      </c>
      <c r="F250">
        <v>0</v>
      </c>
      <c r="G250" s="14">
        <v>0</v>
      </c>
      <c r="H250" s="4">
        <v>0</v>
      </c>
      <c r="I250">
        <v>0</v>
      </c>
      <c r="J250" s="14">
        <v>0</v>
      </c>
      <c r="K250">
        <f t="shared" si="9"/>
        <v>0</v>
      </c>
      <c r="L250" s="4">
        <v>0</v>
      </c>
      <c r="M250">
        <f t="shared" si="10"/>
        <v>1</v>
      </c>
      <c r="N250">
        <f t="shared" si="11"/>
        <v>1</v>
      </c>
      <c r="R250" s="7" t="s">
        <v>518</v>
      </c>
      <c r="S250" s="7" t="s">
        <v>37</v>
      </c>
    </row>
    <row r="251" spans="1:19">
      <c r="A251" s="4" t="s">
        <v>519</v>
      </c>
      <c r="B251" s="4">
        <v>0</v>
      </c>
      <c r="C251">
        <v>1</v>
      </c>
      <c r="D251" s="14">
        <v>1</v>
      </c>
      <c r="E251" s="4">
        <v>0</v>
      </c>
      <c r="F251">
        <v>0</v>
      </c>
      <c r="G251" s="14">
        <v>0</v>
      </c>
      <c r="H251" s="4">
        <v>0</v>
      </c>
      <c r="I251">
        <v>0</v>
      </c>
      <c r="J251" s="14">
        <v>0</v>
      </c>
      <c r="K251">
        <f t="shared" si="9"/>
        <v>1</v>
      </c>
      <c r="L251" s="4">
        <v>0</v>
      </c>
      <c r="M251">
        <f t="shared" si="10"/>
        <v>1</v>
      </c>
      <c r="N251">
        <f t="shared" si="11"/>
        <v>1</v>
      </c>
      <c r="R251" s="7" t="s">
        <v>520</v>
      </c>
      <c r="S251" s="7" t="s">
        <v>40</v>
      </c>
    </row>
    <row r="252" spans="1:19">
      <c r="A252" s="4" t="s">
        <v>521</v>
      </c>
      <c r="B252" s="4">
        <v>0</v>
      </c>
      <c r="C252">
        <v>0</v>
      </c>
      <c r="D252" s="14">
        <v>0</v>
      </c>
      <c r="E252" s="4">
        <v>0</v>
      </c>
      <c r="F252">
        <v>1</v>
      </c>
      <c r="G252" s="14">
        <v>1</v>
      </c>
      <c r="H252" s="4">
        <v>0</v>
      </c>
      <c r="I252">
        <v>1</v>
      </c>
      <c r="J252" s="14">
        <v>1</v>
      </c>
      <c r="K252">
        <f t="shared" si="9"/>
        <v>-2</v>
      </c>
      <c r="L252" s="4">
        <v>0</v>
      </c>
      <c r="M252">
        <f t="shared" si="10"/>
        <v>0</v>
      </c>
      <c r="N252">
        <f t="shared" si="11"/>
        <v>0</v>
      </c>
      <c r="R252" s="7" t="s">
        <v>522</v>
      </c>
      <c r="S252" s="7" t="s">
        <v>31</v>
      </c>
    </row>
    <row r="253" spans="1:19">
      <c r="A253" s="4" t="s">
        <v>523</v>
      </c>
      <c r="B253" s="4">
        <v>1</v>
      </c>
      <c r="C253">
        <v>0</v>
      </c>
      <c r="D253" s="14">
        <v>1</v>
      </c>
      <c r="E253" s="4">
        <v>1</v>
      </c>
      <c r="F253">
        <v>1</v>
      </c>
      <c r="G253" s="14">
        <v>2</v>
      </c>
      <c r="H253" s="4">
        <v>1</v>
      </c>
      <c r="I253">
        <v>0</v>
      </c>
      <c r="J253" s="14">
        <v>1</v>
      </c>
      <c r="K253">
        <f t="shared" si="9"/>
        <v>-1</v>
      </c>
      <c r="L253" s="4">
        <v>1</v>
      </c>
      <c r="M253">
        <f t="shared" si="10"/>
        <v>0</v>
      </c>
      <c r="N253">
        <f t="shared" si="11"/>
        <v>1</v>
      </c>
      <c r="R253" s="7" t="s">
        <v>524</v>
      </c>
      <c r="S253" s="7" t="s">
        <v>16</v>
      </c>
    </row>
    <row r="254" spans="1:19">
      <c r="A254" s="4" t="s">
        <v>525</v>
      </c>
      <c r="B254" s="4">
        <v>0</v>
      </c>
      <c r="C254">
        <v>0</v>
      </c>
      <c r="D254" s="14">
        <v>0</v>
      </c>
      <c r="E254" s="4">
        <v>0</v>
      </c>
      <c r="F254">
        <v>1</v>
      </c>
      <c r="G254" s="14">
        <v>1</v>
      </c>
      <c r="H254" s="4">
        <v>0</v>
      </c>
      <c r="I254">
        <v>0</v>
      </c>
      <c r="J254" s="14">
        <v>0</v>
      </c>
      <c r="K254">
        <f t="shared" si="9"/>
        <v>-1</v>
      </c>
      <c r="L254" s="4">
        <v>0</v>
      </c>
      <c r="M254">
        <f t="shared" si="10"/>
        <v>0</v>
      </c>
      <c r="N254">
        <f t="shared" si="11"/>
        <v>0</v>
      </c>
      <c r="R254" s="7" t="s">
        <v>526</v>
      </c>
      <c r="S254" s="7" t="s">
        <v>19</v>
      </c>
    </row>
    <row r="255" spans="1:19">
      <c r="A255" s="4" t="s">
        <v>527</v>
      </c>
      <c r="B255" s="4">
        <v>0</v>
      </c>
      <c r="C255">
        <v>1</v>
      </c>
      <c r="D255" s="14">
        <v>1</v>
      </c>
      <c r="E255" s="4">
        <v>0</v>
      </c>
      <c r="F255">
        <v>0</v>
      </c>
      <c r="G255" s="14">
        <v>0</v>
      </c>
      <c r="H255" s="4">
        <v>0</v>
      </c>
      <c r="I255">
        <v>1</v>
      </c>
      <c r="J255" s="14">
        <v>1</v>
      </c>
      <c r="K255">
        <f t="shared" si="9"/>
        <v>0</v>
      </c>
      <c r="L255" s="4">
        <v>0</v>
      </c>
      <c r="M255">
        <f t="shared" si="10"/>
        <v>1</v>
      </c>
      <c r="N255">
        <f t="shared" si="11"/>
        <v>1</v>
      </c>
      <c r="R255" s="7" t="s">
        <v>528</v>
      </c>
      <c r="S255" s="7" t="s">
        <v>22</v>
      </c>
    </row>
    <row r="256" spans="1:19">
      <c r="A256" s="4" t="s">
        <v>529</v>
      </c>
      <c r="B256" s="4">
        <v>1</v>
      </c>
      <c r="C256">
        <v>1</v>
      </c>
      <c r="D256" s="14">
        <v>2</v>
      </c>
      <c r="E256" s="4">
        <v>1</v>
      </c>
      <c r="F256">
        <v>0</v>
      </c>
      <c r="G256" s="14">
        <v>1</v>
      </c>
      <c r="H256" s="4">
        <v>1</v>
      </c>
      <c r="I256">
        <v>1</v>
      </c>
      <c r="J256" s="14">
        <v>2</v>
      </c>
      <c r="K256">
        <f t="shared" si="9"/>
        <v>0</v>
      </c>
      <c r="L256" s="4">
        <v>1</v>
      </c>
      <c r="M256">
        <f t="shared" si="10"/>
        <v>1</v>
      </c>
      <c r="N256">
        <f t="shared" si="11"/>
        <v>2</v>
      </c>
      <c r="R256" s="7" t="s">
        <v>530</v>
      </c>
      <c r="S256" s="7" t="s">
        <v>25</v>
      </c>
    </row>
    <row r="257" spans="1:19">
      <c r="A257" s="4" t="s">
        <v>531</v>
      </c>
      <c r="B257" s="4">
        <v>0</v>
      </c>
      <c r="C257">
        <v>0</v>
      </c>
      <c r="D257" s="14">
        <v>0</v>
      </c>
      <c r="E257" s="4">
        <v>0</v>
      </c>
      <c r="F257">
        <v>0</v>
      </c>
      <c r="G257" s="14">
        <v>0</v>
      </c>
      <c r="H257" s="4">
        <v>0</v>
      </c>
      <c r="I257">
        <v>0</v>
      </c>
      <c r="J257" s="14">
        <v>0</v>
      </c>
      <c r="K257">
        <f t="shared" si="9"/>
        <v>0</v>
      </c>
      <c r="L257" s="4">
        <v>0</v>
      </c>
      <c r="M257">
        <f t="shared" si="10"/>
        <v>1</v>
      </c>
      <c r="N257">
        <f t="shared" si="11"/>
        <v>1</v>
      </c>
      <c r="R257" s="7" t="s">
        <v>532</v>
      </c>
      <c r="S257" s="7" t="s">
        <v>28</v>
      </c>
    </row>
    <row r="258" spans="1:19">
      <c r="A258" s="4" t="s">
        <v>533</v>
      </c>
      <c r="B258" s="4">
        <v>0</v>
      </c>
      <c r="C258">
        <v>0</v>
      </c>
      <c r="D258" s="14">
        <v>0</v>
      </c>
      <c r="E258" s="4">
        <v>0</v>
      </c>
      <c r="F258">
        <v>1</v>
      </c>
      <c r="G258" s="14">
        <v>1</v>
      </c>
      <c r="H258" s="4">
        <v>0</v>
      </c>
      <c r="I258">
        <v>0</v>
      </c>
      <c r="J258" s="14">
        <v>0</v>
      </c>
      <c r="K258">
        <f t="shared" si="9"/>
        <v>-1</v>
      </c>
      <c r="L258" s="4">
        <v>0</v>
      </c>
      <c r="M258">
        <f t="shared" si="10"/>
        <v>0</v>
      </c>
      <c r="N258">
        <f t="shared" si="11"/>
        <v>0</v>
      </c>
      <c r="R258" s="7" t="s">
        <v>534</v>
      </c>
      <c r="S258" s="7" t="s">
        <v>16</v>
      </c>
    </row>
    <row r="259" spans="1:19">
      <c r="A259" s="4" t="s">
        <v>535</v>
      </c>
      <c r="B259" s="4">
        <v>0</v>
      </c>
      <c r="C259">
        <v>1</v>
      </c>
      <c r="D259" s="14">
        <v>1</v>
      </c>
      <c r="E259" s="4">
        <v>0</v>
      </c>
      <c r="F259">
        <v>0</v>
      </c>
      <c r="G259" s="14">
        <v>0</v>
      </c>
      <c r="H259" s="4">
        <v>0</v>
      </c>
      <c r="I259">
        <v>1</v>
      </c>
      <c r="J259" s="14">
        <v>1</v>
      </c>
      <c r="K259">
        <f t="shared" si="9"/>
        <v>0</v>
      </c>
      <c r="L259" s="4">
        <v>0</v>
      </c>
      <c r="M259">
        <f t="shared" si="10"/>
        <v>1</v>
      </c>
      <c r="N259">
        <f t="shared" si="11"/>
        <v>1</v>
      </c>
      <c r="R259" s="7" t="s">
        <v>536</v>
      </c>
      <c r="S259" s="7" t="s">
        <v>34</v>
      </c>
    </row>
    <row r="260" spans="1:19">
      <c r="A260" s="4" t="s">
        <v>537</v>
      </c>
      <c r="B260" s="4">
        <v>1</v>
      </c>
      <c r="C260">
        <v>1</v>
      </c>
      <c r="D260" s="14">
        <v>2</v>
      </c>
      <c r="E260" s="4">
        <v>1</v>
      </c>
      <c r="F260">
        <v>0</v>
      </c>
      <c r="G260" s="14">
        <v>1</v>
      </c>
      <c r="H260" s="4">
        <v>1</v>
      </c>
      <c r="I260">
        <v>0</v>
      </c>
      <c r="J260" s="14">
        <v>1</v>
      </c>
      <c r="K260">
        <f t="shared" ref="K260:K323" si="12">C260-P$3*F260-Q$3*I260</f>
        <v>1</v>
      </c>
      <c r="L260" s="4">
        <v>1</v>
      </c>
      <c r="M260">
        <f t="shared" ref="M260:M323" si="13">IF(K260&lt;0,0,1)</f>
        <v>1</v>
      </c>
      <c r="N260">
        <f t="shared" ref="N260:N323" si="14">L260+M260</f>
        <v>2</v>
      </c>
      <c r="R260" s="7" t="s">
        <v>538</v>
      </c>
      <c r="S260" s="7" t="s">
        <v>37</v>
      </c>
    </row>
    <row r="261" spans="1:19">
      <c r="A261" s="4" t="s">
        <v>539</v>
      </c>
      <c r="B261" s="4">
        <v>1</v>
      </c>
      <c r="C261">
        <v>0</v>
      </c>
      <c r="D261" s="14">
        <v>1</v>
      </c>
      <c r="E261" s="4">
        <v>1</v>
      </c>
      <c r="F261">
        <v>1</v>
      </c>
      <c r="G261" s="14">
        <v>2</v>
      </c>
      <c r="H261" s="4">
        <v>1</v>
      </c>
      <c r="I261">
        <v>0</v>
      </c>
      <c r="J261" s="14">
        <v>1</v>
      </c>
      <c r="K261">
        <f t="shared" si="12"/>
        <v>-1</v>
      </c>
      <c r="L261" s="4">
        <v>1</v>
      </c>
      <c r="M261">
        <f t="shared" si="13"/>
        <v>0</v>
      </c>
      <c r="N261">
        <f t="shared" si="14"/>
        <v>1</v>
      </c>
      <c r="R261" s="7" t="s">
        <v>540</v>
      </c>
      <c r="S261" s="7" t="s">
        <v>40</v>
      </c>
    </row>
    <row r="262" spans="1:19">
      <c r="A262" s="4" t="s">
        <v>541</v>
      </c>
      <c r="B262" s="4">
        <v>0</v>
      </c>
      <c r="C262">
        <v>1</v>
      </c>
      <c r="D262" s="14">
        <v>1</v>
      </c>
      <c r="E262" s="4">
        <v>0</v>
      </c>
      <c r="F262">
        <v>0</v>
      </c>
      <c r="G262" s="14">
        <v>0</v>
      </c>
      <c r="H262" s="4">
        <v>0</v>
      </c>
      <c r="I262">
        <v>0</v>
      </c>
      <c r="J262" s="14">
        <v>0</v>
      </c>
      <c r="K262">
        <f t="shared" si="12"/>
        <v>1</v>
      </c>
      <c r="L262" s="4">
        <v>0</v>
      </c>
      <c r="M262">
        <f t="shared" si="13"/>
        <v>1</v>
      </c>
      <c r="N262">
        <f t="shared" si="14"/>
        <v>1</v>
      </c>
      <c r="R262" s="7" t="s">
        <v>542</v>
      </c>
      <c r="S262" s="7" t="s">
        <v>31</v>
      </c>
    </row>
    <row r="263" spans="1:19">
      <c r="A263" s="4" t="s">
        <v>543</v>
      </c>
      <c r="B263" s="4">
        <v>0</v>
      </c>
      <c r="C263">
        <v>0</v>
      </c>
      <c r="D263" s="14">
        <v>0</v>
      </c>
      <c r="E263" s="4">
        <v>0</v>
      </c>
      <c r="F263">
        <v>0</v>
      </c>
      <c r="G263" s="14">
        <v>0</v>
      </c>
      <c r="H263" s="4">
        <v>0</v>
      </c>
      <c r="I263">
        <v>0</v>
      </c>
      <c r="J263" s="14">
        <v>0</v>
      </c>
      <c r="K263">
        <f t="shared" si="12"/>
        <v>0</v>
      </c>
      <c r="L263" s="4">
        <v>0</v>
      </c>
      <c r="M263">
        <f t="shared" si="13"/>
        <v>1</v>
      </c>
      <c r="N263">
        <f t="shared" si="14"/>
        <v>1</v>
      </c>
      <c r="R263" s="7" t="s">
        <v>544</v>
      </c>
      <c r="S263" s="7" t="s">
        <v>16</v>
      </c>
    </row>
    <row r="264" spans="1:19">
      <c r="A264" s="4" t="s">
        <v>545</v>
      </c>
      <c r="B264" s="4">
        <v>1</v>
      </c>
      <c r="C264">
        <v>0</v>
      </c>
      <c r="D264" s="14">
        <v>1</v>
      </c>
      <c r="E264" s="4">
        <v>1</v>
      </c>
      <c r="F264">
        <v>0</v>
      </c>
      <c r="G264" s="14">
        <v>1</v>
      </c>
      <c r="H264" s="4">
        <v>1</v>
      </c>
      <c r="I264">
        <v>1</v>
      </c>
      <c r="J264" s="14">
        <v>2</v>
      </c>
      <c r="K264">
        <f t="shared" si="12"/>
        <v>-1</v>
      </c>
      <c r="L264" s="4">
        <v>1</v>
      </c>
      <c r="M264">
        <f t="shared" si="13"/>
        <v>0</v>
      </c>
      <c r="N264">
        <f t="shared" si="14"/>
        <v>1</v>
      </c>
      <c r="R264" s="7" t="s">
        <v>546</v>
      </c>
      <c r="S264" s="7" t="s">
        <v>19</v>
      </c>
    </row>
    <row r="265" spans="1:19">
      <c r="A265" s="4" t="s">
        <v>547</v>
      </c>
      <c r="B265" s="4">
        <v>0</v>
      </c>
      <c r="C265">
        <v>0</v>
      </c>
      <c r="D265" s="14">
        <v>0</v>
      </c>
      <c r="E265" s="4">
        <v>0</v>
      </c>
      <c r="F265">
        <v>0</v>
      </c>
      <c r="G265" s="14">
        <v>0</v>
      </c>
      <c r="H265" s="4">
        <v>0</v>
      </c>
      <c r="I265">
        <v>0</v>
      </c>
      <c r="J265" s="14">
        <v>0</v>
      </c>
      <c r="K265">
        <f t="shared" si="12"/>
        <v>0</v>
      </c>
      <c r="L265" s="4">
        <v>0</v>
      </c>
      <c r="M265">
        <f t="shared" si="13"/>
        <v>1</v>
      </c>
      <c r="N265">
        <f t="shared" si="14"/>
        <v>1</v>
      </c>
      <c r="R265" s="7" t="s">
        <v>548</v>
      </c>
      <c r="S265" s="7" t="s">
        <v>22</v>
      </c>
    </row>
    <row r="266" spans="1:19">
      <c r="A266" s="4" t="s">
        <v>549</v>
      </c>
      <c r="B266" s="4">
        <v>0</v>
      </c>
      <c r="C266">
        <v>0</v>
      </c>
      <c r="D266" s="14">
        <v>0</v>
      </c>
      <c r="E266" s="4">
        <v>0</v>
      </c>
      <c r="F266">
        <v>0</v>
      </c>
      <c r="G266" s="14">
        <v>0</v>
      </c>
      <c r="H266" s="4">
        <v>0</v>
      </c>
      <c r="I266">
        <v>1</v>
      </c>
      <c r="J266" s="14">
        <v>1</v>
      </c>
      <c r="K266">
        <f t="shared" si="12"/>
        <v>-1</v>
      </c>
      <c r="L266" s="4">
        <v>0</v>
      </c>
      <c r="M266">
        <f t="shared" si="13"/>
        <v>0</v>
      </c>
      <c r="N266">
        <f t="shared" si="14"/>
        <v>0</v>
      </c>
      <c r="R266" s="7" t="s">
        <v>550</v>
      </c>
      <c r="S266" s="7" t="s">
        <v>25</v>
      </c>
    </row>
    <row r="267" spans="1:19">
      <c r="A267" s="4" t="s">
        <v>551</v>
      </c>
      <c r="B267" s="4">
        <v>0</v>
      </c>
      <c r="C267">
        <v>0</v>
      </c>
      <c r="D267" s="14">
        <v>0</v>
      </c>
      <c r="E267" s="4">
        <v>0</v>
      </c>
      <c r="F267">
        <v>0</v>
      </c>
      <c r="G267" s="14">
        <v>0</v>
      </c>
      <c r="H267" s="4">
        <v>0</v>
      </c>
      <c r="I267">
        <v>1</v>
      </c>
      <c r="J267" s="14">
        <v>1</v>
      </c>
      <c r="K267">
        <f t="shared" si="12"/>
        <v>-1</v>
      </c>
      <c r="L267" s="4">
        <v>0</v>
      </c>
      <c r="M267">
        <f t="shared" si="13"/>
        <v>0</v>
      </c>
      <c r="N267">
        <f t="shared" si="14"/>
        <v>0</v>
      </c>
      <c r="R267" s="7" t="s">
        <v>552</v>
      </c>
      <c r="S267" s="7" t="s">
        <v>28</v>
      </c>
    </row>
    <row r="268" spans="1:19">
      <c r="A268" s="4" t="s">
        <v>553</v>
      </c>
      <c r="B268" s="4">
        <v>0</v>
      </c>
      <c r="C268">
        <v>0</v>
      </c>
      <c r="D268" s="14">
        <v>0</v>
      </c>
      <c r="E268" s="4">
        <v>0</v>
      </c>
      <c r="F268">
        <v>0</v>
      </c>
      <c r="G268" s="14">
        <v>0</v>
      </c>
      <c r="H268" s="4">
        <v>0</v>
      </c>
      <c r="I268">
        <v>0</v>
      </c>
      <c r="J268" s="14">
        <v>0</v>
      </c>
      <c r="K268">
        <f t="shared" si="12"/>
        <v>0</v>
      </c>
      <c r="L268" s="4">
        <v>0</v>
      </c>
      <c r="M268">
        <f t="shared" si="13"/>
        <v>1</v>
      </c>
      <c r="N268">
        <f t="shared" si="14"/>
        <v>1</v>
      </c>
      <c r="R268" s="7" t="s">
        <v>554</v>
      </c>
      <c r="S268" s="7" t="s">
        <v>19</v>
      </c>
    </row>
    <row r="269" spans="1:19">
      <c r="A269" s="4" t="s">
        <v>555</v>
      </c>
      <c r="B269" s="4">
        <v>1</v>
      </c>
      <c r="C269">
        <v>1</v>
      </c>
      <c r="D269" s="14">
        <v>2</v>
      </c>
      <c r="E269" s="4">
        <v>1</v>
      </c>
      <c r="F269">
        <v>1</v>
      </c>
      <c r="G269" s="14">
        <v>2</v>
      </c>
      <c r="H269" s="4">
        <v>1</v>
      </c>
      <c r="I269">
        <v>1</v>
      </c>
      <c r="J269" s="14">
        <v>2</v>
      </c>
      <c r="K269">
        <f t="shared" si="12"/>
        <v>-1</v>
      </c>
      <c r="L269" s="4">
        <v>1</v>
      </c>
      <c r="M269">
        <f t="shared" si="13"/>
        <v>0</v>
      </c>
      <c r="N269">
        <f t="shared" si="14"/>
        <v>1</v>
      </c>
      <c r="R269" s="7" t="s">
        <v>556</v>
      </c>
      <c r="S269" s="7" t="s">
        <v>34</v>
      </c>
    </row>
    <row r="270" spans="1:19">
      <c r="A270" s="4" t="s">
        <v>557</v>
      </c>
      <c r="B270" s="4">
        <v>1</v>
      </c>
      <c r="C270">
        <v>0</v>
      </c>
      <c r="D270" s="14">
        <v>1</v>
      </c>
      <c r="E270" s="4">
        <v>1</v>
      </c>
      <c r="F270">
        <v>0</v>
      </c>
      <c r="G270" s="14">
        <v>1</v>
      </c>
      <c r="H270" s="4">
        <v>1</v>
      </c>
      <c r="I270">
        <v>0</v>
      </c>
      <c r="J270" s="14">
        <v>1</v>
      </c>
      <c r="K270">
        <f t="shared" si="12"/>
        <v>0</v>
      </c>
      <c r="L270" s="4">
        <v>1</v>
      </c>
      <c r="M270">
        <f t="shared" si="13"/>
        <v>1</v>
      </c>
      <c r="N270">
        <f t="shared" si="14"/>
        <v>2</v>
      </c>
      <c r="R270" s="7" t="s">
        <v>558</v>
      </c>
      <c r="S270" s="7" t="s">
        <v>37</v>
      </c>
    </row>
    <row r="271" spans="1:19">
      <c r="A271" s="4" t="s">
        <v>559</v>
      </c>
      <c r="B271" s="4">
        <v>1</v>
      </c>
      <c r="C271">
        <v>1</v>
      </c>
      <c r="D271" s="14">
        <v>2</v>
      </c>
      <c r="E271" s="4">
        <v>1</v>
      </c>
      <c r="F271">
        <v>0</v>
      </c>
      <c r="G271" s="14">
        <v>1</v>
      </c>
      <c r="H271" s="4">
        <v>1</v>
      </c>
      <c r="I271">
        <v>0</v>
      </c>
      <c r="J271" s="14">
        <v>1</v>
      </c>
      <c r="K271">
        <f t="shared" si="12"/>
        <v>1</v>
      </c>
      <c r="L271" s="4">
        <v>1</v>
      </c>
      <c r="M271">
        <f t="shared" si="13"/>
        <v>1</v>
      </c>
      <c r="N271">
        <f t="shared" si="14"/>
        <v>2</v>
      </c>
      <c r="R271" s="7" t="s">
        <v>560</v>
      </c>
      <c r="S271" s="7" t="s">
        <v>40</v>
      </c>
    </row>
    <row r="272" spans="1:19">
      <c r="A272" s="4" t="s">
        <v>561</v>
      </c>
      <c r="B272" s="4">
        <v>1</v>
      </c>
      <c r="C272">
        <v>0</v>
      </c>
      <c r="D272" s="14">
        <v>1</v>
      </c>
      <c r="E272" s="4">
        <v>1</v>
      </c>
      <c r="F272">
        <v>1</v>
      </c>
      <c r="G272" s="14">
        <v>2</v>
      </c>
      <c r="H272" s="4">
        <v>1</v>
      </c>
      <c r="I272">
        <v>1</v>
      </c>
      <c r="J272" s="14">
        <v>2</v>
      </c>
      <c r="K272">
        <f t="shared" si="12"/>
        <v>-2</v>
      </c>
      <c r="L272" s="4">
        <v>1</v>
      </c>
      <c r="M272">
        <f t="shared" si="13"/>
        <v>0</v>
      </c>
      <c r="N272">
        <f t="shared" si="14"/>
        <v>1</v>
      </c>
      <c r="R272" s="7" t="s">
        <v>562</v>
      </c>
      <c r="S272" s="7" t="s">
        <v>31</v>
      </c>
    </row>
    <row r="273" spans="1:19">
      <c r="A273" s="4" t="s">
        <v>563</v>
      </c>
      <c r="B273" s="4">
        <v>0</v>
      </c>
      <c r="C273">
        <v>0</v>
      </c>
      <c r="D273" s="14">
        <v>0</v>
      </c>
      <c r="E273" s="4">
        <v>0</v>
      </c>
      <c r="F273">
        <v>0</v>
      </c>
      <c r="G273" s="14">
        <v>0</v>
      </c>
      <c r="H273" s="4">
        <v>0</v>
      </c>
      <c r="I273">
        <v>1</v>
      </c>
      <c r="J273" s="14">
        <v>1</v>
      </c>
      <c r="K273">
        <f t="shared" si="12"/>
        <v>-1</v>
      </c>
      <c r="L273" s="4">
        <v>0</v>
      </c>
      <c r="M273">
        <f t="shared" si="13"/>
        <v>0</v>
      </c>
      <c r="N273">
        <f t="shared" si="14"/>
        <v>0</v>
      </c>
      <c r="R273" s="7" t="s">
        <v>564</v>
      </c>
      <c r="S273" s="7" t="s">
        <v>16</v>
      </c>
    </row>
    <row r="274" spans="1:19">
      <c r="A274" s="4" t="s">
        <v>565</v>
      </c>
      <c r="B274" s="4">
        <v>0</v>
      </c>
      <c r="C274">
        <v>0</v>
      </c>
      <c r="D274" s="14">
        <v>0</v>
      </c>
      <c r="E274" s="4">
        <v>0</v>
      </c>
      <c r="F274">
        <v>1</v>
      </c>
      <c r="G274" s="14">
        <v>1</v>
      </c>
      <c r="H274" s="4">
        <v>0</v>
      </c>
      <c r="I274">
        <v>0</v>
      </c>
      <c r="J274" s="14">
        <v>0</v>
      </c>
      <c r="K274">
        <f t="shared" si="12"/>
        <v>-1</v>
      </c>
      <c r="L274" s="4">
        <v>0</v>
      </c>
      <c r="M274">
        <f t="shared" si="13"/>
        <v>0</v>
      </c>
      <c r="N274">
        <f t="shared" si="14"/>
        <v>0</v>
      </c>
      <c r="R274" s="7" t="s">
        <v>566</v>
      </c>
      <c r="S274" s="7" t="s">
        <v>19</v>
      </c>
    </row>
    <row r="275" spans="1:19">
      <c r="A275" s="4" t="s">
        <v>567</v>
      </c>
      <c r="B275" s="4">
        <v>1</v>
      </c>
      <c r="C275">
        <v>0</v>
      </c>
      <c r="D275" s="14">
        <v>1</v>
      </c>
      <c r="E275" s="4">
        <v>1</v>
      </c>
      <c r="F275">
        <v>0</v>
      </c>
      <c r="G275" s="14">
        <v>1</v>
      </c>
      <c r="H275" s="4">
        <v>1</v>
      </c>
      <c r="I275">
        <v>0</v>
      </c>
      <c r="J275" s="14">
        <v>1</v>
      </c>
      <c r="K275">
        <f t="shared" si="12"/>
        <v>0</v>
      </c>
      <c r="L275" s="4">
        <v>1</v>
      </c>
      <c r="M275">
        <f t="shared" si="13"/>
        <v>1</v>
      </c>
      <c r="N275">
        <f t="shared" si="14"/>
        <v>2</v>
      </c>
      <c r="R275" s="7" t="s">
        <v>568</v>
      </c>
      <c r="S275" s="7" t="s">
        <v>22</v>
      </c>
    </row>
    <row r="276" spans="1:19">
      <c r="A276" s="4" t="s">
        <v>569</v>
      </c>
      <c r="B276" s="4">
        <v>1</v>
      </c>
      <c r="C276">
        <v>0</v>
      </c>
      <c r="D276" s="14">
        <v>1</v>
      </c>
      <c r="E276" s="4">
        <v>1</v>
      </c>
      <c r="F276">
        <v>1</v>
      </c>
      <c r="G276" s="14">
        <v>2</v>
      </c>
      <c r="H276" s="4">
        <v>1</v>
      </c>
      <c r="I276">
        <v>1</v>
      </c>
      <c r="J276" s="14">
        <v>2</v>
      </c>
      <c r="K276">
        <f t="shared" si="12"/>
        <v>-2</v>
      </c>
      <c r="L276" s="4">
        <v>1</v>
      </c>
      <c r="M276">
        <f t="shared" si="13"/>
        <v>0</v>
      </c>
      <c r="N276">
        <f t="shared" si="14"/>
        <v>1</v>
      </c>
      <c r="R276" s="7" t="s">
        <v>570</v>
      </c>
      <c r="S276" s="7" t="s">
        <v>25</v>
      </c>
    </row>
    <row r="277" spans="1:19">
      <c r="A277" s="4" t="s">
        <v>571</v>
      </c>
      <c r="B277" s="4">
        <v>0</v>
      </c>
      <c r="C277">
        <v>0</v>
      </c>
      <c r="D277" s="14">
        <v>0</v>
      </c>
      <c r="E277" s="4">
        <v>0</v>
      </c>
      <c r="F277">
        <v>0</v>
      </c>
      <c r="G277" s="14">
        <v>0</v>
      </c>
      <c r="H277" s="4">
        <v>0</v>
      </c>
      <c r="I277">
        <v>0</v>
      </c>
      <c r="J277" s="14">
        <v>0</v>
      </c>
      <c r="K277">
        <f t="shared" si="12"/>
        <v>0</v>
      </c>
      <c r="L277" s="4">
        <v>0</v>
      </c>
      <c r="M277">
        <f t="shared" si="13"/>
        <v>1</v>
      </c>
      <c r="N277">
        <f t="shared" si="14"/>
        <v>1</v>
      </c>
      <c r="R277" s="7" t="s">
        <v>572</v>
      </c>
      <c r="S277" s="7" t="s">
        <v>28</v>
      </c>
    </row>
    <row r="278" spans="1:19">
      <c r="A278" s="4" t="s">
        <v>573</v>
      </c>
      <c r="B278" s="4">
        <v>1</v>
      </c>
      <c r="C278">
        <v>0</v>
      </c>
      <c r="D278" s="14">
        <v>1</v>
      </c>
      <c r="E278" s="4">
        <v>1</v>
      </c>
      <c r="F278">
        <v>0</v>
      </c>
      <c r="G278" s="14">
        <v>1</v>
      </c>
      <c r="H278" s="4">
        <v>1</v>
      </c>
      <c r="I278">
        <v>0</v>
      </c>
      <c r="J278" s="14">
        <v>1</v>
      </c>
      <c r="K278">
        <f t="shared" si="12"/>
        <v>0</v>
      </c>
      <c r="L278" s="4">
        <v>1</v>
      </c>
      <c r="M278">
        <f t="shared" si="13"/>
        <v>1</v>
      </c>
      <c r="N278">
        <f t="shared" si="14"/>
        <v>2</v>
      </c>
      <c r="R278" s="7" t="s">
        <v>574</v>
      </c>
      <c r="S278" s="7" t="s">
        <v>22</v>
      </c>
    </row>
    <row r="279" spans="1:19">
      <c r="A279" s="4" t="s">
        <v>575</v>
      </c>
      <c r="B279" s="4">
        <v>0</v>
      </c>
      <c r="C279">
        <v>1</v>
      </c>
      <c r="D279" s="14">
        <v>1</v>
      </c>
      <c r="E279" s="4">
        <v>0</v>
      </c>
      <c r="F279">
        <v>0</v>
      </c>
      <c r="G279" s="14">
        <v>0</v>
      </c>
      <c r="H279" s="4">
        <v>0</v>
      </c>
      <c r="I279">
        <v>1</v>
      </c>
      <c r="J279" s="14">
        <v>1</v>
      </c>
      <c r="K279">
        <f t="shared" si="12"/>
        <v>0</v>
      </c>
      <c r="L279" s="4">
        <v>0</v>
      </c>
      <c r="M279">
        <f t="shared" si="13"/>
        <v>1</v>
      </c>
      <c r="N279">
        <f t="shared" si="14"/>
        <v>1</v>
      </c>
      <c r="R279" s="7" t="s">
        <v>576</v>
      </c>
      <c r="S279" s="7" t="s">
        <v>34</v>
      </c>
    </row>
    <row r="280" spans="1:19">
      <c r="A280" s="4" t="s">
        <v>577</v>
      </c>
      <c r="B280" s="4">
        <v>1</v>
      </c>
      <c r="C280">
        <v>0</v>
      </c>
      <c r="D280" s="14">
        <v>1</v>
      </c>
      <c r="E280" s="4">
        <v>1</v>
      </c>
      <c r="F280">
        <v>1</v>
      </c>
      <c r="G280" s="14">
        <v>2</v>
      </c>
      <c r="H280" s="4">
        <v>1</v>
      </c>
      <c r="I280">
        <v>1</v>
      </c>
      <c r="J280" s="14">
        <v>2</v>
      </c>
      <c r="K280">
        <f t="shared" si="12"/>
        <v>-2</v>
      </c>
      <c r="L280" s="4">
        <v>1</v>
      </c>
      <c r="M280">
        <f t="shared" si="13"/>
        <v>0</v>
      </c>
      <c r="N280">
        <f t="shared" si="14"/>
        <v>1</v>
      </c>
      <c r="R280" s="7" t="s">
        <v>578</v>
      </c>
      <c r="S280" s="7" t="s">
        <v>37</v>
      </c>
    </row>
    <row r="281" spans="1:19">
      <c r="A281" s="4" t="s">
        <v>579</v>
      </c>
      <c r="B281" s="4">
        <v>0</v>
      </c>
      <c r="C281">
        <v>0</v>
      </c>
      <c r="D281" s="14">
        <v>0</v>
      </c>
      <c r="E281" s="4">
        <v>0</v>
      </c>
      <c r="F281">
        <v>1</v>
      </c>
      <c r="G281" s="14">
        <v>1</v>
      </c>
      <c r="H281" s="4">
        <v>0</v>
      </c>
      <c r="I281">
        <v>1</v>
      </c>
      <c r="J281" s="14">
        <v>1</v>
      </c>
      <c r="K281">
        <f t="shared" si="12"/>
        <v>-2</v>
      </c>
      <c r="L281" s="4">
        <v>0</v>
      </c>
      <c r="M281">
        <f t="shared" si="13"/>
        <v>0</v>
      </c>
      <c r="N281">
        <f t="shared" si="14"/>
        <v>0</v>
      </c>
      <c r="R281" s="7" t="s">
        <v>580</v>
      </c>
      <c r="S281" s="7" t="s">
        <v>40</v>
      </c>
    </row>
    <row r="282" spans="1:19">
      <c r="A282" s="4" t="s">
        <v>581</v>
      </c>
      <c r="B282" s="4">
        <v>1</v>
      </c>
      <c r="C282">
        <v>1</v>
      </c>
      <c r="D282" s="14">
        <v>2</v>
      </c>
      <c r="E282" s="4">
        <v>1</v>
      </c>
      <c r="F282">
        <v>1</v>
      </c>
      <c r="G282" s="14">
        <v>2</v>
      </c>
      <c r="H282" s="4">
        <v>1</v>
      </c>
      <c r="I282">
        <v>1</v>
      </c>
      <c r="J282" s="14">
        <v>2</v>
      </c>
      <c r="K282">
        <f t="shared" si="12"/>
        <v>-1</v>
      </c>
      <c r="L282" s="4">
        <v>1</v>
      </c>
      <c r="M282">
        <f t="shared" si="13"/>
        <v>0</v>
      </c>
      <c r="N282">
        <f t="shared" si="14"/>
        <v>1</v>
      </c>
      <c r="R282" s="7" t="s">
        <v>582</v>
      </c>
      <c r="S282" s="7" t="s">
        <v>31</v>
      </c>
    </row>
    <row r="283" spans="1:19">
      <c r="A283" s="4" t="s">
        <v>583</v>
      </c>
      <c r="B283" s="4">
        <v>1</v>
      </c>
      <c r="C283">
        <v>0</v>
      </c>
      <c r="D283" s="14">
        <v>1</v>
      </c>
      <c r="E283" s="4">
        <v>1</v>
      </c>
      <c r="F283">
        <v>0</v>
      </c>
      <c r="G283" s="14">
        <v>1</v>
      </c>
      <c r="H283" s="4">
        <v>1</v>
      </c>
      <c r="I283">
        <v>0</v>
      </c>
      <c r="J283" s="14">
        <v>1</v>
      </c>
      <c r="K283">
        <f t="shared" si="12"/>
        <v>0</v>
      </c>
      <c r="L283" s="4">
        <v>1</v>
      </c>
      <c r="M283">
        <f t="shared" si="13"/>
        <v>1</v>
      </c>
      <c r="N283">
        <f t="shared" si="14"/>
        <v>2</v>
      </c>
      <c r="R283" s="7" t="s">
        <v>584</v>
      </c>
      <c r="S283" s="7" t="s">
        <v>16</v>
      </c>
    </row>
    <row r="284" spans="1:19">
      <c r="A284" s="4" t="s">
        <v>585</v>
      </c>
      <c r="B284" s="4">
        <v>0</v>
      </c>
      <c r="C284">
        <v>0</v>
      </c>
      <c r="D284" s="14">
        <v>0</v>
      </c>
      <c r="E284" s="4">
        <v>0</v>
      </c>
      <c r="F284">
        <v>0</v>
      </c>
      <c r="G284" s="14">
        <v>0</v>
      </c>
      <c r="H284" s="4">
        <v>0</v>
      </c>
      <c r="I284">
        <v>1</v>
      </c>
      <c r="J284" s="14">
        <v>1</v>
      </c>
      <c r="K284">
        <f t="shared" si="12"/>
        <v>-1</v>
      </c>
      <c r="L284" s="4">
        <v>0</v>
      </c>
      <c r="M284">
        <f t="shared" si="13"/>
        <v>0</v>
      </c>
      <c r="N284">
        <f t="shared" si="14"/>
        <v>0</v>
      </c>
      <c r="R284" s="7" t="s">
        <v>586</v>
      </c>
      <c r="S284" s="7" t="s">
        <v>19</v>
      </c>
    </row>
    <row r="285" spans="1:19">
      <c r="A285" s="4" t="s">
        <v>587</v>
      </c>
      <c r="B285" s="4">
        <v>1</v>
      </c>
      <c r="C285">
        <v>0</v>
      </c>
      <c r="D285" s="14">
        <v>1</v>
      </c>
      <c r="E285" s="4">
        <v>1</v>
      </c>
      <c r="F285">
        <v>0</v>
      </c>
      <c r="G285" s="14">
        <v>1</v>
      </c>
      <c r="H285" s="4">
        <v>1</v>
      </c>
      <c r="I285">
        <v>0</v>
      </c>
      <c r="J285" s="14">
        <v>1</v>
      </c>
      <c r="K285">
        <f t="shared" si="12"/>
        <v>0</v>
      </c>
      <c r="L285" s="4">
        <v>1</v>
      </c>
      <c r="M285">
        <f t="shared" si="13"/>
        <v>1</v>
      </c>
      <c r="N285">
        <f t="shared" si="14"/>
        <v>2</v>
      </c>
      <c r="R285" s="7" t="s">
        <v>588</v>
      </c>
      <c r="S285" s="7" t="s">
        <v>22</v>
      </c>
    </row>
    <row r="286" spans="1:19">
      <c r="A286" s="4" t="s">
        <v>589</v>
      </c>
      <c r="B286" s="4">
        <v>1</v>
      </c>
      <c r="C286">
        <v>0</v>
      </c>
      <c r="D286" s="14">
        <v>1</v>
      </c>
      <c r="E286" s="4">
        <v>1</v>
      </c>
      <c r="F286">
        <v>0</v>
      </c>
      <c r="G286" s="14">
        <v>1</v>
      </c>
      <c r="H286" s="4">
        <v>1</v>
      </c>
      <c r="I286">
        <v>1</v>
      </c>
      <c r="J286" s="14">
        <v>2</v>
      </c>
      <c r="K286">
        <f t="shared" si="12"/>
        <v>-1</v>
      </c>
      <c r="L286" s="4">
        <v>1</v>
      </c>
      <c r="M286">
        <f t="shared" si="13"/>
        <v>0</v>
      </c>
      <c r="N286">
        <f t="shared" si="14"/>
        <v>1</v>
      </c>
      <c r="R286" s="7" t="s">
        <v>590</v>
      </c>
      <c r="S286" s="7" t="s">
        <v>25</v>
      </c>
    </row>
    <row r="287" spans="1:19">
      <c r="A287" s="4" t="s">
        <v>591</v>
      </c>
      <c r="B287" s="4">
        <v>0</v>
      </c>
      <c r="C287">
        <v>0</v>
      </c>
      <c r="D287" s="14">
        <v>0</v>
      </c>
      <c r="E287" s="4">
        <v>0</v>
      </c>
      <c r="F287">
        <v>0</v>
      </c>
      <c r="G287" s="14">
        <v>0</v>
      </c>
      <c r="H287" s="4">
        <v>0</v>
      </c>
      <c r="I287">
        <v>1</v>
      </c>
      <c r="J287" s="14">
        <v>1</v>
      </c>
      <c r="K287">
        <f t="shared" si="12"/>
        <v>-1</v>
      </c>
      <c r="L287" s="4">
        <v>0</v>
      </c>
      <c r="M287">
        <f t="shared" si="13"/>
        <v>0</v>
      </c>
      <c r="N287">
        <f t="shared" si="14"/>
        <v>0</v>
      </c>
      <c r="R287" s="7" t="s">
        <v>592</v>
      </c>
      <c r="S287" s="7" t="s">
        <v>28</v>
      </c>
    </row>
    <row r="288" spans="1:19">
      <c r="A288" s="4" t="s">
        <v>593</v>
      </c>
      <c r="B288" s="4">
        <v>0</v>
      </c>
      <c r="C288">
        <v>0</v>
      </c>
      <c r="D288" s="14">
        <v>0</v>
      </c>
      <c r="E288" s="4">
        <v>0</v>
      </c>
      <c r="F288">
        <v>1</v>
      </c>
      <c r="G288" s="14">
        <v>1</v>
      </c>
      <c r="H288" s="4">
        <v>0</v>
      </c>
      <c r="I288">
        <v>1</v>
      </c>
      <c r="J288" s="14">
        <v>1</v>
      </c>
      <c r="K288">
        <f t="shared" si="12"/>
        <v>-2</v>
      </c>
      <c r="L288" s="4">
        <v>0</v>
      </c>
      <c r="M288">
        <f t="shared" si="13"/>
        <v>0</v>
      </c>
      <c r="N288">
        <f t="shared" si="14"/>
        <v>0</v>
      </c>
      <c r="R288" s="7" t="s">
        <v>594</v>
      </c>
      <c r="S288" s="7" t="s">
        <v>25</v>
      </c>
    </row>
    <row r="289" spans="1:19">
      <c r="A289" s="4" t="s">
        <v>595</v>
      </c>
      <c r="B289" s="4">
        <v>1</v>
      </c>
      <c r="C289">
        <v>0</v>
      </c>
      <c r="D289" s="14">
        <v>1</v>
      </c>
      <c r="E289" s="4">
        <v>1</v>
      </c>
      <c r="F289">
        <v>1</v>
      </c>
      <c r="G289" s="14">
        <v>2</v>
      </c>
      <c r="H289" s="4">
        <v>1</v>
      </c>
      <c r="I289">
        <v>1</v>
      </c>
      <c r="J289" s="14">
        <v>2</v>
      </c>
      <c r="K289">
        <f t="shared" si="12"/>
        <v>-2</v>
      </c>
      <c r="L289" s="4">
        <v>1</v>
      </c>
      <c r="M289">
        <f t="shared" si="13"/>
        <v>0</v>
      </c>
      <c r="N289">
        <f t="shared" si="14"/>
        <v>1</v>
      </c>
      <c r="R289" s="7" t="s">
        <v>596</v>
      </c>
      <c r="S289" s="7" t="s">
        <v>34</v>
      </c>
    </row>
    <row r="290" spans="1:19">
      <c r="A290" s="4" t="s">
        <v>597</v>
      </c>
      <c r="B290" s="4">
        <v>1</v>
      </c>
      <c r="C290">
        <v>0</v>
      </c>
      <c r="D290" s="14">
        <v>1</v>
      </c>
      <c r="E290" s="4">
        <v>1</v>
      </c>
      <c r="F290">
        <v>0</v>
      </c>
      <c r="G290" s="14">
        <v>1</v>
      </c>
      <c r="H290" s="4">
        <v>1</v>
      </c>
      <c r="I290">
        <v>0</v>
      </c>
      <c r="J290" s="14">
        <v>1</v>
      </c>
      <c r="K290">
        <f t="shared" si="12"/>
        <v>0</v>
      </c>
      <c r="L290" s="4">
        <v>1</v>
      </c>
      <c r="M290">
        <f t="shared" si="13"/>
        <v>1</v>
      </c>
      <c r="N290">
        <f t="shared" si="14"/>
        <v>2</v>
      </c>
      <c r="R290" s="7" t="s">
        <v>598</v>
      </c>
      <c r="S290" s="7" t="s">
        <v>37</v>
      </c>
    </row>
    <row r="291" spans="1:19">
      <c r="A291" s="4" t="s">
        <v>599</v>
      </c>
      <c r="B291" s="4">
        <v>0</v>
      </c>
      <c r="C291">
        <v>1</v>
      </c>
      <c r="D291" s="14">
        <v>1</v>
      </c>
      <c r="E291" s="4">
        <v>0</v>
      </c>
      <c r="F291">
        <v>0</v>
      </c>
      <c r="G291" s="14">
        <v>0</v>
      </c>
      <c r="H291" s="4">
        <v>0</v>
      </c>
      <c r="I291">
        <v>1</v>
      </c>
      <c r="J291" s="14">
        <v>1</v>
      </c>
      <c r="K291">
        <f t="shared" si="12"/>
        <v>0</v>
      </c>
      <c r="L291" s="4">
        <v>0</v>
      </c>
      <c r="M291">
        <f t="shared" si="13"/>
        <v>1</v>
      </c>
      <c r="N291">
        <f t="shared" si="14"/>
        <v>1</v>
      </c>
      <c r="R291" s="7" t="s">
        <v>600</v>
      </c>
      <c r="S291" s="7" t="s">
        <v>40</v>
      </c>
    </row>
    <row r="292" spans="1:19">
      <c r="A292" s="4" t="s">
        <v>601</v>
      </c>
      <c r="B292" s="4">
        <v>0</v>
      </c>
      <c r="C292">
        <v>0</v>
      </c>
      <c r="D292" s="14">
        <v>0</v>
      </c>
      <c r="E292" s="4">
        <v>0</v>
      </c>
      <c r="F292">
        <v>1</v>
      </c>
      <c r="G292" s="14">
        <v>1</v>
      </c>
      <c r="H292" s="4">
        <v>0</v>
      </c>
      <c r="I292">
        <v>1</v>
      </c>
      <c r="J292" s="14">
        <v>1</v>
      </c>
      <c r="K292">
        <f t="shared" si="12"/>
        <v>-2</v>
      </c>
      <c r="L292" s="4">
        <v>0</v>
      </c>
      <c r="M292">
        <f t="shared" si="13"/>
        <v>0</v>
      </c>
      <c r="N292">
        <f t="shared" si="14"/>
        <v>0</v>
      </c>
      <c r="R292" s="7" t="s">
        <v>602</v>
      </c>
      <c r="S292" s="7" t="s">
        <v>31</v>
      </c>
    </row>
    <row r="293" spans="1:19">
      <c r="A293" s="4" t="s">
        <v>603</v>
      </c>
      <c r="B293" s="4">
        <v>0</v>
      </c>
      <c r="C293">
        <v>0</v>
      </c>
      <c r="D293" s="14">
        <v>0</v>
      </c>
      <c r="E293" s="4">
        <v>0</v>
      </c>
      <c r="F293">
        <v>1</v>
      </c>
      <c r="G293" s="14">
        <v>1</v>
      </c>
      <c r="H293" s="4">
        <v>0</v>
      </c>
      <c r="I293">
        <v>1</v>
      </c>
      <c r="J293" s="14">
        <v>1</v>
      </c>
      <c r="K293">
        <f t="shared" si="12"/>
        <v>-2</v>
      </c>
      <c r="L293" s="4">
        <v>0</v>
      </c>
      <c r="M293">
        <f t="shared" si="13"/>
        <v>0</v>
      </c>
      <c r="N293">
        <f t="shared" si="14"/>
        <v>0</v>
      </c>
      <c r="R293" s="7" t="s">
        <v>604</v>
      </c>
      <c r="S293" s="7" t="s">
        <v>16</v>
      </c>
    </row>
    <row r="294" spans="1:19">
      <c r="A294" s="4" t="s">
        <v>605</v>
      </c>
      <c r="B294" s="4">
        <v>0</v>
      </c>
      <c r="C294">
        <v>1</v>
      </c>
      <c r="D294" s="14">
        <v>1</v>
      </c>
      <c r="E294" s="4">
        <v>0</v>
      </c>
      <c r="F294">
        <v>0</v>
      </c>
      <c r="G294" s="14">
        <v>0</v>
      </c>
      <c r="H294" s="4">
        <v>0</v>
      </c>
      <c r="I294">
        <v>1</v>
      </c>
      <c r="J294" s="14">
        <v>1</v>
      </c>
      <c r="K294">
        <f t="shared" si="12"/>
        <v>0</v>
      </c>
      <c r="L294" s="4">
        <v>0</v>
      </c>
      <c r="M294">
        <f t="shared" si="13"/>
        <v>1</v>
      </c>
      <c r="N294">
        <f t="shared" si="14"/>
        <v>1</v>
      </c>
      <c r="R294" s="7" t="s">
        <v>606</v>
      </c>
      <c r="S294" s="7" t="s">
        <v>19</v>
      </c>
    </row>
    <row r="295" spans="1:19">
      <c r="A295" s="4" t="s">
        <v>607</v>
      </c>
      <c r="B295" s="4">
        <v>1</v>
      </c>
      <c r="C295">
        <v>1</v>
      </c>
      <c r="D295" s="14">
        <v>2</v>
      </c>
      <c r="E295" s="4">
        <v>1</v>
      </c>
      <c r="F295">
        <v>0</v>
      </c>
      <c r="G295" s="14">
        <v>1</v>
      </c>
      <c r="H295" s="4">
        <v>1</v>
      </c>
      <c r="I295">
        <v>0</v>
      </c>
      <c r="J295" s="14">
        <v>1</v>
      </c>
      <c r="K295">
        <f t="shared" si="12"/>
        <v>1</v>
      </c>
      <c r="L295" s="4">
        <v>1</v>
      </c>
      <c r="M295">
        <f t="shared" si="13"/>
        <v>1</v>
      </c>
      <c r="N295">
        <f t="shared" si="14"/>
        <v>2</v>
      </c>
      <c r="R295" s="7" t="s">
        <v>608</v>
      </c>
      <c r="S295" s="7" t="s">
        <v>22</v>
      </c>
    </row>
    <row r="296" spans="1:19">
      <c r="A296" s="4" t="s">
        <v>609</v>
      </c>
      <c r="B296" s="4">
        <v>1</v>
      </c>
      <c r="C296">
        <v>0</v>
      </c>
      <c r="D296" s="14">
        <v>1</v>
      </c>
      <c r="E296" s="4">
        <v>1</v>
      </c>
      <c r="F296">
        <v>1</v>
      </c>
      <c r="G296" s="14">
        <v>2</v>
      </c>
      <c r="H296" s="4">
        <v>1</v>
      </c>
      <c r="I296">
        <v>0</v>
      </c>
      <c r="J296" s="14">
        <v>1</v>
      </c>
      <c r="K296">
        <f t="shared" si="12"/>
        <v>-1</v>
      </c>
      <c r="L296" s="4">
        <v>1</v>
      </c>
      <c r="M296">
        <f t="shared" si="13"/>
        <v>0</v>
      </c>
      <c r="N296">
        <f t="shared" si="14"/>
        <v>1</v>
      </c>
      <c r="R296" s="7" t="s">
        <v>610</v>
      </c>
      <c r="S296" s="7" t="s">
        <v>25</v>
      </c>
    </row>
    <row r="297" spans="1:19">
      <c r="A297" s="4" t="s">
        <v>611</v>
      </c>
      <c r="B297" s="4">
        <v>1</v>
      </c>
      <c r="C297">
        <v>1</v>
      </c>
      <c r="D297" s="14">
        <v>2</v>
      </c>
      <c r="E297" s="4">
        <v>1</v>
      </c>
      <c r="F297">
        <v>1</v>
      </c>
      <c r="G297" s="14">
        <v>2</v>
      </c>
      <c r="H297" s="4">
        <v>1</v>
      </c>
      <c r="I297">
        <v>0</v>
      </c>
      <c r="J297" s="14">
        <v>1</v>
      </c>
      <c r="K297">
        <f t="shared" si="12"/>
        <v>0</v>
      </c>
      <c r="L297" s="4">
        <v>1</v>
      </c>
      <c r="M297">
        <f t="shared" si="13"/>
        <v>1</v>
      </c>
      <c r="N297">
        <f t="shared" si="14"/>
        <v>2</v>
      </c>
      <c r="R297" s="7" t="s">
        <v>612</v>
      </c>
      <c r="S297" s="7" t="s">
        <v>28</v>
      </c>
    </row>
    <row r="298" spans="1:19">
      <c r="A298" s="4" t="s">
        <v>613</v>
      </c>
      <c r="B298" s="4">
        <v>1</v>
      </c>
      <c r="C298">
        <v>0</v>
      </c>
      <c r="D298" s="14">
        <v>1</v>
      </c>
      <c r="E298" s="4">
        <v>1</v>
      </c>
      <c r="F298">
        <v>0</v>
      </c>
      <c r="G298" s="14">
        <v>1</v>
      </c>
      <c r="H298" s="4">
        <v>1</v>
      </c>
      <c r="I298">
        <v>0</v>
      </c>
      <c r="J298" s="14">
        <v>1</v>
      </c>
      <c r="K298">
        <f t="shared" si="12"/>
        <v>0</v>
      </c>
      <c r="L298" s="4">
        <v>1</v>
      </c>
      <c r="M298">
        <f t="shared" si="13"/>
        <v>1</v>
      </c>
      <c r="N298">
        <f t="shared" si="14"/>
        <v>2</v>
      </c>
      <c r="R298" s="7" t="s">
        <v>614</v>
      </c>
      <c r="S298" s="7" t="s">
        <v>28</v>
      </c>
    </row>
    <row r="299" spans="1:19">
      <c r="A299" s="4" t="s">
        <v>615</v>
      </c>
      <c r="B299" s="4">
        <v>0</v>
      </c>
      <c r="C299">
        <v>1</v>
      </c>
      <c r="D299" s="14">
        <v>1</v>
      </c>
      <c r="E299" s="4">
        <v>0</v>
      </c>
      <c r="F299">
        <v>0</v>
      </c>
      <c r="G299" s="14">
        <v>0</v>
      </c>
      <c r="H299" s="4">
        <v>0</v>
      </c>
      <c r="I299">
        <v>0</v>
      </c>
      <c r="J299" s="14">
        <v>0</v>
      </c>
      <c r="K299">
        <f t="shared" si="12"/>
        <v>1</v>
      </c>
      <c r="L299" s="4">
        <v>0</v>
      </c>
      <c r="M299">
        <f t="shared" si="13"/>
        <v>1</v>
      </c>
      <c r="N299">
        <f t="shared" si="14"/>
        <v>1</v>
      </c>
      <c r="R299" s="7" t="s">
        <v>616</v>
      </c>
      <c r="S299" s="7" t="s">
        <v>34</v>
      </c>
    </row>
    <row r="300" spans="1:19">
      <c r="A300" s="4" t="s">
        <v>617</v>
      </c>
      <c r="B300" s="4">
        <v>1</v>
      </c>
      <c r="C300">
        <v>0</v>
      </c>
      <c r="D300" s="14">
        <v>1</v>
      </c>
      <c r="E300" s="4">
        <v>1</v>
      </c>
      <c r="F300">
        <v>0</v>
      </c>
      <c r="G300" s="14">
        <v>1</v>
      </c>
      <c r="H300" s="4">
        <v>1</v>
      </c>
      <c r="I300">
        <v>0</v>
      </c>
      <c r="J300" s="14">
        <v>1</v>
      </c>
      <c r="K300">
        <f t="shared" si="12"/>
        <v>0</v>
      </c>
      <c r="L300" s="4">
        <v>1</v>
      </c>
      <c r="M300">
        <f t="shared" si="13"/>
        <v>1</v>
      </c>
      <c r="N300">
        <f t="shared" si="14"/>
        <v>2</v>
      </c>
      <c r="R300" s="7" t="s">
        <v>618</v>
      </c>
      <c r="S300" s="7" t="s">
        <v>37</v>
      </c>
    </row>
    <row r="301" spans="1:19">
      <c r="A301" s="4" t="s">
        <v>619</v>
      </c>
      <c r="B301" s="4">
        <v>1</v>
      </c>
      <c r="C301">
        <v>0</v>
      </c>
      <c r="D301" s="14">
        <v>1</v>
      </c>
      <c r="E301" s="4">
        <v>1</v>
      </c>
      <c r="F301">
        <v>0</v>
      </c>
      <c r="G301" s="14">
        <v>1</v>
      </c>
      <c r="H301" s="4">
        <v>1</v>
      </c>
      <c r="I301">
        <v>1</v>
      </c>
      <c r="J301" s="14">
        <v>2</v>
      </c>
      <c r="K301">
        <f t="shared" si="12"/>
        <v>-1</v>
      </c>
      <c r="L301" s="4">
        <v>1</v>
      </c>
      <c r="M301">
        <f t="shared" si="13"/>
        <v>0</v>
      </c>
      <c r="N301">
        <f t="shared" si="14"/>
        <v>1</v>
      </c>
      <c r="R301" s="7" t="s">
        <v>620</v>
      </c>
      <c r="S301" s="7" t="s">
        <v>40</v>
      </c>
    </row>
    <row r="302" spans="1:19">
      <c r="A302" s="4" t="s">
        <v>621</v>
      </c>
      <c r="B302" s="4">
        <v>1</v>
      </c>
      <c r="C302">
        <v>0</v>
      </c>
      <c r="D302" s="14">
        <v>1</v>
      </c>
      <c r="E302" s="4">
        <v>1</v>
      </c>
      <c r="F302">
        <v>1</v>
      </c>
      <c r="G302" s="14">
        <v>2</v>
      </c>
      <c r="H302" s="4">
        <v>1</v>
      </c>
      <c r="I302">
        <v>1</v>
      </c>
      <c r="J302" s="14">
        <v>2</v>
      </c>
      <c r="K302">
        <f t="shared" si="12"/>
        <v>-2</v>
      </c>
      <c r="L302" s="4">
        <v>1</v>
      </c>
      <c r="M302">
        <f t="shared" si="13"/>
        <v>0</v>
      </c>
      <c r="N302">
        <f t="shared" si="14"/>
        <v>1</v>
      </c>
      <c r="R302" s="7" t="s">
        <v>622</v>
      </c>
      <c r="S302" s="7" t="s">
        <v>31</v>
      </c>
    </row>
    <row r="303" spans="1:19">
      <c r="A303" s="4" t="s">
        <v>623</v>
      </c>
      <c r="B303" s="4">
        <v>0</v>
      </c>
      <c r="C303">
        <v>0</v>
      </c>
      <c r="D303" s="14">
        <v>0</v>
      </c>
      <c r="E303" s="4">
        <v>0</v>
      </c>
      <c r="F303">
        <v>1</v>
      </c>
      <c r="G303" s="14">
        <v>1</v>
      </c>
      <c r="H303" s="4">
        <v>0</v>
      </c>
      <c r="I303">
        <v>0</v>
      </c>
      <c r="J303" s="14">
        <v>0</v>
      </c>
      <c r="K303">
        <f t="shared" si="12"/>
        <v>-1</v>
      </c>
      <c r="L303" s="4">
        <v>0</v>
      </c>
      <c r="M303">
        <f t="shared" si="13"/>
        <v>0</v>
      </c>
      <c r="N303">
        <f t="shared" si="14"/>
        <v>0</v>
      </c>
      <c r="R303" s="7" t="s">
        <v>624</v>
      </c>
      <c r="S303" s="7" t="s">
        <v>16</v>
      </c>
    </row>
    <row r="304" spans="1:19">
      <c r="A304" s="4" t="s">
        <v>625</v>
      </c>
      <c r="B304" s="4">
        <v>1</v>
      </c>
      <c r="C304">
        <v>0</v>
      </c>
      <c r="D304" s="14">
        <v>1</v>
      </c>
      <c r="E304" s="4">
        <v>1</v>
      </c>
      <c r="F304">
        <v>1</v>
      </c>
      <c r="G304" s="14">
        <v>2</v>
      </c>
      <c r="H304" s="4">
        <v>1</v>
      </c>
      <c r="I304">
        <v>0</v>
      </c>
      <c r="J304" s="14">
        <v>1</v>
      </c>
      <c r="K304">
        <f t="shared" si="12"/>
        <v>-1</v>
      </c>
      <c r="L304" s="4">
        <v>1</v>
      </c>
      <c r="M304">
        <f t="shared" si="13"/>
        <v>0</v>
      </c>
      <c r="N304">
        <f t="shared" si="14"/>
        <v>1</v>
      </c>
      <c r="R304" s="7" t="s">
        <v>626</v>
      </c>
      <c r="S304" s="7" t="s">
        <v>19</v>
      </c>
    </row>
    <row r="305" spans="1:19">
      <c r="A305" s="4" t="s">
        <v>627</v>
      </c>
      <c r="B305" s="4">
        <v>1</v>
      </c>
      <c r="C305">
        <v>1</v>
      </c>
      <c r="D305" s="14">
        <v>2</v>
      </c>
      <c r="E305" s="4">
        <v>1</v>
      </c>
      <c r="F305">
        <v>0</v>
      </c>
      <c r="G305" s="14">
        <v>1</v>
      </c>
      <c r="H305" s="4">
        <v>1</v>
      </c>
      <c r="I305">
        <v>0</v>
      </c>
      <c r="J305" s="14">
        <v>1</v>
      </c>
      <c r="K305">
        <f t="shared" si="12"/>
        <v>1</v>
      </c>
      <c r="L305" s="4">
        <v>1</v>
      </c>
      <c r="M305">
        <f t="shared" si="13"/>
        <v>1</v>
      </c>
      <c r="N305">
        <f t="shared" si="14"/>
        <v>2</v>
      </c>
      <c r="R305" s="7" t="s">
        <v>628</v>
      </c>
      <c r="S305" s="7" t="s">
        <v>22</v>
      </c>
    </row>
    <row r="306" spans="1:19">
      <c r="A306" s="4" t="s">
        <v>629</v>
      </c>
      <c r="B306" s="4">
        <v>1</v>
      </c>
      <c r="C306">
        <v>0</v>
      </c>
      <c r="D306" s="14">
        <v>1</v>
      </c>
      <c r="E306" s="4">
        <v>1</v>
      </c>
      <c r="F306">
        <v>0</v>
      </c>
      <c r="G306" s="14">
        <v>1</v>
      </c>
      <c r="H306" s="4">
        <v>1</v>
      </c>
      <c r="I306">
        <v>0</v>
      </c>
      <c r="J306" s="14">
        <v>1</v>
      </c>
      <c r="K306">
        <f t="shared" si="12"/>
        <v>0</v>
      </c>
      <c r="L306" s="4">
        <v>1</v>
      </c>
      <c r="M306">
        <f t="shared" si="13"/>
        <v>1</v>
      </c>
      <c r="N306">
        <f t="shared" si="14"/>
        <v>2</v>
      </c>
      <c r="R306" s="7" t="s">
        <v>630</v>
      </c>
      <c r="S306" s="7" t="s">
        <v>25</v>
      </c>
    </row>
    <row r="307" spans="1:19">
      <c r="A307" s="4" t="s">
        <v>631</v>
      </c>
      <c r="B307" s="4">
        <v>1</v>
      </c>
      <c r="C307">
        <v>0</v>
      </c>
      <c r="D307" s="14">
        <v>1</v>
      </c>
      <c r="E307" s="4">
        <v>1</v>
      </c>
      <c r="F307">
        <v>1</v>
      </c>
      <c r="G307" s="14">
        <v>2</v>
      </c>
      <c r="H307" s="4">
        <v>1</v>
      </c>
      <c r="I307">
        <v>1</v>
      </c>
      <c r="J307" s="14">
        <v>2</v>
      </c>
      <c r="K307">
        <f t="shared" si="12"/>
        <v>-2</v>
      </c>
      <c r="L307" s="4">
        <v>1</v>
      </c>
      <c r="M307">
        <f t="shared" si="13"/>
        <v>0</v>
      </c>
      <c r="N307">
        <f t="shared" si="14"/>
        <v>1</v>
      </c>
      <c r="R307" s="7" t="s">
        <v>632</v>
      </c>
      <c r="S307" s="7" t="s">
        <v>28</v>
      </c>
    </row>
    <row r="308" spans="1:19">
      <c r="A308" s="4" t="s">
        <v>633</v>
      </c>
      <c r="B308" s="4">
        <v>1</v>
      </c>
      <c r="C308">
        <v>0</v>
      </c>
      <c r="D308" s="14">
        <v>1</v>
      </c>
      <c r="E308" s="4">
        <v>1</v>
      </c>
      <c r="F308">
        <v>1</v>
      </c>
      <c r="G308" s="14">
        <v>2</v>
      </c>
      <c r="H308" s="4">
        <v>1</v>
      </c>
      <c r="I308">
        <v>0</v>
      </c>
      <c r="J308" s="14">
        <v>1</v>
      </c>
      <c r="K308">
        <f t="shared" si="12"/>
        <v>-1</v>
      </c>
      <c r="L308" s="4">
        <v>1</v>
      </c>
      <c r="M308">
        <f t="shared" si="13"/>
        <v>0</v>
      </c>
      <c r="N308">
        <f t="shared" si="14"/>
        <v>1</v>
      </c>
      <c r="R308" s="7" t="s">
        <v>634</v>
      </c>
      <c r="S308" s="7" t="s">
        <v>31</v>
      </c>
    </row>
    <row r="309" spans="1:19">
      <c r="A309" s="4" t="s">
        <v>635</v>
      </c>
      <c r="B309" s="4">
        <v>1</v>
      </c>
      <c r="C309">
        <v>1</v>
      </c>
      <c r="D309" s="14">
        <v>2</v>
      </c>
      <c r="E309" s="4">
        <v>1</v>
      </c>
      <c r="F309">
        <v>1</v>
      </c>
      <c r="G309" s="14">
        <v>2</v>
      </c>
      <c r="H309" s="4">
        <v>1</v>
      </c>
      <c r="I309">
        <v>1</v>
      </c>
      <c r="J309" s="14">
        <v>2</v>
      </c>
      <c r="K309">
        <f t="shared" si="12"/>
        <v>-1</v>
      </c>
      <c r="L309" s="4">
        <v>1</v>
      </c>
      <c r="M309">
        <f t="shared" si="13"/>
        <v>0</v>
      </c>
      <c r="N309">
        <f t="shared" si="14"/>
        <v>1</v>
      </c>
      <c r="R309" s="7" t="s">
        <v>636</v>
      </c>
      <c r="S309" s="7" t="s">
        <v>34</v>
      </c>
    </row>
    <row r="310" spans="1:19">
      <c r="A310" s="4" t="s">
        <v>637</v>
      </c>
      <c r="B310" s="4">
        <v>1</v>
      </c>
      <c r="C310">
        <v>0</v>
      </c>
      <c r="D310" s="14">
        <v>1</v>
      </c>
      <c r="E310" s="4">
        <v>1</v>
      </c>
      <c r="F310">
        <v>0</v>
      </c>
      <c r="G310" s="14">
        <v>1</v>
      </c>
      <c r="H310" s="4">
        <v>1</v>
      </c>
      <c r="I310">
        <v>0</v>
      </c>
      <c r="J310" s="14">
        <v>1</v>
      </c>
      <c r="K310">
        <f t="shared" si="12"/>
        <v>0</v>
      </c>
      <c r="L310" s="4">
        <v>1</v>
      </c>
      <c r="M310">
        <f t="shared" si="13"/>
        <v>1</v>
      </c>
      <c r="N310">
        <f t="shared" si="14"/>
        <v>2</v>
      </c>
      <c r="R310" s="7" t="s">
        <v>638</v>
      </c>
      <c r="S310" s="7" t="s">
        <v>37</v>
      </c>
    </row>
    <row r="311" spans="1:19">
      <c r="A311" s="4" t="s">
        <v>639</v>
      </c>
      <c r="B311" s="4">
        <v>0</v>
      </c>
      <c r="C311">
        <v>1</v>
      </c>
      <c r="D311" s="14">
        <v>1</v>
      </c>
      <c r="E311" s="4">
        <v>0</v>
      </c>
      <c r="F311">
        <v>0</v>
      </c>
      <c r="G311" s="14">
        <v>0</v>
      </c>
      <c r="H311" s="4">
        <v>0</v>
      </c>
      <c r="I311">
        <v>1</v>
      </c>
      <c r="J311" s="14">
        <v>1</v>
      </c>
      <c r="K311">
        <f t="shared" si="12"/>
        <v>0</v>
      </c>
      <c r="L311" s="4">
        <v>0</v>
      </c>
      <c r="M311">
        <f t="shared" si="13"/>
        <v>1</v>
      </c>
      <c r="N311">
        <f t="shared" si="14"/>
        <v>1</v>
      </c>
      <c r="R311" s="7" t="s">
        <v>640</v>
      </c>
      <c r="S311" s="7" t="s">
        <v>40</v>
      </c>
    </row>
    <row r="312" spans="1:19">
      <c r="A312" s="4" t="s">
        <v>641</v>
      </c>
      <c r="B312" s="4">
        <v>1</v>
      </c>
      <c r="C312">
        <v>1</v>
      </c>
      <c r="D312" s="14">
        <v>2</v>
      </c>
      <c r="E312" s="4">
        <v>1</v>
      </c>
      <c r="F312">
        <v>1</v>
      </c>
      <c r="G312" s="14">
        <v>2</v>
      </c>
      <c r="H312" s="4">
        <v>1</v>
      </c>
      <c r="I312">
        <v>1</v>
      </c>
      <c r="J312" s="14">
        <v>2</v>
      </c>
      <c r="K312">
        <f t="shared" si="12"/>
        <v>-1</v>
      </c>
      <c r="L312" s="4">
        <v>1</v>
      </c>
      <c r="M312">
        <f t="shared" si="13"/>
        <v>0</v>
      </c>
      <c r="N312">
        <f t="shared" si="14"/>
        <v>1</v>
      </c>
      <c r="R312" s="7" t="s">
        <v>642</v>
      </c>
      <c r="S312" s="7" t="s">
        <v>31</v>
      </c>
    </row>
    <row r="313" spans="1:19">
      <c r="A313" s="4" t="s">
        <v>643</v>
      </c>
      <c r="B313" s="4">
        <v>1</v>
      </c>
      <c r="C313">
        <v>0</v>
      </c>
      <c r="D313" s="14">
        <v>1</v>
      </c>
      <c r="E313" s="4">
        <v>1</v>
      </c>
      <c r="F313">
        <v>0</v>
      </c>
      <c r="G313" s="14">
        <v>1</v>
      </c>
      <c r="H313" s="4">
        <v>1</v>
      </c>
      <c r="I313">
        <v>0</v>
      </c>
      <c r="J313" s="14">
        <v>1</v>
      </c>
      <c r="K313">
        <f t="shared" si="12"/>
        <v>0</v>
      </c>
      <c r="L313" s="4">
        <v>1</v>
      </c>
      <c r="M313">
        <f t="shared" si="13"/>
        <v>1</v>
      </c>
      <c r="N313">
        <f t="shared" si="14"/>
        <v>2</v>
      </c>
      <c r="R313" s="7" t="s">
        <v>644</v>
      </c>
      <c r="S313" s="7" t="s">
        <v>16</v>
      </c>
    </row>
    <row r="314" spans="1:19">
      <c r="A314" s="4" t="s">
        <v>645</v>
      </c>
      <c r="B314" s="4">
        <v>1</v>
      </c>
      <c r="C314">
        <v>1</v>
      </c>
      <c r="D314" s="14">
        <v>2</v>
      </c>
      <c r="E314" s="4">
        <v>1</v>
      </c>
      <c r="F314">
        <v>0</v>
      </c>
      <c r="G314" s="14">
        <v>1</v>
      </c>
      <c r="H314" s="4">
        <v>1</v>
      </c>
      <c r="I314">
        <v>1</v>
      </c>
      <c r="J314" s="14">
        <v>2</v>
      </c>
      <c r="K314">
        <f t="shared" si="12"/>
        <v>0</v>
      </c>
      <c r="L314" s="4">
        <v>1</v>
      </c>
      <c r="M314">
        <f t="shared" si="13"/>
        <v>1</v>
      </c>
      <c r="N314">
        <f t="shared" si="14"/>
        <v>2</v>
      </c>
      <c r="R314" s="7" t="s">
        <v>646</v>
      </c>
      <c r="S314" s="7" t="s">
        <v>19</v>
      </c>
    </row>
    <row r="315" spans="1:19">
      <c r="A315" s="4" t="s">
        <v>647</v>
      </c>
      <c r="B315" s="4">
        <v>1</v>
      </c>
      <c r="C315">
        <v>1</v>
      </c>
      <c r="D315" s="14">
        <v>2</v>
      </c>
      <c r="E315" s="4">
        <v>1</v>
      </c>
      <c r="F315">
        <v>0</v>
      </c>
      <c r="G315" s="14">
        <v>1</v>
      </c>
      <c r="H315" s="4">
        <v>1</v>
      </c>
      <c r="I315">
        <v>0</v>
      </c>
      <c r="J315" s="14">
        <v>1</v>
      </c>
      <c r="K315">
        <f t="shared" si="12"/>
        <v>1</v>
      </c>
      <c r="L315" s="4">
        <v>1</v>
      </c>
      <c r="M315">
        <f t="shared" si="13"/>
        <v>1</v>
      </c>
      <c r="N315">
        <f t="shared" si="14"/>
        <v>2</v>
      </c>
      <c r="R315" s="7" t="s">
        <v>648</v>
      </c>
      <c r="S315" s="7" t="s">
        <v>22</v>
      </c>
    </row>
    <row r="316" spans="1:19">
      <c r="A316" s="4" t="s">
        <v>649</v>
      </c>
      <c r="B316" s="4">
        <v>0</v>
      </c>
      <c r="C316">
        <v>0</v>
      </c>
      <c r="D316" s="14">
        <v>0</v>
      </c>
      <c r="E316" s="4">
        <v>0</v>
      </c>
      <c r="F316">
        <v>0</v>
      </c>
      <c r="G316" s="14">
        <v>0</v>
      </c>
      <c r="H316" s="4">
        <v>0</v>
      </c>
      <c r="I316">
        <v>0</v>
      </c>
      <c r="J316" s="14">
        <v>0</v>
      </c>
      <c r="K316">
        <f t="shared" si="12"/>
        <v>0</v>
      </c>
      <c r="L316" s="4">
        <v>0</v>
      </c>
      <c r="M316">
        <f t="shared" si="13"/>
        <v>1</v>
      </c>
      <c r="N316">
        <f t="shared" si="14"/>
        <v>1</v>
      </c>
      <c r="R316" s="7" t="s">
        <v>650</v>
      </c>
      <c r="S316" s="7" t="s">
        <v>25</v>
      </c>
    </row>
    <row r="317" spans="1:19">
      <c r="A317" s="4" t="s">
        <v>651</v>
      </c>
      <c r="B317" s="4">
        <v>0</v>
      </c>
      <c r="C317">
        <v>0</v>
      </c>
      <c r="D317" s="14">
        <v>0</v>
      </c>
      <c r="E317" s="4">
        <v>0</v>
      </c>
      <c r="F317">
        <v>0</v>
      </c>
      <c r="G317" s="14">
        <v>0</v>
      </c>
      <c r="H317" s="4">
        <v>0</v>
      </c>
      <c r="I317">
        <v>0</v>
      </c>
      <c r="J317" s="14">
        <v>0</v>
      </c>
      <c r="K317">
        <f t="shared" si="12"/>
        <v>0</v>
      </c>
      <c r="L317" s="4">
        <v>0</v>
      </c>
      <c r="M317">
        <f t="shared" si="13"/>
        <v>1</v>
      </c>
      <c r="N317">
        <f t="shared" si="14"/>
        <v>1</v>
      </c>
      <c r="R317" s="7" t="s">
        <v>652</v>
      </c>
      <c r="S317" s="7" t="s">
        <v>28</v>
      </c>
    </row>
    <row r="318" spans="1:19">
      <c r="A318" s="4" t="s">
        <v>653</v>
      </c>
      <c r="B318" s="4">
        <v>1</v>
      </c>
      <c r="C318">
        <v>0</v>
      </c>
      <c r="D318" s="14">
        <v>1</v>
      </c>
      <c r="E318" s="4">
        <v>1</v>
      </c>
      <c r="F318">
        <v>1</v>
      </c>
      <c r="G318" s="14">
        <v>2</v>
      </c>
      <c r="H318" s="4">
        <v>1</v>
      </c>
      <c r="I318">
        <v>0</v>
      </c>
      <c r="J318" s="14">
        <v>1</v>
      </c>
      <c r="K318">
        <f t="shared" si="12"/>
        <v>-1</v>
      </c>
      <c r="L318" s="4">
        <v>1</v>
      </c>
      <c r="M318">
        <f t="shared" si="13"/>
        <v>0</v>
      </c>
      <c r="N318">
        <f t="shared" si="14"/>
        <v>1</v>
      </c>
      <c r="R318" s="7" t="s">
        <v>654</v>
      </c>
      <c r="S318" s="7" t="s">
        <v>16</v>
      </c>
    </row>
    <row r="319" spans="1:19">
      <c r="A319" s="4" t="s">
        <v>655</v>
      </c>
      <c r="B319" s="4">
        <v>0</v>
      </c>
      <c r="C319">
        <v>0</v>
      </c>
      <c r="D319" s="14">
        <v>0</v>
      </c>
      <c r="E319" s="4">
        <v>0</v>
      </c>
      <c r="F319">
        <v>1</v>
      </c>
      <c r="G319" s="14">
        <v>1</v>
      </c>
      <c r="H319" s="4">
        <v>0</v>
      </c>
      <c r="I319">
        <v>1</v>
      </c>
      <c r="J319" s="14">
        <v>1</v>
      </c>
      <c r="K319">
        <f t="shared" si="12"/>
        <v>-2</v>
      </c>
      <c r="L319" s="4">
        <v>0</v>
      </c>
      <c r="M319">
        <f t="shared" si="13"/>
        <v>0</v>
      </c>
      <c r="N319">
        <f t="shared" si="14"/>
        <v>0</v>
      </c>
      <c r="R319" s="7" t="s">
        <v>656</v>
      </c>
      <c r="S319" s="7" t="s">
        <v>34</v>
      </c>
    </row>
    <row r="320" spans="1:19">
      <c r="A320" s="4" t="s">
        <v>657</v>
      </c>
      <c r="B320" s="4">
        <v>1</v>
      </c>
      <c r="C320">
        <v>0</v>
      </c>
      <c r="D320" s="14">
        <v>1</v>
      </c>
      <c r="E320" s="4">
        <v>1</v>
      </c>
      <c r="F320">
        <v>0</v>
      </c>
      <c r="G320" s="14">
        <v>1</v>
      </c>
      <c r="H320" s="4">
        <v>1</v>
      </c>
      <c r="I320">
        <v>1</v>
      </c>
      <c r="J320" s="14">
        <v>2</v>
      </c>
      <c r="K320">
        <f t="shared" si="12"/>
        <v>-1</v>
      </c>
      <c r="L320" s="4">
        <v>1</v>
      </c>
      <c r="M320">
        <f t="shared" si="13"/>
        <v>0</v>
      </c>
      <c r="N320">
        <f t="shared" si="14"/>
        <v>1</v>
      </c>
      <c r="R320" s="7" t="s">
        <v>658</v>
      </c>
      <c r="S320" s="7" t="s">
        <v>37</v>
      </c>
    </row>
    <row r="321" spans="1:19">
      <c r="A321" s="4" t="s">
        <v>659</v>
      </c>
      <c r="B321" s="4">
        <v>0</v>
      </c>
      <c r="C321">
        <v>1</v>
      </c>
      <c r="D321" s="14">
        <v>1</v>
      </c>
      <c r="E321" s="4">
        <v>0</v>
      </c>
      <c r="F321">
        <v>0</v>
      </c>
      <c r="G321" s="14">
        <v>0</v>
      </c>
      <c r="H321" s="4">
        <v>0</v>
      </c>
      <c r="I321">
        <v>1</v>
      </c>
      <c r="J321" s="14">
        <v>1</v>
      </c>
      <c r="K321">
        <f t="shared" si="12"/>
        <v>0</v>
      </c>
      <c r="L321" s="4">
        <v>0</v>
      </c>
      <c r="M321">
        <f t="shared" si="13"/>
        <v>1</v>
      </c>
      <c r="N321">
        <f t="shared" si="14"/>
        <v>1</v>
      </c>
      <c r="R321" s="7" t="s">
        <v>660</v>
      </c>
      <c r="S321" s="7" t="s">
        <v>40</v>
      </c>
    </row>
    <row r="322" spans="1:19">
      <c r="A322" s="4" t="s">
        <v>661</v>
      </c>
      <c r="B322" s="4">
        <v>1</v>
      </c>
      <c r="C322">
        <v>0</v>
      </c>
      <c r="D322" s="14">
        <v>1</v>
      </c>
      <c r="E322" s="4">
        <v>1</v>
      </c>
      <c r="F322">
        <v>0</v>
      </c>
      <c r="G322" s="14">
        <v>1</v>
      </c>
      <c r="H322" s="4">
        <v>1</v>
      </c>
      <c r="I322">
        <v>0</v>
      </c>
      <c r="J322" s="14">
        <v>1</v>
      </c>
      <c r="K322">
        <f t="shared" si="12"/>
        <v>0</v>
      </c>
      <c r="L322" s="4">
        <v>1</v>
      </c>
      <c r="M322">
        <f t="shared" si="13"/>
        <v>1</v>
      </c>
      <c r="N322">
        <f t="shared" si="14"/>
        <v>2</v>
      </c>
      <c r="R322" s="7" t="s">
        <v>662</v>
      </c>
      <c r="S322" s="7" t="s">
        <v>31</v>
      </c>
    </row>
    <row r="323" spans="1:19">
      <c r="A323" s="4" t="s">
        <v>663</v>
      </c>
      <c r="B323" s="4">
        <v>1</v>
      </c>
      <c r="C323">
        <v>0</v>
      </c>
      <c r="D323" s="14">
        <v>1</v>
      </c>
      <c r="E323" s="4">
        <v>1</v>
      </c>
      <c r="F323">
        <v>1</v>
      </c>
      <c r="G323" s="14">
        <v>2</v>
      </c>
      <c r="H323" s="4">
        <v>1</v>
      </c>
      <c r="I323">
        <v>0</v>
      </c>
      <c r="J323" s="14">
        <v>1</v>
      </c>
      <c r="K323">
        <f t="shared" si="12"/>
        <v>-1</v>
      </c>
      <c r="L323" s="4">
        <v>1</v>
      </c>
      <c r="M323">
        <f t="shared" si="13"/>
        <v>0</v>
      </c>
      <c r="N323">
        <f t="shared" si="14"/>
        <v>1</v>
      </c>
      <c r="R323" s="7" t="s">
        <v>664</v>
      </c>
      <c r="S323" s="7" t="s">
        <v>16</v>
      </c>
    </row>
    <row r="324" spans="1:19">
      <c r="A324" s="4" t="s">
        <v>665</v>
      </c>
      <c r="B324" s="4">
        <v>1</v>
      </c>
      <c r="C324">
        <v>1</v>
      </c>
      <c r="D324" s="14">
        <v>2</v>
      </c>
      <c r="E324" s="4">
        <v>1</v>
      </c>
      <c r="F324">
        <v>1</v>
      </c>
      <c r="G324" s="14">
        <v>2</v>
      </c>
      <c r="H324" s="4">
        <v>1</v>
      </c>
      <c r="I324">
        <v>1</v>
      </c>
      <c r="J324" s="14">
        <v>2</v>
      </c>
      <c r="K324">
        <f t="shared" ref="K324:K379" si="15">C324-P$3*F324-Q$3*I324</f>
        <v>-1</v>
      </c>
      <c r="L324" s="4">
        <v>1</v>
      </c>
      <c r="M324">
        <f t="shared" ref="M324:M379" si="16">IF(K324&lt;0,0,1)</f>
        <v>0</v>
      </c>
      <c r="N324">
        <f t="shared" ref="N324:N379" si="17">L324+M324</f>
        <v>1</v>
      </c>
      <c r="R324" s="7" t="s">
        <v>666</v>
      </c>
      <c r="S324" s="7" t="s">
        <v>19</v>
      </c>
    </row>
    <row r="325" spans="1:19">
      <c r="A325" s="4" t="s">
        <v>667</v>
      </c>
      <c r="B325" s="4">
        <v>0</v>
      </c>
      <c r="C325">
        <v>0</v>
      </c>
      <c r="D325" s="14">
        <v>0</v>
      </c>
      <c r="E325" s="4">
        <v>0</v>
      </c>
      <c r="F325">
        <v>0</v>
      </c>
      <c r="G325" s="14">
        <v>0</v>
      </c>
      <c r="H325" s="4">
        <v>0</v>
      </c>
      <c r="I325">
        <v>0</v>
      </c>
      <c r="J325" s="14">
        <v>0</v>
      </c>
      <c r="K325">
        <f t="shared" si="15"/>
        <v>0</v>
      </c>
      <c r="L325" s="4">
        <v>0</v>
      </c>
      <c r="M325">
        <f t="shared" si="16"/>
        <v>1</v>
      </c>
      <c r="N325">
        <f t="shared" si="17"/>
        <v>1</v>
      </c>
      <c r="R325" s="7" t="s">
        <v>668</v>
      </c>
      <c r="S325" s="7" t="s">
        <v>22</v>
      </c>
    </row>
    <row r="326" spans="1:19">
      <c r="A326" s="4" t="s">
        <v>669</v>
      </c>
      <c r="B326" s="4">
        <v>0</v>
      </c>
      <c r="C326">
        <v>0</v>
      </c>
      <c r="D326" s="14">
        <v>0</v>
      </c>
      <c r="E326" s="4">
        <v>0</v>
      </c>
      <c r="F326">
        <v>1</v>
      </c>
      <c r="G326" s="14">
        <v>1</v>
      </c>
      <c r="H326" s="4">
        <v>0</v>
      </c>
      <c r="I326">
        <v>1</v>
      </c>
      <c r="J326" s="14">
        <v>1</v>
      </c>
      <c r="K326">
        <f t="shared" si="15"/>
        <v>-2</v>
      </c>
      <c r="L326" s="4">
        <v>0</v>
      </c>
      <c r="M326">
        <f t="shared" si="16"/>
        <v>0</v>
      </c>
      <c r="N326">
        <f t="shared" si="17"/>
        <v>0</v>
      </c>
      <c r="R326" s="7" t="s">
        <v>670</v>
      </c>
      <c r="S326" s="7" t="s">
        <v>25</v>
      </c>
    </row>
    <row r="327" spans="1:19">
      <c r="A327" s="4" t="s">
        <v>671</v>
      </c>
      <c r="B327" s="4">
        <v>1</v>
      </c>
      <c r="C327">
        <v>1</v>
      </c>
      <c r="D327" s="14">
        <v>2</v>
      </c>
      <c r="E327" s="4">
        <v>1</v>
      </c>
      <c r="F327">
        <v>0</v>
      </c>
      <c r="G327" s="14">
        <v>1</v>
      </c>
      <c r="H327" s="4">
        <v>1</v>
      </c>
      <c r="I327">
        <v>0</v>
      </c>
      <c r="J327" s="14">
        <v>1</v>
      </c>
      <c r="K327">
        <f t="shared" si="15"/>
        <v>1</v>
      </c>
      <c r="L327" s="4">
        <v>1</v>
      </c>
      <c r="M327">
        <f t="shared" si="16"/>
        <v>1</v>
      </c>
      <c r="N327">
        <f t="shared" si="17"/>
        <v>2</v>
      </c>
      <c r="R327" s="7" t="s">
        <v>672</v>
      </c>
      <c r="S327" s="7" t="s">
        <v>28</v>
      </c>
    </row>
    <row r="328" spans="1:19">
      <c r="A328" s="4" t="s">
        <v>673</v>
      </c>
      <c r="B328" s="4">
        <v>0</v>
      </c>
      <c r="C328">
        <v>0</v>
      </c>
      <c r="D328" s="14">
        <v>0</v>
      </c>
      <c r="E328" s="4">
        <v>0</v>
      </c>
      <c r="F328">
        <v>0</v>
      </c>
      <c r="G328" s="14">
        <v>0</v>
      </c>
      <c r="H328" s="4">
        <v>0</v>
      </c>
      <c r="I328">
        <v>0</v>
      </c>
      <c r="J328" s="14">
        <v>0</v>
      </c>
      <c r="K328">
        <f t="shared" si="15"/>
        <v>0</v>
      </c>
      <c r="L328" s="4">
        <v>0</v>
      </c>
      <c r="M328">
        <f t="shared" si="16"/>
        <v>1</v>
      </c>
      <c r="N328">
        <f t="shared" si="17"/>
        <v>1</v>
      </c>
      <c r="R328" s="7" t="s">
        <v>674</v>
      </c>
      <c r="S328" s="7" t="s">
        <v>19</v>
      </c>
    </row>
    <row r="329" spans="1:19">
      <c r="A329" s="4" t="s">
        <v>675</v>
      </c>
      <c r="B329" s="4">
        <v>1</v>
      </c>
      <c r="C329">
        <v>1</v>
      </c>
      <c r="D329" s="14">
        <v>2</v>
      </c>
      <c r="E329" s="4">
        <v>1</v>
      </c>
      <c r="F329">
        <v>0</v>
      </c>
      <c r="G329" s="14">
        <v>1</v>
      </c>
      <c r="H329" s="4">
        <v>1</v>
      </c>
      <c r="I329">
        <v>0</v>
      </c>
      <c r="J329" s="14">
        <v>1</v>
      </c>
      <c r="K329">
        <f t="shared" si="15"/>
        <v>1</v>
      </c>
      <c r="L329" s="4">
        <v>1</v>
      </c>
      <c r="M329">
        <f t="shared" si="16"/>
        <v>1</v>
      </c>
      <c r="N329">
        <f t="shared" si="17"/>
        <v>2</v>
      </c>
      <c r="R329" s="7" t="s">
        <v>676</v>
      </c>
      <c r="S329" s="7" t="s">
        <v>34</v>
      </c>
    </row>
    <row r="330" spans="1:19">
      <c r="A330" s="4" t="s">
        <v>677</v>
      </c>
      <c r="B330" s="4">
        <v>0</v>
      </c>
      <c r="C330">
        <v>0</v>
      </c>
      <c r="D330" s="14">
        <v>0</v>
      </c>
      <c r="E330" s="4">
        <v>0</v>
      </c>
      <c r="F330">
        <v>0</v>
      </c>
      <c r="G330" s="14">
        <v>0</v>
      </c>
      <c r="H330" s="4">
        <v>0</v>
      </c>
      <c r="I330">
        <v>0</v>
      </c>
      <c r="J330" s="14">
        <v>0</v>
      </c>
      <c r="K330">
        <f t="shared" si="15"/>
        <v>0</v>
      </c>
      <c r="L330" s="4">
        <v>0</v>
      </c>
      <c r="M330">
        <f t="shared" si="16"/>
        <v>1</v>
      </c>
      <c r="N330">
        <f t="shared" si="17"/>
        <v>1</v>
      </c>
      <c r="R330" s="7" t="s">
        <v>678</v>
      </c>
      <c r="S330" s="7" t="s">
        <v>37</v>
      </c>
    </row>
    <row r="331" spans="1:19">
      <c r="A331" s="4" t="s">
        <v>679</v>
      </c>
      <c r="B331" s="4">
        <v>1</v>
      </c>
      <c r="C331">
        <v>0</v>
      </c>
      <c r="D331" s="14">
        <v>1</v>
      </c>
      <c r="E331" s="4">
        <v>1</v>
      </c>
      <c r="F331">
        <v>0</v>
      </c>
      <c r="G331" s="14">
        <v>1</v>
      </c>
      <c r="H331" s="4">
        <v>1</v>
      </c>
      <c r="I331">
        <v>0</v>
      </c>
      <c r="J331" s="14">
        <v>1</v>
      </c>
      <c r="K331">
        <f t="shared" si="15"/>
        <v>0</v>
      </c>
      <c r="L331" s="4">
        <v>1</v>
      </c>
      <c r="M331">
        <f t="shared" si="16"/>
        <v>1</v>
      </c>
      <c r="N331">
        <f t="shared" si="17"/>
        <v>2</v>
      </c>
      <c r="R331" s="7" t="s">
        <v>680</v>
      </c>
      <c r="S331" s="7" t="s">
        <v>40</v>
      </c>
    </row>
    <row r="332" spans="1:19">
      <c r="A332" s="4" t="s">
        <v>681</v>
      </c>
      <c r="B332" s="4">
        <v>0</v>
      </c>
      <c r="C332">
        <v>0</v>
      </c>
      <c r="D332" s="14">
        <v>0</v>
      </c>
      <c r="E332" s="4">
        <v>0</v>
      </c>
      <c r="F332">
        <v>1</v>
      </c>
      <c r="G332" s="14">
        <v>1</v>
      </c>
      <c r="H332" s="4">
        <v>0</v>
      </c>
      <c r="I332">
        <v>1</v>
      </c>
      <c r="J332" s="14">
        <v>1</v>
      </c>
      <c r="K332">
        <f t="shared" si="15"/>
        <v>-2</v>
      </c>
      <c r="L332" s="4">
        <v>0</v>
      </c>
      <c r="M332">
        <f t="shared" si="16"/>
        <v>0</v>
      </c>
      <c r="N332">
        <f t="shared" si="17"/>
        <v>0</v>
      </c>
      <c r="R332" s="7" t="s">
        <v>682</v>
      </c>
      <c r="S332" s="7" t="s">
        <v>31</v>
      </c>
    </row>
    <row r="333" spans="1:19">
      <c r="A333" s="4" t="s">
        <v>683</v>
      </c>
      <c r="B333" s="4">
        <v>0</v>
      </c>
      <c r="C333">
        <v>0</v>
      </c>
      <c r="D333" s="14">
        <v>0</v>
      </c>
      <c r="E333" s="4">
        <v>0</v>
      </c>
      <c r="F333">
        <v>1</v>
      </c>
      <c r="G333" s="14">
        <v>1</v>
      </c>
      <c r="H333" s="4">
        <v>0</v>
      </c>
      <c r="I333">
        <v>0</v>
      </c>
      <c r="J333" s="14">
        <v>0</v>
      </c>
      <c r="K333">
        <f t="shared" si="15"/>
        <v>-1</v>
      </c>
      <c r="L333" s="4">
        <v>0</v>
      </c>
      <c r="M333">
        <f t="shared" si="16"/>
        <v>0</v>
      </c>
      <c r="N333">
        <f t="shared" si="17"/>
        <v>0</v>
      </c>
      <c r="R333" s="7" t="s">
        <v>684</v>
      </c>
      <c r="S333" s="7" t="s">
        <v>16</v>
      </c>
    </row>
    <row r="334" spans="1:19">
      <c r="A334" s="4" t="s">
        <v>685</v>
      </c>
      <c r="B334" s="4">
        <v>1</v>
      </c>
      <c r="C334">
        <v>0</v>
      </c>
      <c r="D334" s="14">
        <v>1</v>
      </c>
      <c r="E334" s="4">
        <v>1</v>
      </c>
      <c r="F334">
        <v>1</v>
      </c>
      <c r="G334" s="14">
        <v>2</v>
      </c>
      <c r="H334" s="4">
        <v>1</v>
      </c>
      <c r="I334">
        <v>1</v>
      </c>
      <c r="J334" s="14">
        <v>2</v>
      </c>
      <c r="K334">
        <f t="shared" si="15"/>
        <v>-2</v>
      </c>
      <c r="L334" s="4">
        <v>1</v>
      </c>
      <c r="M334">
        <f t="shared" si="16"/>
        <v>0</v>
      </c>
      <c r="N334">
        <f t="shared" si="17"/>
        <v>1</v>
      </c>
      <c r="R334" s="7" t="s">
        <v>686</v>
      </c>
      <c r="S334" s="7" t="s">
        <v>19</v>
      </c>
    </row>
    <row r="335" spans="1:19">
      <c r="A335" s="4" t="s">
        <v>687</v>
      </c>
      <c r="B335" s="4">
        <v>1</v>
      </c>
      <c r="C335">
        <v>1</v>
      </c>
      <c r="D335" s="14">
        <v>2</v>
      </c>
      <c r="E335" s="4">
        <v>1</v>
      </c>
      <c r="F335">
        <v>0</v>
      </c>
      <c r="G335" s="14">
        <v>1</v>
      </c>
      <c r="H335" s="4">
        <v>1</v>
      </c>
      <c r="I335">
        <v>0</v>
      </c>
      <c r="J335" s="14">
        <v>1</v>
      </c>
      <c r="K335">
        <f t="shared" si="15"/>
        <v>1</v>
      </c>
      <c r="L335" s="4">
        <v>1</v>
      </c>
      <c r="M335">
        <f t="shared" si="16"/>
        <v>1</v>
      </c>
      <c r="N335">
        <f t="shared" si="17"/>
        <v>2</v>
      </c>
      <c r="R335" s="7" t="s">
        <v>688</v>
      </c>
      <c r="S335" s="7" t="s">
        <v>22</v>
      </c>
    </row>
    <row r="336" spans="1:19">
      <c r="A336" s="4" t="s">
        <v>689</v>
      </c>
      <c r="B336" s="4">
        <v>1</v>
      </c>
      <c r="C336">
        <v>0</v>
      </c>
      <c r="D336" s="14">
        <v>1</v>
      </c>
      <c r="E336" s="4">
        <v>1</v>
      </c>
      <c r="F336">
        <v>0</v>
      </c>
      <c r="G336" s="14">
        <v>1</v>
      </c>
      <c r="H336" s="4">
        <v>1</v>
      </c>
      <c r="I336">
        <v>0</v>
      </c>
      <c r="J336" s="14">
        <v>1</v>
      </c>
      <c r="K336">
        <f t="shared" si="15"/>
        <v>0</v>
      </c>
      <c r="L336" s="4">
        <v>1</v>
      </c>
      <c r="M336">
        <f t="shared" si="16"/>
        <v>1</v>
      </c>
      <c r="N336">
        <f t="shared" si="17"/>
        <v>2</v>
      </c>
      <c r="R336" s="7" t="s">
        <v>690</v>
      </c>
      <c r="S336" s="7" t="s">
        <v>25</v>
      </c>
    </row>
    <row r="337" spans="1:19">
      <c r="A337" s="4" t="s">
        <v>691</v>
      </c>
      <c r="B337" s="4">
        <v>1</v>
      </c>
      <c r="C337">
        <v>0</v>
      </c>
      <c r="D337" s="14">
        <v>1</v>
      </c>
      <c r="E337" s="4">
        <v>1</v>
      </c>
      <c r="F337">
        <v>0</v>
      </c>
      <c r="G337" s="14">
        <v>1</v>
      </c>
      <c r="H337" s="4">
        <v>1</v>
      </c>
      <c r="I337">
        <v>0</v>
      </c>
      <c r="J337" s="14">
        <v>1</v>
      </c>
      <c r="K337">
        <f t="shared" si="15"/>
        <v>0</v>
      </c>
      <c r="L337" s="4">
        <v>1</v>
      </c>
      <c r="M337">
        <f t="shared" si="16"/>
        <v>1</v>
      </c>
      <c r="N337">
        <f t="shared" si="17"/>
        <v>2</v>
      </c>
      <c r="R337" s="7" t="s">
        <v>692</v>
      </c>
      <c r="S337" s="7" t="s">
        <v>28</v>
      </c>
    </row>
    <row r="338" spans="1:19">
      <c r="A338" s="4" t="s">
        <v>693</v>
      </c>
      <c r="B338" s="4">
        <v>0</v>
      </c>
      <c r="C338">
        <v>0</v>
      </c>
      <c r="D338" s="14">
        <v>0</v>
      </c>
      <c r="E338" s="4">
        <v>0</v>
      </c>
      <c r="F338">
        <v>1</v>
      </c>
      <c r="G338" s="14">
        <v>1</v>
      </c>
      <c r="H338" s="4">
        <v>0</v>
      </c>
      <c r="I338">
        <v>1</v>
      </c>
      <c r="J338" s="14">
        <v>1</v>
      </c>
      <c r="K338">
        <f t="shared" si="15"/>
        <v>-2</v>
      </c>
      <c r="L338" s="4">
        <v>0</v>
      </c>
      <c r="M338">
        <f t="shared" si="16"/>
        <v>0</v>
      </c>
      <c r="N338">
        <f t="shared" si="17"/>
        <v>0</v>
      </c>
      <c r="R338" s="7" t="s">
        <v>694</v>
      </c>
      <c r="S338" s="7" t="s">
        <v>22</v>
      </c>
    </row>
    <row r="339" spans="1:19">
      <c r="A339" s="4" t="s">
        <v>695</v>
      </c>
      <c r="B339" s="4">
        <v>1</v>
      </c>
      <c r="C339">
        <v>1</v>
      </c>
      <c r="D339" s="14">
        <v>2</v>
      </c>
      <c r="E339" s="4">
        <v>1</v>
      </c>
      <c r="F339">
        <v>1</v>
      </c>
      <c r="G339" s="14">
        <v>2</v>
      </c>
      <c r="H339" s="4">
        <v>1</v>
      </c>
      <c r="I339">
        <v>1</v>
      </c>
      <c r="J339" s="14">
        <v>2</v>
      </c>
      <c r="K339">
        <f t="shared" si="15"/>
        <v>-1</v>
      </c>
      <c r="L339" s="4">
        <v>1</v>
      </c>
      <c r="M339">
        <f t="shared" si="16"/>
        <v>0</v>
      </c>
      <c r="N339">
        <f t="shared" si="17"/>
        <v>1</v>
      </c>
      <c r="R339" s="7" t="s">
        <v>696</v>
      </c>
      <c r="S339" s="7" t="s">
        <v>34</v>
      </c>
    </row>
    <row r="340" spans="1:19">
      <c r="A340" s="4" t="s">
        <v>697</v>
      </c>
      <c r="B340" s="4">
        <v>0</v>
      </c>
      <c r="C340">
        <v>0</v>
      </c>
      <c r="D340" s="14">
        <v>0</v>
      </c>
      <c r="E340" s="4">
        <v>0</v>
      </c>
      <c r="F340">
        <v>0</v>
      </c>
      <c r="G340" s="14">
        <v>0</v>
      </c>
      <c r="H340" s="4">
        <v>0</v>
      </c>
      <c r="I340">
        <v>0</v>
      </c>
      <c r="J340" s="14">
        <v>0</v>
      </c>
      <c r="K340">
        <f t="shared" si="15"/>
        <v>0</v>
      </c>
      <c r="L340" s="4">
        <v>0</v>
      </c>
      <c r="M340">
        <f t="shared" si="16"/>
        <v>1</v>
      </c>
      <c r="N340">
        <f t="shared" si="17"/>
        <v>1</v>
      </c>
      <c r="R340" s="7" t="s">
        <v>698</v>
      </c>
      <c r="S340" s="7" t="s">
        <v>37</v>
      </c>
    </row>
    <row r="341" spans="1:19">
      <c r="A341" s="4" t="s">
        <v>699</v>
      </c>
      <c r="B341" s="4">
        <v>1</v>
      </c>
      <c r="C341">
        <v>1</v>
      </c>
      <c r="D341" s="14">
        <v>2</v>
      </c>
      <c r="E341" s="4">
        <v>1</v>
      </c>
      <c r="F341">
        <v>0</v>
      </c>
      <c r="G341" s="14">
        <v>1</v>
      </c>
      <c r="H341" s="4">
        <v>1</v>
      </c>
      <c r="I341">
        <v>1</v>
      </c>
      <c r="J341" s="14">
        <v>2</v>
      </c>
      <c r="K341">
        <f t="shared" si="15"/>
        <v>0</v>
      </c>
      <c r="L341" s="4">
        <v>1</v>
      </c>
      <c r="M341">
        <f t="shared" si="16"/>
        <v>1</v>
      </c>
      <c r="N341">
        <f t="shared" si="17"/>
        <v>2</v>
      </c>
      <c r="R341" s="7" t="s">
        <v>700</v>
      </c>
      <c r="S341" s="7" t="s">
        <v>40</v>
      </c>
    </row>
    <row r="342" spans="1:19">
      <c r="A342" s="4" t="s">
        <v>701</v>
      </c>
      <c r="B342" s="4">
        <v>0</v>
      </c>
      <c r="C342">
        <v>0</v>
      </c>
      <c r="D342" s="14">
        <v>0</v>
      </c>
      <c r="E342" s="4">
        <v>0</v>
      </c>
      <c r="F342">
        <v>1</v>
      </c>
      <c r="G342" s="14">
        <v>1</v>
      </c>
      <c r="H342" s="4">
        <v>0</v>
      </c>
      <c r="I342">
        <v>1</v>
      </c>
      <c r="J342" s="14">
        <v>1</v>
      </c>
      <c r="K342">
        <f t="shared" si="15"/>
        <v>-2</v>
      </c>
      <c r="L342" s="4">
        <v>0</v>
      </c>
      <c r="M342">
        <f t="shared" si="16"/>
        <v>0</v>
      </c>
      <c r="N342">
        <f t="shared" si="17"/>
        <v>0</v>
      </c>
      <c r="R342" s="7" t="s">
        <v>702</v>
      </c>
      <c r="S342" s="7" t="s">
        <v>31</v>
      </c>
    </row>
    <row r="343" spans="1:19">
      <c r="A343" s="4" t="s">
        <v>703</v>
      </c>
      <c r="B343" s="4">
        <v>1</v>
      </c>
      <c r="C343">
        <v>0</v>
      </c>
      <c r="D343" s="14">
        <v>1</v>
      </c>
      <c r="E343" s="4">
        <v>1</v>
      </c>
      <c r="F343">
        <v>0</v>
      </c>
      <c r="G343" s="14">
        <v>1</v>
      </c>
      <c r="H343" s="4">
        <v>1</v>
      </c>
      <c r="I343">
        <v>0</v>
      </c>
      <c r="J343" s="14">
        <v>1</v>
      </c>
      <c r="K343">
        <f t="shared" si="15"/>
        <v>0</v>
      </c>
      <c r="L343" s="4">
        <v>1</v>
      </c>
      <c r="M343">
        <f t="shared" si="16"/>
        <v>1</v>
      </c>
      <c r="N343">
        <f t="shared" si="17"/>
        <v>2</v>
      </c>
      <c r="R343" s="7" t="s">
        <v>704</v>
      </c>
      <c r="S343" s="7" t="s">
        <v>16</v>
      </c>
    </row>
    <row r="344" spans="1:19">
      <c r="A344" s="4" t="s">
        <v>705</v>
      </c>
      <c r="B344" s="4">
        <v>1</v>
      </c>
      <c r="C344">
        <v>1</v>
      </c>
      <c r="D344" s="14">
        <v>2</v>
      </c>
      <c r="E344" s="4">
        <v>1</v>
      </c>
      <c r="F344">
        <v>0</v>
      </c>
      <c r="G344" s="14">
        <v>1</v>
      </c>
      <c r="H344" s="4">
        <v>1</v>
      </c>
      <c r="I344">
        <v>1</v>
      </c>
      <c r="J344" s="14">
        <v>2</v>
      </c>
      <c r="K344">
        <f t="shared" si="15"/>
        <v>0</v>
      </c>
      <c r="L344" s="4">
        <v>1</v>
      </c>
      <c r="M344">
        <f t="shared" si="16"/>
        <v>1</v>
      </c>
      <c r="N344">
        <f t="shared" si="17"/>
        <v>2</v>
      </c>
      <c r="R344" s="7" t="s">
        <v>706</v>
      </c>
      <c r="S344" s="7" t="s">
        <v>19</v>
      </c>
    </row>
    <row r="345" spans="1:19">
      <c r="A345" s="4" t="s">
        <v>707</v>
      </c>
      <c r="B345" s="4">
        <v>0</v>
      </c>
      <c r="C345">
        <v>1</v>
      </c>
      <c r="D345" s="14">
        <v>1</v>
      </c>
      <c r="E345" s="4">
        <v>0</v>
      </c>
      <c r="F345">
        <v>0</v>
      </c>
      <c r="G345" s="14">
        <v>0</v>
      </c>
      <c r="H345" s="4">
        <v>0</v>
      </c>
      <c r="I345">
        <v>0</v>
      </c>
      <c r="J345" s="14">
        <v>0</v>
      </c>
      <c r="K345">
        <f t="shared" si="15"/>
        <v>1</v>
      </c>
      <c r="L345" s="4">
        <v>0</v>
      </c>
      <c r="M345">
        <f t="shared" si="16"/>
        <v>1</v>
      </c>
      <c r="N345">
        <f t="shared" si="17"/>
        <v>1</v>
      </c>
      <c r="R345" s="7" t="s">
        <v>708</v>
      </c>
      <c r="S345" s="7" t="s">
        <v>22</v>
      </c>
    </row>
    <row r="346" spans="1:19">
      <c r="A346" s="4" t="s">
        <v>709</v>
      </c>
      <c r="B346" s="4">
        <v>1</v>
      </c>
      <c r="C346">
        <v>0</v>
      </c>
      <c r="D346" s="14">
        <v>1</v>
      </c>
      <c r="E346" s="4">
        <v>1</v>
      </c>
      <c r="F346">
        <v>1</v>
      </c>
      <c r="G346" s="14">
        <v>2</v>
      </c>
      <c r="H346" s="4">
        <v>1</v>
      </c>
      <c r="I346">
        <v>1</v>
      </c>
      <c r="J346" s="14">
        <v>2</v>
      </c>
      <c r="K346">
        <f t="shared" si="15"/>
        <v>-2</v>
      </c>
      <c r="L346" s="4">
        <v>1</v>
      </c>
      <c r="M346">
        <f t="shared" si="16"/>
        <v>0</v>
      </c>
      <c r="N346">
        <f t="shared" si="17"/>
        <v>1</v>
      </c>
      <c r="R346" s="7" t="s">
        <v>710</v>
      </c>
      <c r="S346" s="7" t="s">
        <v>25</v>
      </c>
    </row>
    <row r="347" spans="1:19">
      <c r="A347" s="4" t="s">
        <v>711</v>
      </c>
      <c r="B347" s="4">
        <v>0</v>
      </c>
      <c r="C347">
        <v>1</v>
      </c>
      <c r="D347" s="14">
        <v>1</v>
      </c>
      <c r="E347" s="4">
        <v>0</v>
      </c>
      <c r="F347">
        <v>1</v>
      </c>
      <c r="G347" s="14">
        <v>1</v>
      </c>
      <c r="H347" s="4">
        <v>0</v>
      </c>
      <c r="I347">
        <v>1</v>
      </c>
      <c r="J347" s="14">
        <v>1</v>
      </c>
      <c r="K347">
        <f t="shared" si="15"/>
        <v>-1</v>
      </c>
      <c r="L347" s="4">
        <v>0</v>
      </c>
      <c r="M347">
        <f t="shared" si="16"/>
        <v>0</v>
      </c>
      <c r="N347">
        <f t="shared" si="17"/>
        <v>0</v>
      </c>
      <c r="R347" s="7" t="s">
        <v>712</v>
      </c>
      <c r="S347" s="7" t="s">
        <v>28</v>
      </c>
    </row>
    <row r="348" spans="1:19">
      <c r="A348" s="4" t="s">
        <v>713</v>
      </c>
      <c r="B348" s="4">
        <v>0</v>
      </c>
      <c r="C348">
        <v>0</v>
      </c>
      <c r="D348" s="14">
        <v>0</v>
      </c>
      <c r="E348" s="4">
        <v>0</v>
      </c>
      <c r="F348">
        <v>0</v>
      </c>
      <c r="G348" s="14">
        <v>0</v>
      </c>
      <c r="H348" s="4">
        <v>0</v>
      </c>
      <c r="I348">
        <v>0</v>
      </c>
      <c r="J348" s="14">
        <v>0</v>
      </c>
      <c r="K348">
        <f t="shared" si="15"/>
        <v>0</v>
      </c>
      <c r="L348" s="4">
        <v>0</v>
      </c>
      <c r="M348">
        <f t="shared" si="16"/>
        <v>1</v>
      </c>
      <c r="N348">
        <f t="shared" si="17"/>
        <v>1</v>
      </c>
      <c r="R348" s="7" t="s">
        <v>714</v>
      </c>
      <c r="S348" s="7" t="s">
        <v>25</v>
      </c>
    </row>
    <row r="349" spans="1:19">
      <c r="A349" s="4" t="s">
        <v>715</v>
      </c>
      <c r="B349" s="4">
        <v>0</v>
      </c>
      <c r="C349">
        <v>1</v>
      </c>
      <c r="D349" s="14">
        <v>1</v>
      </c>
      <c r="E349" s="4">
        <v>0</v>
      </c>
      <c r="F349">
        <v>1</v>
      </c>
      <c r="G349" s="14">
        <v>1</v>
      </c>
      <c r="H349" s="4">
        <v>0</v>
      </c>
      <c r="I349">
        <v>1</v>
      </c>
      <c r="J349" s="14">
        <v>1</v>
      </c>
      <c r="K349">
        <f t="shared" si="15"/>
        <v>-1</v>
      </c>
      <c r="L349" s="4">
        <v>0</v>
      </c>
      <c r="M349">
        <f t="shared" si="16"/>
        <v>0</v>
      </c>
      <c r="N349">
        <f t="shared" si="17"/>
        <v>0</v>
      </c>
      <c r="R349" s="7" t="s">
        <v>716</v>
      </c>
      <c r="S349" s="7" t="s">
        <v>34</v>
      </c>
    </row>
    <row r="350" spans="1:19">
      <c r="A350" s="4" t="s">
        <v>717</v>
      </c>
      <c r="B350" s="4">
        <v>1</v>
      </c>
      <c r="C350">
        <v>0</v>
      </c>
      <c r="D350" s="14">
        <v>1</v>
      </c>
      <c r="E350" s="4">
        <v>1</v>
      </c>
      <c r="F350">
        <v>0</v>
      </c>
      <c r="G350" s="14">
        <v>1</v>
      </c>
      <c r="H350" s="4">
        <v>1</v>
      </c>
      <c r="I350">
        <v>0</v>
      </c>
      <c r="J350" s="14">
        <v>1</v>
      </c>
      <c r="K350">
        <f t="shared" si="15"/>
        <v>0</v>
      </c>
      <c r="L350" s="4">
        <v>1</v>
      </c>
      <c r="M350">
        <f t="shared" si="16"/>
        <v>1</v>
      </c>
      <c r="N350">
        <f t="shared" si="17"/>
        <v>2</v>
      </c>
      <c r="R350" s="7" t="s">
        <v>718</v>
      </c>
      <c r="S350" s="7" t="s">
        <v>37</v>
      </c>
    </row>
    <row r="351" spans="1:19">
      <c r="A351" s="4" t="s">
        <v>719</v>
      </c>
      <c r="B351" s="4">
        <v>1</v>
      </c>
      <c r="C351">
        <v>1</v>
      </c>
      <c r="D351" s="14">
        <v>2</v>
      </c>
      <c r="E351" s="4">
        <v>1</v>
      </c>
      <c r="F351">
        <v>1</v>
      </c>
      <c r="G351" s="14">
        <v>2</v>
      </c>
      <c r="H351" s="4">
        <v>1</v>
      </c>
      <c r="I351">
        <v>0</v>
      </c>
      <c r="J351" s="14">
        <v>1</v>
      </c>
      <c r="K351">
        <f t="shared" si="15"/>
        <v>0</v>
      </c>
      <c r="L351" s="4">
        <v>1</v>
      </c>
      <c r="M351">
        <f t="shared" si="16"/>
        <v>1</v>
      </c>
      <c r="N351">
        <f t="shared" si="17"/>
        <v>2</v>
      </c>
      <c r="R351" s="7" t="s">
        <v>720</v>
      </c>
      <c r="S351" s="7" t="s">
        <v>40</v>
      </c>
    </row>
    <row r="352" spans="1:19">
      <c r="A352" s="4" t="s">
        <v>721</v>
      </c>
      <c r="B352" s="4">
        <v>1</v>
      </c>
      <c r="C352">
        <v>0</v>
      </c>
      <c r="D352" s="14">
        <v>1</v>
      </c>
      <c r="E352" s="4">
        <v>1</v>
      </c>
      <c r="F352">
        <v>0</v>
      </c>
      <c r="G352" s="14">
        <v>1</v>
      </c>
      <c r="H352" s="4">
        <v>1</v>
      </c>
      <c r="I352">
        <v>1</v>
      </c>
      <c r="J352" s="14">
        <v>2</v>
      </c>
      <c r="K352">
        <f t="shared" si="15"/>
        <v>-1</v>
      </c>
      <c r="L352" s="4">
        <v>1</v>
      </c>
      <c r="M352">
        <f t="shared" si="16"/>
        <v>0</v>
      </c>
      <c r="N352">
        <f t="shared" si="17"/>
        <v>1</v>
      </c>
      <c r="R352" s="7" t="s">
        <v>722</v>
      </c>
      <c r="S352" s="7" t="s">
        <v>31</v>
      </c>
    </row>
    <row r="353" spans="1:19">
      <c r="A353" s="4" t="s">
        <v>723</v>
      </c>
      <c r="B353" s="4">
        <v>0</v>
      </c>
      <c r="C353">
        <v>0</v>
      </c>
      <c r="D353" s="14">
        <v>0</v>
      </c>
      <c r="E353" s="4">
        <v>0</v>
      </c>
      <c r="F353">
        <v>1</v>
      </c>
      <c r="G353" s="14">
        <v>1</v>
      </c>
      <c r="H353" s="4">
        <v>0</v>
      </c>
      <c r="I353">
        <v>1</v>
      </c>
      <c r="J353" s="14">
        <v>1</v>
      </c>
      <c r="K353">
        <f t="shared" si="15"/>
        <v>-2</v>
      </c>
      <c r="L353" s="4">
        <v>0</v>
      </c>
      <c r="M353">
        <f t="shared" si="16"/>
        <v>0</v>
      </c>
      <c r="N353">
        <f t="shared" si="17"/>
        <v>0</v>
      </c>
      <c r="R353" s="7" t="s">
        <v>724</v>
      </c>
      <c r="S353" s="7" t="s">
        <v>16</v>
      </c>
    </row>
    <row r="354" spans="1:19">
      <c r="A354" s="4" t="s">
        <v>725</v>
      </c>
      <c r="B354" s="4">
        <v>1</v>
      </c>
      <c r="C354">
        <v>0</v>
      </c>
      <c r="D354" s="14">
        <v>1</v>
      </c>
      <c r="E354" s="4">
        <v>1</v>
      </c>
      <c r="F354">
        <v>0</v>
      </c>
      <c r="G354" s="14">
        <v>1</v>
      </c>
      <c r="H354" s="4">
        <v>1</v>
      </c>
      <c r="I354">
        <v>0</v>
      </c>
      <c r="J354" s="14">
        <v>1</v>
      </c>
      <c r="K354">
        <f t="shared" si="15"/>
        <v>0</v>
      </c>
      <c r="L354" s="4">
        <v>1</v>
      </c>
      <c r="M354">
        <f t="shared" si="16"/>
        <v>1</v>
      </c>
      <c r="N354">
        <f t="shared" si="17"/>
        <v>2</v>
      </c>
      <c r="R354" s="7" t="s">
        <v>726</v>
      </c>
      <c r="S354" s="7" t="s">
        <v>19</v>
      </c>
    </row>
    <row r="355" spans="1:19">
      <c r="A355" s="4" t="s">
        <v>727</v>
      </c>
      <c r="B355" s="4">
        <v>0</v>
      </c>
      <c r="C355">
        <v>0</v>
      </c>
      <c r="D355" s="14">
        <v>0</v>
      </c>
      <c r="E355" s="4">
        <v>0</v>
      </c>
      <c r="F355">
        <v>0</v>
      </c>
      <c r="G355" s="14">
        <v>0</v>
      </c>
      <c r="H355" s="4">
        <v>0</v>
      </c>
      <c r="I355">
        <v>0</v>
      </c>
      <c r="J355" s="14">
        <v>0</v>
      </c>
      <c r="K355">
        <f t="shared" si="15"/>
        <v>0</v>
      </c>
      <c r="L355" s="4">
        <v>0</v>
      </c>
      <c r="M355">
        <f t="shared" si="16"/>
        <v>1</v>
      </c>
      <c r="N355">
        <f t="shared" si="17"/>
        <v>1</v>
      </c>
      <c r="R355" s="7" t="s">
        <v>728</v>
      </c>
      <c r="S355" s="7" t="s">
        <v>22</v>
      </c>
    </row>
    <row r="356" spans="1:19">
      <c r="A356" s="4" t="s">
        <v>729</v>
      </c>
      <c r="B356" s="4">
        <v>1</v>
      </c>
      <c r="C356">
        <v>0</v>
      </c>
      <c r="D356" s="14">
        <v>1</v>
      </c>
      <c r="E356" s="4">
        <v>1</v>
      </c>
      <c r="F356">
        <v>1</v>
      </c>
      <c r="G356" s="14">
        <v>2</v>
      </c>
      <c r="H356" s="4">
        <v>1</v>
      </c>
      <c r="I356">
        <v>0</v>
      </c>
      <c r="J356" s="14">
        <v>1</v>
      </c>
      <c r="K356">
        <f t="shared" si="15"/>
        <v>-1</v>
      </c>
      <c r="L356" s="4">
        <v>1</v>
      </c>
      <c r="M356">
        <f t="shared" si="16"/>
        <v>0</v>
      </c>
      <c r="N356">
        <f t="shared" si="17"/>
        <v>1</v>
      </c>
      <c r="R356" s="7" t="s">
        <v>730</v>
      </c>
      <c r="S356" s="7" t="s">
        <v>25</v>
      </c>
    </row>
    <row r="357" spans="1:19">
      <c r="A357" s="4" t="s">
        <v>731</v>
      </c>
      <c r="B357" s="4">
        <v>0</v>
      </c>
      <c r="C357">
        <v>0</v>
      </c>
      <c r="D357" s="14">
        <v>0</v>
      </c>
      <c r="E357" s="4">
        <v>0</v>
      </c>
      <c r="F357">
        <v>1</v>
      </c>
      <c r="G357" s="14">
        <v>1</v>
      </c>
      <c r="H357" s="4">
        <v>0</v>
      </c>
      <c r="I357">
        <v>0</v>
      </c>
      <c r="J357" s="14">
        <v>0</v>
      </c>
      <c r="K357">
        <f t="shared" si="15"/>
        <v>-1</v>
      </c>
      <c r="L357" s="4">
        <v>0</v>
      </c>
      <c r="M357">
        <f t="shared" si="16"/>
        <v>0</v>
      </c>
      <c r="N357">
        <f t="shared" si="17"/>
        <v>0</v>
      </c>
      <c r="R357" s="7" t="s">
        <v>732</v>
      </c>
      <c r="S357" s="7" t="s">
        <v>28</v>
      </c>
    </row>
    <row r="358" spans="1:19">
      <c r="A358" s="4" t="s">
        <v>733</v>
      </c>
      <c r="B358" s="4">
        <v>0</v>
      </c>
      <c r="C358">
        <v>0</v>
      </c>
      <c r="D358" s="14">
        <v>0</v>
      </c>
      <c r="E358" s="4">
        <v>0</v>
      </c>
      <c r="F358">
        <v>1</v>
      </c>
      <c r="G358" s="14">
        <v>1</v>
      </c>
      <c r="H358" s="4">
        <v>0</v>
      </c>
      <c r="I358">
        <v>0</v>
      </c>
      <c r="J358" s="14">
        <v>0</v>
      </c>
      <c r="K358">
        <f t="shared" si="15"/>
        <v>-1</v>
      </c>
      <c r="L358" s="4">
        <v>0</v>
      </c>
      <c r="M358">
        <f t="shared" si="16"/>
        <v>0</v>
      </c>
      <c r="N358">
        <f t="shared" si="17"/>
        <v>0</v>
      </c>
      <c r="R358" s="7" t="s">
        <v>734</v>
      </c>
      <c r="S358" s="7" t="s">
        <v>28</v>
      </c>
    </row>
    <row r="359" spans="1:19">
      <c r="A359" s="4" t="s">
        <v>735</v>
      </c>
      <c r="B359" s="4">
        <v>1</v>
      </c>
      <c r="C359">
        <v>1</v>
      </c>
      <c r="D359" s="14">
        <v>2</v>
      </c>
      <c r="E359" s="4">
        <v>1</v>
      </c>
      <c r="F359">
        <v>1</v>
      </c>
      <c r="G359" s="14">
        <v>2</v>
      </c>
      <c r="H359" s="4">
        <v>1</v>
      </c>
      <c r="I359">
        <v>1</v>
      </c>
      <c r="J359" s="14">
        <v>2</v>
      </c>
      <c r="K359">
        <f t="shared" si="15"/>
        <v>-1</v>
      </c>
      <c r="L359" s="4">
        <v>1</v>
      </c>
      <c r="M359">
        <f t="shared" si="16"/>
        <v>0</v>
      </c>
      <c r="N359">
        <f t="shared" si="17"/>
        <v>1</v>
      </c>
      <c r="R359" s="7" t="s">
        <v>736</v>
      </c>
      <c r="S359" s="7" t="s">
        <v>34</v>
      </c>
    </row>
    <row r="360" spans="1:19">
      <c r="A360" s="4" t="s">
        <v>737</v>
      </c>
      <c r="B360" s="4">
        <v>0</v>
      </c>
      <c r="C360">
        <v>0</v>
      </c>
      <c r="D360" s="14">
        <v>0</v>
      </c>
      <c r="E360" s="4">
        <v>0</v>
      </c>
      <c r="F360">
        <v>0</v>
      </c>
      <c r="G360" s="14">
        <v>0</v>
      </c>
      <c r="H360" s="4">
        <v>0</v>
      </c>
      <c r="I360">
        <v>0</v>
      </c>
      <c r="J360" s="14">
        <v>0</v>
      </c>
      <c r="K360">
        <f t="shared" si="15"/>
        <v>0</v>
      </c>
      <c r="L360" s="4">
        <v>0</v>
      </c>
      <c r="M360">
        <f t="shared" si="16"/>
        <v>1</v>
      </c>
      <c r="N360">
        <f t="shared" si="17"/>
        <v>1</v>
      </c>
      <c r="R360" s="7" t="s">
        <v>738</v>
      </c>
      <c r="S360" s="7" t="s">
        <v>37</v>
      </c>
    </row>
    <row r="361" spans="1:19">
      <c r="A361" s="4" t="s">
        <v>739</v>
      </c>
      <c r="B361" s="4">
        <v>1</v>
      </c>
      <c r="C361">
        <v>0</v>
      </c>
      <c r="D361" s="14">
        <v>1</v>
      </c>
      <c r="E361" s="4">
        <v>1</v>
      </c>
      <c r="F361">
        <v>0</v>
      </c>
      <c r="G361" s="14">
        <v>1</v>
      </c>
      <c r="H361" s="4">
        <v>1</v>
      </c>
      <c r="I361">
        <v>0</v>
      </c>
      <c r="J361" s="14">
        <v>1</v>
      </c>
      <c r="K361">
        <f t="shared" si="15"/>
        <v>0</v>
      </c>
      <c r="L361" s="4">
        <v>1</v>
      </c>
      <c r="M361">
        <f t="shared" si="16"/>
        <v>1</v>
      </c>
      <c r="N361">
        <f t="shared" si="17"/>
        <v>2</v>
      </c>
      <c r="R361" s="7" t="s">
        <v>740</v>
      </c>
      <c r="S361" s="7" t="s">
        <v>40</v>
      </c>
    </row>
    <row r="362" spans="1:19">
      <c r="A362" s="4" t="s">
        <v>741</v>
      </c>
      <c r="B362" s="4">
        <v>0</v>
      </c>
      <c r="C362">
        <v>0</v>
      </c>
      <c r="D362" s="14">
        <v>0</v>
      </c>
      <c r="E362" s="4">
        <v>0</v>
      </c>
      <c r="F362">
        <v>1</v>
      </c>
      <c r="G362" s="14">
        <v>1</v>
      </c>
      <c r="H362" s="4">
        <v>0</v>
      </c>
      <c r="I362">
        <v>0</v>
      </c>
      <c r="J362" s="14">
        <v>0</v>
      </c>
      <c r="K362">
        <f t="shared" si="15"/>
        <v>-1</v>
      </c>
      <c r="L362" s="4">
        <v>0</v>
      </c>
      <c r="M362">
        <f t="shared" si="16"/>
        <v>0</v>
      </c>
      <c r="N362">
        <f t="shared" si="17"/>
        <v>0</v>
      </c>
      <c r="R362" s="7" t="s">
        <v>742</v>
      </c>
      <c r="S362" s="7" t="s">
        <v>31</v>
      </c>
    </row>
    <row r="363" spans="1:19">
      <c r="A363" s="4" t="s">
        <v>743</v>
      </c>
      <c r="B363" s="4">
        <v>0</v>
      </c>
      <c r="C363">
        <v>0</v>
      </c>
      <c r="D363" s="14">
        <v>0</v>
      </c>
      <c r="E363" s="4">
        <v>0</v>
      </c>
      <c r="F363">
        <v>0</v>
      </c>
      <c r="G363" s="14">
        <v>0</v>
      </c>
      <c r="H363" s="4">
        <v>0</v>
      </c>
      <c r="I363">
        <v>0</v>
      </c>
      <c r="J363" s="14">
        <v>0</v>
      </c>
      <c r="K363">
        <f t="shared" si="15"/>
        <v>0</v>
      </c>
      <c r="L363" s="4">
        <v>0</v>
      </c>
      <c r="M363">
        <f t="shared" si="16"/>
        <v>1</v>
      </c>
      <c r="N363">
        <f t="shared" si="17"/>
        <v>1</v>
      </c>
      <c r="R363" s="7" t="s">
        <v>744</v>
      </c>
      <c r="S363" s="7" t="s">
        <v>16</v>
      </c>
    </row>
    <row r="364" spans="1:19">
      <c r="A364" s="5" t="s">
        <v>745</v>
      </c>
      <c r="B364" s="4">
        <v>0</v>
      </c>
      <c r="C364">
        <v>1</v>
      </c>
      <c r="D364" s="14">
        <v>1</v>
      </c>
      <c r="E364" s="4">
        <v>0</v>
      </c>
      <c r="F364">
        <v>1</v>
      </c>
      <c r="G364" s="14">
        <v>1</v>
      </c>
      <c r="H364" s="4">
        <v>0</v>
      </c>
      <c r="I364">
        <v>0</v>
      </c>
      <c r="J364" s="14">
        <v>0</v>
      </c>
      <c r="K364">
        <f t="shared" si="15"/>
        <v>0</v>
      </c>
      <c r="L364" s="4">
        <v>0</v>
      </c>
      <c r="M364">
        <f t="shared" si="16"/>
        <v>1</v>
      </c>
      <c r="N364">
        <f t="shared" si="17"/>
        <v>1</v>
      </c>
      <c r="R364" s="7" t="s">
        <v>746</v>
      </c>
      <c r="S364" s="7" t="s">
        <v>19</v>
      </c>
    </row>
    <row r="365" spans="1:19">
      <c r="A365" s="5" t="s">
        <v>747</v>
      </c>
      <c r="B365" s="4">
        <v>1</v>
      </c>
      <c r="C365">
        <v>0</v>
      </c>
      <c r="D365" s="14">
        <v>1</v>
      </c>
      <c r="E365" s="4">
        <v>1</v>
      </c>
      <c r="F365">
        <v>0</v>
      </c>
      <c r="G365" s="14">
        <v>1</v>
      </c>
      <c r="H365" s="4">
        <v>1</v>
      </c>
      <c r="I365">
        <v>0</v>
      </c>
      <c r="J365" s="14">
        <v>1</v>
      </c>
      <c r="K365">
        <f t="shared" si="15"/>
        <v>0</v>
      </c>
      <c r="L365" s="4">
        <v>1</v>
      </c>
      <c r="M365">
        <f t="shared" si="16"/>
        <v>1</v>
      </c>
      <c r="N365">
        <f t="shared" si="17"/>
        <v>2</v>
      </c>
      <c r="R365" s="7" t="s">
        <v>748</v>
      </c>
      <c r="S365" s="7" t="s">
        <v>22</v>
      </c>
    </row>
    <row r="366" spans="1:19">
      <c r="A366" s="5" t="s">
        <v>749</v>
      </c>
      <c r="B366" s="4">
        <v>0</v>
      </c>
      <c r="C366">
        <v>1</v>
      </c>
      <c r="D366" s="14">
        <v>1</v>
      </c>
      <c r="E366" s="4">
        <v>0</v>
      </c>
      <c r="F366">
        <v>0</v>
      </c>
      <c r="G366" s="14">
        <v>0</v>
      </c>
      <c r="H366" s="4">
        <v>0</v>
      </c>
      <c r="I366">
        <v>1</v>
      </c>
      <c r="J366" s="14">
        <v>1</v>
      </c>
      <c r="K366">
        <f t="shared" si="15"/>
        <v>0</v>
      </c>
      <c r="L366" s="4">
        <v>0</v>
      </c>
      <c r="M366">
        <f t="shared" si="16"/>
        <v>1</v>
      </c>
      <c r="N366">
        <f t="shared" si="17"/>
        <v>1</v>
      </c>
      <c r="R366" s="7" t="s">
        <v>750</v>
      </c>
      <c r="S366" s="7" t="s">
        <v>25</v>
      </c>
    </row>
    <row r="367" spans="1:19">
      <c r="A367" s="5" t="s">
        <v>751</v>
      </c>
      <c r="B367" s="4">
        <v>0</v>
      </c>
      <c r="C367">
        <v>0</v>
      </c>
      <c r="D367" s="14">
        <v>0</v>
      </c>
      <c r="E367" s="4">
        <v>0</v>
      </c>
      <c r="F367">
        <v>0</v>
      </c>
      <c r="G367" s="14">
        <v>0</v>
      </c>
      <c r="H367" s="4">
        <v>0</v>
      </c>
      <c r="I367">
        <v>1</v>
      </c>
      <c r="J367" s="14">
        <v>1</v>
      </c>
      <c r="K367">
        <f t="shared" si="15"/>
        <v>-1</v>
      </c>
      <c r="L367" s="4">
        <v>0</v>
      </c>
      <c r="M367">
        <f t="shared" si="16"/>
        <v>0</v>
      </c>
      <c r="N367">
        <f t="shared" si="17"/>
        <v>0</v>
      </c>
      <c r="R367" s="7" t="s">
        <v>752</v>
      </c>
      <c r="S367" s="7" t="s">
        <v>28</v>
      </c>
    </row>
    <row r="368" spans="1:19">
      <c r="A368" s="5" t="s">
        <v>753</v>
      </c>
      <c r="B368" s="4">
        <v>0</v>
      </c>
      <c r="C368">
        <v>0</v>
      </c>
      <c r="D368" s="14">
        <v>0</v>
      </c>
      <c r="E368" s="4">
        <v>0</v>
      </c>
      <c r="F368">
        <v>0</v>
      </c>
      <c r="G368" s="14">
        <v>0</v>
      </c>
      <c r="H368" s="4">
        <v>0</v>
      </c>
      <c r="I368">
        <v>0</v>
      </c>
      <c r="J368" s="14">
        <v>0</v>
      </c>
      <c r="K368">
        <f t="shared" si="15"/>
        <v>0</v>
      </c>
      <c r="L368" s="4">
        <v>0</v>
      </c>
      <c r="M368">
        <f t="shared" si="16"/>
        <v>1</v>
      </c>
      <c r="N368">
        <f t="shared" si="17"/>
        <v>1</v>
      </c>
      <c r="R368" s="7" t="s">
        <v>754</v>
      </c>
      <c r="S368" s="7" t="s">
        <v>31</v>
      </c>
    </row>
    <row r="369" spans="1:19">
      <c r="A369" s="5" t="s">
        <v>755</v>
      </c>
      <c r="B369" s="4">
        <v>1</v>
      </c>
      <c r="C369">
        <v>1</v>
      </c>
      <c r="D369" s="14">
        <v>2</v>
      </c>
      <c r="E369" s="4">
        <v>1</v>
      </c>
      <c r="F369">
        <v>0</v>
      </c>
      <c r="G369" s="14">
        <v>1</v>
      </c>
      <c r="H369" s="4">
        <v>1</v>
      </c>
      <c r="I369">
        <v>0</v>
      </c>
      <c r="J369" s="14">
        <v>1</v>
      </c>
      <c r="K369">
        <f t="shared" si="15"/>
        <v>1</v>
      </c>
      <c r="L369" s="4">
        <v>1</v>
      </c>
      <c r="M369">
        <f t="shared" si="16"/>
        <v>1</v>
      </c>
      <c r="N369">
        <f t="shared" si="17"/>
        <v>2</v>
      </c>
      <c r="R369" s="7" t="s">
        <v>756</v>
      </c>
      <c r="S369" s="7" t="s">
        <v>34</v>
      </c>
    </row>
    <row r="370" spans="1:19">
      <c r="A370" s="5" t="s">
        <v>757</v>
      </c>
      <c r="B370" s="4">
        <v>0</v>
      </c>
      <c r="C370">
        <v>1</v>
      </c>
      <c r="D370" s="14">
        <v>1</v>
      </c>
      <c r="E370" s="4">
        <v>0</v>
      </c>
      <c r="F370">
        <v>0</v>
      </c>
      <c r="G370" s="14">
        <v>0</v>
      </c>
      <c r="H370" s="4">
        <v>0</v>
      </c>
      <c r="I370">
        <v>1</v>
      </c>
      <c r="J370" s="14">
        <v>1</v>
      </c>
      <c r="K370">
        <f t="shared" si="15"/>
        <v>0</v>
      </c>
      <c r="L370" s="4">
        <v>0</v>
      </c>
      <c r="M370">
        <f t="shared" si="16"/>
        <v>1</v>
      </c>
      <c r="N370">
        <f t="shared" si="17"/>
        <v>1</v>
      </c>
      <c r="R370" s="7" t="s">
        <v>758</v>
      </c>
      <c r="S370" s="7" t="s">
        <v>37</v>
      </c>
    </row>
    <row r="371" spans="1:19">
      <c r="A371" s="5" t="s">
        <v>759</v>
      </c>
      <c r="B371" s="4">
        <v>0</v>
      </c>
      <c r="C371">
        <v>0</v>
      </c>
      <c r="D371" s="14">
        <v>0</v>
      </c>
      <c r="E371" s="4">
        <v>0</v>
      </c>
      <c r="F371">
        <v>1</v>
      </c>
      <c r="G371" s="14">
        <v>1</v>
      </c>
      <c r="H371" s="4">
        <v>0</v>
      </c>
      <c r="I371">
        <v>1</v>
      </c>
      <c r="J371" s="14">
        <v>1</v>
      </c>
      <c r="K371">
        <f t="shared" si="15"/>
        <v>-2</v>
      </c>
      <c r="L371" s="4">
        <v>0</v>
      </c>
      <c r="M371">
        <f t="shared" si="16"/>
        <v>0</v>
      </c>
      <c r="N371">
        <f t="shared" si="17"/>
        <v>0</v>
      </c>
      <c r="R371" s="7" t="s">
        <v>760</v>
      </c>
      <c r="S371" s="7" t="s">
        <v>40</v>
      </c>
    </row>
    <row r="372" spans="1:19">
      <c r="A372" s="5" t="s">
        <v>761</v>
      </c>
      <c r="B372" s="4">
        <v>1</v>
      </c>
      <c r="C372">
        <v>1</v>
      </c>
      <c r="D372" s="14">
        <v>2</v>
      </c>
      <c r="E372" s="4">
        <v>1</v>
      </c>
      <c r="F372">
        <v>0</v>
      </c>
      <c r="G372" s="14">
        <v>1</v>
      </c>
      <c r="H372" s="4">
        <v>1</v>
      </c>
      <c r="I372">
        <v>0</v>
      </c>
      <c r="J372" s="14">
        <v>1</v>
      </c>
      <c r="K372">
        <f t="shared" si="15"/>
        <v>1</v>
      </c>
      <c r="L372" s="4">
        <v>1</v>
      </c>
      <c r="M372">
        <f t="shared" si="16"/>
        <v>1</v>
      </c>
      <c r="N372">
        <f t="shared" si="17"/>
        <v>2</v>
      </c>
      <c r="R372" s="7" t="s">
        <v>762</v>
      </c>
      <c r="S372" s="7" t="s">
        <v>31</v>
      </c>
    </row>
    <row r="373" spans="1:19">
      <c r="A373" s="5" t="s">
        <v>763</v>
      </c>
      <c r="B373" s="4">
        <v>1</v>
      </c>
      <c r="C373">
        <v>0</v>
      </c>
      <c r="D373" s="14">
        <v>1</v>
      </c>
      <c r="E373" s="4">
        <v>1</v>
      </c>
      <c r="F373">
        <v>0</v>
      </c>
      <c r="G373" s="14">
        <v>1</v>
      </c>
      <c r="H373" s="4">
        <v>1</v>
      </c>
      <c r="I373">
        <v>0</v>
      </c>
      <c r="J373" s="14">
        <v>1</v>
      </c>
      <c r="K373">
        <f t="shared" si="15"/>
        <v>0</v>
      </c>
      <c r="L373" s="4">
        <v>1</v>
      </c>
      <c r="M373">
        <f t="shared" si="16"/>
        <v>1</v>
      </c>
      <c r="N373">
        <f t="shared" si="17"/>
        <v>2</v>
      </c>
      <c r="R373" s="7" t="s">
        <v>764</v>
      </c>
      <c r="S373" s="7" t="s">
        <v>16</v>
      </c>
    </row>
    <row r="374" spans="1:19">
      <c r="A374" s="5" t="s">
        <v>765</v>
      </c>
      <c r="B374" s="4">
        <v>1</v>
      </c>
      <c r="C374">
        <v>0</v>
      </c>
      <c r="D374" s="14">
        <v>1</v>
      </c>
      <c r="E374" s="4">
        <v>1</v>
      </c>
      <c r="F374">
        <v>0</v>
      </c>
      <c r="G374" s="14">
        <v>1</v>
      </c>
      <c r="H374" s="4">
        <v>1</v>
      </c>
      <c r="I374">
        <v>0</v>
      </c>
      <c r="J374" s="14">
        <v>1</v>
      </c>
      <c r="K374">
        <f t="shared" si="15"/>
        <v>0</v>
      </c>
      <c r="L374" s="4">
        <v>1</v>
      </c>
      <c r="M374">
        <f t="shared" si="16"/>
        <v>1</v>
      </c>
      <c r="N374">
        <f t="shared" si="17"/>
        <v>2</v>
      </c>
      <c r="R374" s="7" t="s">
        <v>766</v>
      </c>
      <c r="S374" s="7" t="s">
        <v>19</v>
      </c>
    </row>
    <row r="375" spans="1:19">
      <c r="A375" s="5" t="s">
        <v>767</v>
      </c>
      <c r="B375" s="4">
        <v>1</v>
      </c>
      <c r="C375">
        <v>0</v>
      </c>
      <c r="D375" s="14">
        <v>1</v>
      </c>
      <c r="E375" s="4">
        <v>1</v>
      </c>
      <c r="F375">
        <v>0</v>
      </c>
      <c r="G375" s="14">
        <v>1</v>
      </c>
      <c r="H375" s="4">
        <v>1</v>
      </c>
      <c r="I375">
        <v>0</v>
      </c>
      <c r="J375" s="14">
        <v>1</v>
      </c>
      <c r="K375">
        <f t="shared" si="15"/>
        <v>0</v>
      </c>
      <c r="L375" s="4">
        <v>1</v>
      </c>
      <c r="M375">
        <f t="shared" si="16"/>
        <v>1</v>
      </c>
      <c r="N375">
        <f t="shared" si="17"/>
        <v>2</v>
      </c>
      <c r="R375" s="7" t="s">
        <v>768</v>
      </c>
      <c r="S375" s="7" t="s">
        <v>22</v>
      </c>
    </row>
    <row r="376" spans="1:19">
      <c r="A376" s="5" t="s">
        <v>769</v>
      </c>
      <c r="B376" s="4">
        <v>0</v>
      </c>
      <c r="C376">
        <v>0</v>
      </c>
      <c r="D376" s="14">
        <v>0</v>
      </c>
      <c r="E376" s="4">
        <v>0</v>
      </c>
      <c r="F376">
        <v>0</v>
      </c>
      <c r="G376" s="14">
        <v>0</v>
      </c>
      <c r="H376" s="4">
        <v>0</v>
      </c>
      <c r="I376">
        <v>0</v>
      </c>
      <c r="J376" s="14">
        <v>0</v>
      </c>
      <c r="K376">
        <f t="shared" si="15"/>
        <v>0</v>
      </c>
      <c r="L376" s="4">
        <v>0</v>
      </c>
      <c r="M376">
        <f t="shared" si="16"/>
        <v>1</v>
      </c>
      <c r="N376">
        <f t="shared" si="17"/>
        <v>1</v>
      </c>
      <c r="R376" s="7" t="s">
        <v>770</v>
      </c>
      <c r="S376" s="7" t="s">
        <v>25</v>
      </c>
    </row>
    <row r="377" spans="1:19">
      <c r="A377" s="4" t="s">
        <v>771</v>
      </c>
      <c r="B377" s="16">
        <v>0</v>
      </c>
      <c r="C377" s="17">
        <v>0</v>
      </c>
      <c r="D377" s="15">
        <v>0</v>
      </c>
      <c r="E377" s="16">
        <v>0</v>
      </c>
      <c r="F377" s="17">
        <v>1</v>
      </c>
      <c r="G377" s="15">
        <v>1</v>
      </c>
      <c r="H377" s="16">
        <v>0</v>
      </c>
      <c r="I377" s="17">
        <v>1</v>
      </c>
      <c r="J377" s="15">
        <v>1</v>
      </c>
      <c r="K377">
        <f t="shared" si="15"/>
        <v>-2</v>
      </c>
      <c r="L377" s="16">
        <v>0</v>
      </c>
      <c r="M377">
        <f t="shared" si="16"/>
        <v>0</v>
      </c>
      <c r="N377">
        <f t="shared" si="17"/>
        <v>0</v>
      </c>
      <c r="R377" s="7" t="s">
        <v>772</v>
      </c>
      <c r="S377" s="7" t="s">
        <v>28</v>
      </c>
    </row>
    <row r="378" spans="1:19">
      <c r="A378" s="4" t="s">
        <v>773</v>
      </c>
      <c r="B378" s="16">
        <v>1</v>
      </c>
      <c r="C378" s="17">
        <v>0</v>
      </c>
      <c r="D378" s="15">
        <v>1</v>
      </c>
      <c r="E378" s="16">
        <v>1</v>
      </c>
      <c r="F378" s="17">
        <v>1</v>
      </c>
      <c r="G378" s="15">
        <v>2</v>
      </c>
      <c r="H378" s="16">
        <v>1</v>
      </c>
      <c r="I378" s="17">
        <v>0</v>
      </c>
      <c r="J378" s="15">
        <v>1</v>
      </c>
      <c r="K378">
        <f t="shared" si="15"/>
        <v>-1</v>
      </c>
      <c r="L378" s="16">
        <v>1</v>
      </c>
      <c r="M378">
        <f t="shared" si="16"/>
        <v>0</v>
      </c>
      <c r="N378">
        <f t="shared" si="17"/>
        <v>1</v>
      </c>
      <c r="R378" s="7" t="s">
        <v>774</v>
      </c>
      <c r="S378" s="7" t="s">
        <v>16</v>
      </c>
    </row>
    <row r="379" spans="1:19">
      <c r="A379" s="4" t="s">
        <v>775</v>
      </c>
      <c r="B379" s="16">
        <v>1</v>
      </c>
      <c r="C379" s="17">
        <v>0</v>
      </c>
      <c r="D379" s="15">
        <v>1</v>
      </c>
      <c r="E379" s="16">
        <v>1</v>
      </c>
      <c r="F379" s="17">
        <v>0</v>
      </c>
      <c r="G379" s="15">
        <v>1</v>
      </c>
      <c r="H379" s="16">
        <v>1</v>
      </c>
      <c r="I379" s="17">
        <v>0</v>
      </c>
      <c r="J379" s="15">
        <v>1</v>
      </c>
      <c r="K379">
        <f t="shared" si="15"/>
        <v>0</v>
      </c>
      <c r="L379" s="16">
        <v>1</v>
      </c>
      <c r="M379">
        <f t="shared" si="16"/>
        <v>1</v>
      </c>
      <c r="N379">
        <f t="shared" si="17"/>
        <v>2</v>
      </c>
      <c r="R379" s="7" t="s">
        <v>776</v>
      </c>
      <c r="S379" s="7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5"/>
  <sheetViews>
    <sheetView tabSelected="1" topLeftCell="A122" workbookViewId="0">
      <selection activeCell="K1" sqref="K$1:L$1048576"/>
    </sheetView>
  </sheetViews>
  <sheetFormatPr defaultColWidth="9" defaultRowHeight="13.5"/>
  <cols>
    <col min="1" max="1" width="11.625" customWidth="1"/>
    <col min="3" max="4" width="9" style="1"/>
    <col min="11" max="11" width="23.375" style="12" customWidth="1"/>
    <col min="12" max="12" width="9" style="12"/>
  </cols>
  <sheetData>
    <row r="1" spans="1:10">
      <c r="A1">
        <v>149</v>
      </c>
      <c r="C1"/>
      <c r="D1">
        <v>0.566666666666667</v>
      </c>
      <c r="G1">
        <v>0.54</v>
      </c>
      <c r="J1">
        <v>0.553333333333333</v>
      </c>
    </row>
    <row r="2" spans="1:12">
      <c r="A2" s="2" t="s">
        <v>0</v>
      </c>
      <c r="B2" s="8" t="s">
        <v>1</v>
      </c>
      <c r="C2" s="2" t="s">
        <v>2</v>
      </c>
      <c r="D2" s="3" t="s">
        <v>3</v>
      </c>
      <c r="E2" s="8" t="s">
        <v>1</v>
      </c>
      <c r="F2" s="13" t="s">
        <v>777</v>
      </c>
      <c r="G2" s="3" t="s">
        <v>778</v>
      </c>
      <c r="H2" s="8" t="s">
        <v>1</v>
      </c>
      <c r="I2" s="13" t="s">
        <v>779</v>
      </c>
      <c r="J2" s="3" t="s">
        <v>780</v>
      </c>
      <c r="K2" s="10" t="s">
        <v>12</v>
      </c>
      <c r="L2" s="10" t="s">
        <v>13</v>
      </c>
    </row>
    <row r="3" spans="1:12">
      <c r="A3" s="4" t="s">
        <v>20</v>
      </c>
      <c r="B3" s="4">
        <v>1</v>
      </c>
      <c r="C3" s="4">
        <v>0</v>
      </c>
      <c r="D3" s="14">
        <v>1</v>
      </c>
      <c r="E3" s="4">
        <v>1</v>
      </c>
      <c r="F3">
        <v>1</v>
      </c>
      <c r="G3" s="14">
        <v>2</v>
      </c>
      <c r="H3" s="4">
        <v>1</v>
      </c>
      <c r="I3">
        <v>1</v>
      </c>
      <c r="J3" s="14">
        <v>2</v>
      </c>
      <c r="K3" s="7" t="s">
        <v>21</v>
      </c>
      <c r="L3" s="7" t="s">
        <v>22</v>
      </c>
    </row>
    <row r="4" spans="1:12">
      <c r="A4" s="4" t="s">
        <v>26</v>
      </c>
      <c r="B4" s="4">
        <v>0</v>
      </c>
      <c r="C4" s="4">
        <v>0</v>
      </c>
      <c r="D4" s="14">
        <v>0</v>
      </c>
      <c r="E4" s="4">
        <v>0</v>
      </c>
      <c r="F4">
        <v>0</v>
      </c>
      <c r="G4" s="14">
        <v>0</v>
      </c>
      <c r="H4" s="4">
        <v>0</v>
      </c>
      <c r="I4">
        <v>1</v>
      </c>
      <c r="J4" s="14">
        <v>1</v>
      </c>
      <c r="K4" s="7" t="s">
        <v>27</v>
      </c>
      <c r="L4" s="7" t="s">
        <v>28</v>
      </c>
    </row>
    <row r="5" spans="1:12">
      <c r="A5" s="4" t="s">
        <v>32</v>
      </c>
      <c r="B5" s="9">
        <v>1</v>
      </c>
      <c r="C5" s="4">
        <v>1</v>
      </c>
      <c r="D5" s="14">
        <v>2</v>
      </c>
      <c r="E5" s="9">
        <v>1</v>
      </c>
      <c r="F5">
        <v>1</v>
      </c>
      <c r="G5" s="14">
        <v>2</v>
      </c>
      <c r="H5" s="9">
        <v>1</v>
      </c>
      <c r="I5">
        <v>1</v>
      </c>
      <c r="J5" s="14">
        <v>2</v>
      </c>
      <c r="K5" s="7" t="s">
        <v>33</v>
      </c>
      <c r="L5" s="7" t="s">
        <v>34</v>
      </c>
    </row>
    <row r="6" spans="1:12">
      <c r="A6" s="4" t="s">
        <v>41</v>
      </c>
      <c r="B6" s="4">
        <v>1</v>
      </c>
      <c r="C6" s="4">
        <v>0</v>
      </c>
      <c r="D6" s="14">
        <v>1</v>
      </c>
      <c r="E6" s="4">
        <v>1</v>
      </c>
      <c r="F6">
        <v>0</v>
      </c>
      <c r="G6" s="14">
        <v>1</v>
      </c>
      <c r="H6" s="4">
        <v>1</v>
      </c>
      <c r="I6">
        <v>1</v>
      </c>
      <c r="J6" s="14">
        <v>2</v>
      </c>
      <c r="K6" s="7" t="s">
        <v>42</v>
      </c>
      <c r="L6" s="7" t="s">
        <v>31</v>
      </c>
    </row>
    <row r="7" spans="1:12">
      <c r="A7" s="4" t="s">
        <v>45</v>
      </c>
      <c r="B7" s="4">
        <v>0</v>
      </c>
      <c r="C7" s="4">
        <v>0</v>
      </c>
      <c r="D7" s="14">
        <v>0</v>
      </c>
      <c r="E7" s="4">
        <v>0</v>
      </c>
      <c r="F7">
        <v>1</v>
      </c>
      <c r="G7" s="14">
        <v>1</v>
      </c>
      <c r="H7" s="4">
        <v>0</v>
      </c>
      <c r="I7">
        <v>0</v>
      </c>
      <c r="J7" s="14">
        <v>0</v>
      </c>
      <c r="K7" s="7" t="s">
        <v>46</v>
      </c>
      <c r="L7" s="7" t="s">
        <v>19</v>
      </c>
    </row>
    <row r="8" spans="1:12">
      <c r="A8" s="4" t="s">
        <v>49</v>
      </c>
      <c r="B8" s="4">
        <v>1</v>
      </c>
      <c r="C8" s="4">
        <v>0</v>
      </c>
      <c r="D8" s="14">
        <v>1</v>
      </c>
      <c r="E8" s="4">
        <v>1</v>
      </c>
      <c r="F8">
        <v>0</v>
      </c>
      <c r="G8" s="14">
        <v>1</v>
      </c>
      <c r="H8" s="4">
        <v>1</v>
      </c>
      <c r="I8">
        <v>1</v>
      </c>
      <c r="J8" s="14">
        <v>2</v>
      </c>
      <c r="K8" s="7" t="s">
        <v>50</v>
      </c>
      <c r="L8" s="7" t="s">
        <v>25</v>
      </c>
    </row>
    <row r="9" spans="1:12">
      <c r="A9" s="4" t="s">
        <v>55</v>
      </c>
      <c r="B9" s="4">
        <v>0</v>
      </c>
      <c r="C9" s="4">
        <v>0</v>
      </c>
      <c r="D9" s="14">
        <v>0</v>
      </c>
      <c r="E9" s="4">
        <v>0</v>
      </c>
      <c r="F9">
        <v>1</v>
      </c>
      <c r="G9" s="14">
        <v>1</v>
      </c>
      <c r="H9" s="4">
        <v>0</v>
      </c>
      <c r="I9">
        <v>0</v>
      </c>
      <c r="J9" s="14">
        <v>0</v>
      </c>
      <c r="K9" s="7" t="s">
        <v>56</v>
      </c>
      <c r="L9" s="7" t="s">
        <v>34</v>
      </c>
    </row>
    <row r="10" spans="1:12">
      <c r="A10" s="4" t="s">
        <v>59</v>
      </c>
      <c r="B10" s="4">
        <v>1</v>
      </c>
      <c r="C10" s="4">
        <v>1</v>
      </c>
      <c r="D10" s="14">
        <v>2</v>
      </c>
      <c r="E10" s="4">
        <v>1</v>
      </c>
      <c r="F10">
        <v>0</v>
      </c>
      <c r="G10" s="14">
        <v>1</v>
      </c>
      <c r="H10" s="4">
        <v>1</v>
      </c>
      <c r="I10">
        <v>1</v>
      </c>
      <c r="J10" s="14">
        <v>2</v>
      </c>
      <c r="K10" s="7" t="s">
        <v>60</v>
      </c>
      <c r="L10" s="7" t="s">
        <v>40</v>
      </c>
    </row>
    <row r="11" spans="1:12">
      <c r="A11" s="4" t="s">
        <v>73</v>
      </c>
      <c r="B11" s="4">
        <v>1</v>
      </c>
      <c r="C11" s="4">
        <v>0</v>
      </c>
      <c r="D11" s="14">
        <v>1</v>
      </c>
      <c r="E11" s="4">
        <v>1</v>
      </c>
      <c r="F11">
        <v>1</v>
      </c>
      <c r="G11" s="14">
        <v>2</v>
      </c>
      <c r="H11" s="4">
        <v>1</v>
      </c>
      <c r="I11">
        <v>0</v>
      </c>
      <c r="J11" s="14">
        <v>1</v>
      </c>
      <c r="K11" s="7" t="s">
        <v>74</v>
      </c>
      <c r="L11" s="7" t="s">
        <v>19</v>
      </c>
    </row>
    <row r="12" spans="1:12">
      <c r="A12" s="4" t="s">
        <v>77</v>
      </c>
      <c r="B12" s="4">
        <v>0</v>
      </c>
      <c r="C12" s="4">
        <v>0</v>
      </c>
      <c r="D12" s="14">
        <v>0</v>
      </c>
      <c r="E12" s="4">
        <v>0</v>
      </c>
      <c r="F12">
        <v>0</v>
      </c>
      <c r="G12" s="14">
        <v>0</v>
      </c>
      <c r="H12" s="4">
        <v>0</v>
      </c>
      <c r="I12">
        <v>1</v>
      </c>
      <c r="J12" s="14">
        <v>1</v>
      </c>
      <c r="K12" s="7" t="s">
        <v>78</v>
      </c>
      <c r="L12" s="7" t="s">
        <v>37</v>
      </c>
    </row>
    <row r="13" spans="1:12">
      <c r="A13" s="4" t="s">
        <v>87</v>
      </c>
      <c r="B13" s="4">
        <v>0</v>
      </c>
      <c r="C13" s="4">
        <v>0</v>
      </c>
      <c r="D13" s="14">
        <v>0</v>
      </c>
      <c r="E13" s="4">
        <v>0</v>
      </c>
      <c r="F13">
        <v>0</v>
      </c>
      <c r="G13" s="14">
        <v>0</v>
      </c>
      <c r="H13" s="4">
        <v>0</v>
      </c>
      <c r="I13">
        <v>1</v>
      </c>
      <c r="J13" s="14">
        <v>1</v>
      </c>
      <c r="K13" s="7" t="s">
        <v>88</v>
      </c>
      <c r="L13" s="7" t="s">
        <v>22</v>
      </c>
    </row>
    <row r="14" spans="1:12">
      <c r="A14" s="4" t="s">
        <v>91</v>
      </c>
      <c r="B14" s="4">
        <v>0</v>
      </c>
      <c r="C14" s="4">
        <v>1</v>
      </c>
      <c r="D14" s="14">
        <v>1</v>
      </c>
      <c r="E14" s="4">
        <v>0</v>
      </c>
      <c r="F14">
        <v>0</v>
      </c>
      <c r="G14" s="14">
        <v>0</v>
      </c>
      <c r="H14" s="4">
        <v>0</v>
      </c>
      <c r="I14">
        <v>0</v>
      </c>
      <c r="J14" s="14">
        <v>0</v>
      </c>
      <c r="K14" s="7" t="s">
        <v>92</v>
      </c>
      <c r="L14" s="7" t="s">
        <v>28</v>
      </c>
    </row>
    <row r="15" spans="1:12">
      <c r="A15" s="4" t="s">
        <v>97</v>
      </c>
      <c r="B15" s="4">
        <v>1</v>
      </c>
      <c r="C15" s="4">
        <v>1</v>
      </c>
      <c r="D15" s="14">
        <v>2</v>
      </c>
      <c r="E15" s="4">
        <v>1</v>
      </c>
      <c r="F15">
        <v>0</v>
      </c>
      <c r="G15" s="14">
        <v>1</v>
      </c>
      <c r="H15" s="4">
        <v>1</v>
      </c>
      <c r="I15">
        <v>1</v>
      </c>
      <c r="J15" s="14">
        <v>2</v>
      </c>
      <c r="K15" s="7" t="s">
        <v>98</v>
      </c>
      <c r="L15" s="7" t="s">
        <v>37</v>
      </c>
    </row>
    <row r="16" spans="1:12">
      <c r="A16" s="4" t="s">
        <v>101</v>
      </c>
      <c r="B16" s="4">
        <v>0</v>
      </c>
      <c r="C16" s="4">
        <v>0</v>
      </c>
      <c r="D16" s="14">
        <v>0</v>
      </c>
      <c r="E16" s="4">
        <v>0</v>
      </c>
      <c r="F16">
        <v>1</v>
      </c>
      <c r="G16" s="14">
        <v>1</v>
      </c>
      <c r="H16" s="4">
        <v>0</v>
      </c>
      <c r="I16">
        <v>0</v>
      </c>
      <c r="J16" s="14">
        <v>0</v>
      </c>
      <c r="K16" s="7" t="s">
        <v>102</v>
      </c>
      <c r="L16" s="7" t="s">
        <v>31</v>
      </c>
    </row>
    <row r="17" spans="1:12">
      <c r="A17" s="4" t="s">
        <v>105</v>
      </c>
      <c r="B17" s="4">
        <v>0</v>
      </c>
      <c r="C17" s="4">
        <v>0</v>
      </c>
      <c r="D17" s="14">
        <v>0</v>
      </c>
      <c r="E17" s="4">
        <v>0</v>
      </c>
      <c r="F17">
        <v>1</v>
      </c>
      <c r="G17" s="14">
        <v>1</v>
      </c>
      <c r="H17" s="4">
        <v>0</v>
      </c>
      <c r="I17">
        <v>0</v>
      </c>
      <c r="J17" s="14">
        <v>0</v>
      </c>
      <c r="K17" s="7" t="s">
        <v>106</v>
      </c>
      <c r="L17" s="7" t="s">
        <v>19</v>
      </c>
    </row>
    <row r="18" spans="1:12">
      <c r="A18" s="4" t="s">
        <v>111</v>
      </c>
      <c r="B18" s="4">
        <v>0</v>
      </c>
      <c r="C18" s="4">
        <v>0</v>
      </c>
      <c r="D18" s="14">
        <v>0</v>
      </c>
      <c r="E18" s="4">
        <v>0</v>
      </c>
      <c r="F18">
        <v>1</v>
      </c>
      <c r="G18" s="14">
        <v>1</v>
      </c>
      <c r="H18" s="4">
        <v>0</v>
      </c>
      <c r="I18">
        <v>0</v>
      </c>
      <c r="J18" s="14">
        <v>0</v>
      </c>
      <c r="K18" s="7" t="s">
        <v>112</v>
      </c>
      <c r="L18" s="7" t="s">
        <v>28</v>
      </c>
    </row>
    <row r="19" spans="1:12">
      <c r="A19" s="4" t="s">
        <v>115</v>
      </c>
      <c r="B19" s="4">
        <v>0</v>
      </c>
      <c r="C19" s="4">
        <v>1</v>
      </c>
      <c r="D19" s="14">
        <v>1</v>
      </c>
      <c r="E19" s="4">
        <v>0</v>
      </c>
      <c r="F19">
        <v>0</v>
      </c>
      <c r="G19" s="14">
        <v>0</v>
      </c>
      <c r="H19" s="4">
        <v>0</v>
      </c>
      <c r="I19">
        <v>1</v>
      </c>
      <c r="J19" s="14">
        <v>1</v>
      </c>
      <c r="K19" s="7" t="s">
        <v>116</v>
      </c>
      <c r="L19" s="7" t="s">
        <v>34</v>
      </c>
    </row>
    <row r="20" spans="1:12">
      <c r="A20" s="4" t="s">
        <v>119</v>
      </c>
      <c r="B20" s="4">
        <v>1</v>
      </c>
      <c r="C20" s="4">
        <v>1</v>
      </c>
      <c r="D20" s="14">
        <v>2</v>
      </c>
      <c r="E20" s="4">
        <v>1</v>
      </c>
      <c r="F20">
        <v>1</v>
      </c>
      <c r="G20" s="14">
        <v>2</v>
      </c>
      <c r="H20" s="4">
        <v>1</v>
      </c>
      <c r="I20">
        <v>1</v>
      </c>
      <c r="J20" s="14">
        <v>2</v>
      </c>
      <c r="K20" s="7" t="s">
        <v>120</v>
      </c>
      <c r="L20" s="7" t="s">
        <v>40</v>
      </c>
    </row>
    <row r="21" spans="1:12">
      <c r="A21" s="4" t="s">
        <v>125</v>
      </c>
      <c r="B21" s="4">
        <v>0</v>
      </c>
      <c r="C21" s="4">
        <v>1</v>
      </c>
      <c r="D21" s="14">
        <v>1</v>
      </c>
      <c r="E21" s="4">
        <v>0</v>
      </c>
      <c r="F21">
        <v>1</v>
      </c>
      <c r="G21" s="14">
        <v>1</v>
      </c>
      <c r="H21" s="4">
        <v>0</v>
      </c>
      <c r="I21">
        <v>0</v>
      </c>
      <c r="J21" s="14">
        <v>0</v>
      </c>
      <c r="K21" s="7" t="s">
        <v>126</v>
      </c>
      <c r="L21" s="7" t="s">
        <v>19</v>
      </c>
    </row>
    <row r="22" spans="1:12">
      <c r="A22" s="4" t="s">
        <v>129</v>
      </c>
      <c r="B22" s="4">
        <v>0</v>
      </c>
      <c r="C22" s="4">
        <v>0</v>
      </c>
      <c r="D22" s="14">
        <v>0</v>
      </c>
      <c r="E22" s="4">
        <v>0</v>
      </c>
      <c r="F22">
        <v>1</v>
      </c>
      <c r="G22" s="14">
        <v>1</v>
      </c>
      <c r="H22" s="4">
        <v>0</v>
      </c>
      <c r="I22">
        <v>1</v>
      </c>
      <c r="J22" s="14">
        <v>1</v>
      </c>
      <c r="K22" s="7" t="s">
        <v>130</v>
      </c>
      <c r="L22" s="7" t="s">
        <v>25</v>
      </c>
    </row>
    <row r="23" spans="1:12">
      <c r="A23" s="4" t="s">
        <v>133</v>
      </c>
      <c r="B23" s="4">
        <v>1</v>
      </c>
      <c r="C23" s="4">
        <v>0</v>
      </c>
      <c r="D23" s="14">
        <v>1</v>
      </c>
      <c r="E23" s="4">
        <v>1</v>
      </c>
      <c r="F23">
        <v>0</v>
      </c>
      <c r="G23" s="14">
        <v>1</v>
      </c>
      <c r="H23" s="4">
        <v>1</v>
      </c>
      <c r="I23">
        <v>1</v>
      </c>
      <c r="J23" s="14">
        <v>2</v>
      </c>
      <c r="K23" s="7" t="s">
        <v>134</v>
      </c>
      <c r="L23" s="7" t="s">
        <v>28</v>
      </c>
    </row>
    <row r="24" spans="1:12">
      <c r="A24" s="4" t="s">
        <v>139</v>
      </c>
      <c r="B24" s="4">
        <v>1</v>
      </c>
      <c r="C24" s="4">
        <v>0</v>
      </c>
      <c r="D24" s="14">
        <v>1</v>
      </c>
      <c r="E24" s="4">
        <v>1</v>
      </c>
      <c r="F24">
        <v>0</v>
      </c>
      <c r="G24" s="14">
        <v>1</v>
      </c>
      <c r="H24" s="4">
        <v>1</v>
      </c>
      <c r="I24">
        <v>1</v>
      </c>
      <c r="J24" s="14">
        <v>2</v>
      </c>
      <c r="K24" s="7" t="s">
        <v>140</v>
      </c>
      <c r="L24" s="7" t="s">
        <v>40</v>
      </c>
    </row>
    <row r="25" spans="1:12">
      <c r="A25" s="4" t="s">
        <v>143</v>
      </c>
      <c r="B25" s="4">
        <v>0</v>
      </c>
      <c r="C25" s="4">
        <v>0</v>
      </c>
      <c r="D25" s="14">
        <v>0</v>
      </c>
      <c r="E25" s="4">
        <v>0</v>
      </c>
      <c r="F25">
        <v>0</v>
      </c>
      <c r="G25" s="14">
        <v>0</v>
      </c>
      <c r="H25" s="4">
        <v>0</v>
      </c>
      <c r="I25">
        <v>1</v>
      </c>
      <c r="J25" s="14">
        <v>1</v>
      </c>
      <c r="K25" s="7" t="s">
        <v>144</v>
      </c>
      <c r="L25" s="7" t="s">
        <v>16</v>
      </c>
    </row>
    <row r="26" spans="1:12">
      <c r="A26" s="4" t="s">
        <v>147</v>
      </c>
      <c r="B26" s="4">
        <v>0</v>
      </c>
      <c r="C26" s="4">
        <v>1</v>
      </c>
      <c r="D26" s="14">
        <v>1</v>
      </c>
      <c r="E26" s="4">
        <v>0</v>
      </c>
      <c r="F26">
        <v>1</v>
      </c>
      <c r="G26" s="14">
        <v>1</v>
      </c>
      <c r="H26" s="4">
        <v>0</v>
      </c>
      <c r="I26">
        <v>1</v>
      </c>
      <c r="J26" s="14">
        <v>1</v>
      </c>
      <c r="K26" s="7" t="s">
        <v>148</v>
      </c>
      <c r="L26" s="7" t="s">
        <v>22</v>
      </c>
    </row>
    <row r="27" spans="1:12">
      <c r="A27" s="4" t="s">
        <v>153</v>
      </c>
      <c r="B27" s="4">
        <v>0</v>
      </c>
      <c r="C27" s="4">
        <v>0</v>
      </c>
      <c r="D27" s="14">
        <v>0</v>
      </c>
      <c r="E27" s="4">
        <v>0</v>
      </c>
      <c r="F27">
        <v>0</v>
      </c>
      <c r="G27" s="14">
        <v>0</v>
      </c>
      <c r="H27" s="4">
        <v>0</v>
      </c>
      <c r="I27">
        <v>0</v>
      </c>
      <c r="J27" s="14">
        <v>0</v>
      </c>
      <c r="K27" s="7" t="s">
        <v>154</v>
      </c>
      <c r="L27" s="7" t="s">
        <v>31</v>
      </c>
    </row>
    <row r="28" spans="1:12">
      <c r="A28" s="4" t="s">
        <v>157</v>
      </c>
      <c r="B28" s="4">
        <v>1</v>
      </c>
      <c r="C28" s="4">
        <v>1</v>
      </c>
      <c r="D28" s="14">
        <v>2</v>
      </c>
      <c r="E28" s="4">
        <v>1</v>
      </c>
      <c r="F28">
        <v>0</v>
      </c>
      <c r="G28" s="14">
        <v>1</v>
      </c>
      <c r="H28" s="4">
        <v>1</v>
      </c>
      <c r="I28">
        <v>0</v>
      </c>
      <c r="J28" s="14">
        <v>1</v>
      </c>
      <c r="K28" s="7" t="s">
        <v>158</v>
      </c>
      <c r="L28" s="7" t="s">
        <v>37</v>
      </c>
    </row>
    <row r="29" spans="1:12">
      <c r="A29" s="4" t="s">
        <v>163</v>
      </c>
      <c r="B29" s="4">
        <v>0</v>
      </c>
      <c r="C29" s="4">
        <v>0</v>
      </c>
      <c r="D29" s="14">
        <v>0</v>
      </c>
      <c r="E29" s="4">
        <v>0</v>
      </c>
      <c r="F29">
        <v>0</v>
      </c>
      <c r="G29" s="14">
        <v>0</v>
      </c>
      <c r="H29" s="4">
        <v>0</v>
      </c>
      <c r="I29">
        <v>0</v>
      </c>
      <c r="J29" s="14">
        <v>0</v>
      </c>
      <c r="K29" s="7" t="s">
        <v>164</v>
      </c>
      <c r="L29" s="7" t="s">
        <v>16</v>
      </c>
    </row>
    <row r="30" spans="1:12">
      <c r="A30" s="4" t="s">
        <v>167</v>
      </c>
      <c r="B30" s="4">
        <v>1</v>
      </c>
      <c r="C30" s="4">
        <v>0</v>
      </c>
      <c r="D30" s="14">
        <v>1</v>
      </c>
      <c r="E30" s="4">
        <v>1</v>
      </c>
      <c r="F30">
        <v>1</v>
      </c>
      <c r="G30" s="14">
        <v>2</v>
      </c>
      <c r="H30" s="4">
        <v>1</v>
      </c>
      <c r="I30">
        <v>0</v>
      </c>
      <c r="J30" s="14">
        <v>1</v>
      </c>
      <c r="K30" s="7" t="s">
        <v>168</v>
      </c>
      <c r="L30" s="7" t="s">
        <v>22</v>
      </c>
    </row>
    <row r="31" spans="1:12">
      <c r="A31" s="4" t="s">
        <v>171</v>
      </c>
      <c r="B31" s="4">
        <v>1</v>
      </c>
      <c r="C31" s="4">
        <v>0</v>
      </c>
      <c r="D31" s="14">
        <v>1</v>
      </c>
      <c r="E31" s="4">
        <v>1</v>
      </c>
      <c r="F31">
        <v>1</v>
      </c>
      <c r="G31" s="14">
        <v>2</v>
      </c>
      <c r="H31" s="4">
        <v>1</v>
      </c>
      <c r="I31">
        <v>1</v>
      </c>
      <c r="J31" s="14">
        <v>2</v>
      </c>
      <c r="K31" s="7" t="s">
        <v>172</v>
      </c>
      <c r="L31" s="7" t="s">
        <v>28</v>
      </c>
    </row>
    <row r="32" spans="1:12">
      <c r="A32" s="4" t="s">
        <v>175</v>
      </c>
      <c r="B32" s="4">
        <v>1</v>
      </c>
      <c r="C32" s="4">
        <v>1</v>
      </c>
      <c r="D32" s="14">
        <v>2</v>
      </c>
      <c r="E32" s="4">
        <v>1</v>
      </c>
      <c r="F32">
        <v>0</v>
      </c>
      <c r="G32" s="14">
        <v>1</v>
      </c>
      <c r="H32" s="4">
        <v>1</v>
      </c>
      <c r="I32">
        <v>1</v>
      </c>
      <c r="J32" s="14">
        <v>2</v>
      </c>
      <c r="K32" s="7" t="s">
        <v>176</v>
      </c>
      <c r="L32" s="7" t="s">
        <v>34</v>
      </c>
    </row>
    <row r="33" spans="1:12">
      <c r="A33" s="4" t="s">
        <v>181</v>
      </c>
      <c r="B33" s="4">
        <v>1</v>
      </c>
      <c r="C33" s="4">
        <v>1</v>
      </c>
      <c r="D33" s="14">
        <v>2</v>
      </c>
      <c r="E33" s="4">
        <v>1</v>
      </c>
      <c r="F33">
        <v>1</v>
      </c>
      <c r="G33" s="14">
        <v>2</v>
      </c>
      <c r="H33" s="4">
        <v>1</v>
      </c>
      <c r="I33">
        <v>1</v>
      </c>
      <c r="J33" s="14">
        <v>2</v>
      </c>
      <c r="K33" s="7" t="s">
        <v>182</v>
      </c>
      <c r="L33" s="7" t="s">
        <v>31</v>
      </c>
    </row>
    <row r="34" spans="1:12">
      <c r="A34" s="4" t="s">
        <v>185</v>
      </c>
      <c r="B34" s="4">
        <v>1</v>
      </c>
      <c r="C34" s="4">
        <v>1</v>
      </c>
      <c r="D34" s="14">
        <v>2</v>
      </c>
      <c r="E34" s="4">
        <v>1</v>
      </c>
      <c r="F34">
        <v>1</v>
      </c>
      <c r="G34" s="14">
        <v>2</v>
      </c>
      <c r="H34" s="4">
        <v>1</v>
      </c>
      <c r="I34">
        <v>1</v>
      </c>
      <c r="J34" s="14">
        <v>2</v>
      </c>
      <c r="K34" s="7" t="s">
        <v>186</v>
      </c>
      <c r="L34" s="7" t="s">
        <v>19</v>
      </c>
    </row>
    <row r="35" spans="1:12">
      <c r="A35" s="4" t="s">
        <v>189</v>
      </c>
      <c r="B35" s="4">
        <v>0</v>
      </c>
      <c r="C35" s="4">
        <v>0</v>
      </c>
      <c r="D35" s="14">
        <v>0</v>
      </c>
      <c r="E35" s="4">
        <v>0</v>
      </c>
      <c r="F35">
        <v>1</v>
      </c>
      <c r="G35" s="14">
        <v>1</v>
      </c>
      <c r="H35" s="4">
        <v>0</v>
      </c>
      <c r="I35">
        <v>1</v>
      </c>
      <c r="J35" s="14">
        <v>1</v>
      </c>
      <c r="K35" s="7" t="s">
        <v>190</v>
      </c>
      <c r="L35" s="7" t="s">
        <v>25</v>
      </c>
    </row>
    <row r="36" spans="1:12">
      <c r="A36" s="4" t="s">
        <v>195</v>
      </c>
      <c r="B36" s="4">
        <v>1</v>
      </c>
      <c r="C36" s="4">
        <v>1</v>
      </c>
      <c r="D36" s="14">
        <v>2</v>
      </c>
      <c r="E36" s="4">
        <v>1</v>
      </c>
      <c r="F36">
        <v>1</v>
      </c>
      <c r="G36" s="14">
        <v>2</v>
      </c>
      <c r="H36" s="4">
        <v>1</v>
      </c>
      <c r="I36">
        <v>0</v>
      </c>
      <c r="J36" s="14">
        <v>1</v>
      </c>
      <c r="K36" s="7" t="s">
        <v>196</v>
      </c>
      <c r="L36" s="7" t="s">
        <v>34</v>
      </c>
    </row>
    <row r="37" spans="1:12">
      <c r="A37" s="4" t="s">
        <v>199</v>
      </c>
      <c r="B37" s="4">
        <v>1</v>
      </c>
      <c r="C37" s="4">
        <v>0</v>
      </c>
      <c r="D37" s="14">
        <v>1</v>
      </c>
      <c r="E37" s="4">
        <v>1</v>
      </c>
      <c r="F37">
        <v>1</v>
      </c>
      <c r="G37" s="14">
        <v>2</v>
      </c>
      <c r="H37" s="4">
        <v>1</v>
      </c>
      <c r="I37">
        <v>1</v>
      </c>
      <c r="J37" s="14">
        <v>2</v>
      </c>
      <c r="K37" s="7" t="s">
        <v>200</v>
      </c>
      <c r="L37" s="7" t="s">
        <v>40</v>
      </c>
    </row>
    <row r="38" spans="1:12">
      <c r="A38" s="4" t="s">
        <v>203</v>
      </c>
      <c r="B38" s="4">
        <v>1</v>
      </c>
      <c r="C38" s="4">
        <v>0</v>
      </c>
      <c r="D38" s="14">
        <v>1</v>
      </c>
      <c r="E38" s="4">
        <v>1</v>
      </c>
      <c r="F38">
        <v>0</v>
      </c>
      <c r="G38" s="14">
        <v>1</v>
      </c>
      <c r="H38" s="4">
        <v>1</v>
      </c>
      <c r="I38">
        <v>1</v>
      </c>
      <c r="J38" s="14">
        <v>2</v>
      </c>
      <c r="K38" s="7" t="s">
        <v>204</v>
      </c>
      <c r="L38" s="7" t="s">
        <v>16</v>
      </c>
    </row>
    <row r="39" spans="1:12">
      <c r="A39" s="4" t="s">
        <v>209</v>
      </c>
      <c r="B39" s="4">
        <v>1</v>
      </c>
      <c r="C39" s="4">
        <v>0</v>
      </c>
      <c r="D39" s="14">
        <v>1</v>
      </c>
      <c r="E39" s="4">
        <v>1</v>
      </c>
      <c r="F39">
        <v>0</v>
      </c>
      <c r="G39" s="14">
        <v>1</v>
      </c>
      <c r="H39" s="4">
        <v>1</v>
      </c>
      <c r="I39">
        <v>1</v>
      </c>
      <c r="J39" s="14">
        <v>2</v>
      </c>
      <c r="K39" s="7" t="s">
        <v>210</v>
      </c>
      <c r="L39" s="7" t="s">
        <v>25</v>
      </c>
    </row>
    <row r="40" spans="1:12">
      <c r="A40" s="4" t="s">
        <v>217</v>
      </c>
      <c r="B40" s="4">
        <v>0</v>
      </c>
      <c r="C40" s="4">
        <v>1</v>
      </c>
      <c r="D40" s="14">
        <v>1</v>
      </c>
      <c r="E40" s="4">
        <v>0</v>
      </c>
      <c r="F40">
        <v>0</v>
      </c>
      <c r="G40" s="14">
        <v>0</v>
      </c>
      <c r="H40" s="4">
        <v>0</v>
      </c>
      <c r="I40">
        <v>0</v>
      </c>
      <c r="J40" s="14">
        <v>0</v>
      </c>
      <c r="K40" s="7" t="s">
        <v>218</v>
      </c>
      <c r="L40" s="7" t="s">
        <v>37</v>
      </c>
    </row>
    <row r="41" spans="1:12">
      <c r="A41" s="4" t="s">
        <v>223</v>
      </c>
      <c r="B41" s="4">
        <v>1</v>
      </c>
      <c r="C41" s="4">
        <v>0</v>
      </c>
      <c r="D41" s="14">
        <v>1</v>
      </c>
      <c r="E41" s="4">
        <v>1</v>
      </c>
      <c r="F41">
        <v>1</v>
      </c>
      <c r="G41" s="14">
        <v>2</v>
      </c>
      <c r="H41" s="4">
        <v>1</v>
      </c>
      <c r="I41">
        <v>0</v>
      </c>
      <c r="J41" s="14">
        <v>1</v>
      </c>
      <c r="K41" s="7" t="s">
        <v>224</v>
      </c>
      <c r="L41" s="7" t="s">
        <v>16</v>
      </c>
    </row>
    <row r="42" spans="1:12">
      <c r="A42" s="4" t="s">
        <v>227</v>
      </c>
      <c r="B42" s="4">
        <v>0</v>
      </c>
      <c r="C42" s="4">
        <v>0</v>
      </c>
      <c r="D42" s="14">
        <v>0</v>
      </c>
      <c r="E42" s="4">
        <v>0</v>
      </c>
      <c r="F42">
        <v>0</v>
      </c>
      <c r="G42" s="14">
        <v>0</v>
      </c>
      <c r="H42" s="4">
        <v>0</v>
      </c>
      <c r="I42">
        <v>1</v>
      </c>
      <c r="J42" s="14">
        <v>1</v>
      </c>
      <c r="K42" s="7" t="s">
        <v>228</v>
      </c>
      <c r="L42" s="7" t="s">
        <v>22</v>
      </c>
    </row>
    <row r="43" spans="1:12">
      <c r="A43" s="4" t="s">
        <v>233</v>
      </c>
      <c r="B43" s="4">
        <v>1</v>
      </c>
      <c r="C43" s="4">
        <v>0</v>
      </c>
      <c r="D43" s="14">
        <v>1</v>
      </c>
      <c r="E43" s="4">
        <v>1</v>
      </c>
      <c r="F43">
        <v>0</v>
      </c>
      <c r="G43" s="14">
        <v>1</v>
      </c>
      <c r="H43" s="4">
        <v>1</v>
      </c>
      <c r="I43">
        <v>0</v>
      </c>
      <c r="J43" s="14">
        <v>1</v>
      </c>
      <c r="K43" s="7" t="s">
        <v>234</v>
      </c>
      <c r="L43" s="7" t="s">
        <v>25</v>
      </c>
    </row>
    <row r="44" spans="1:12">
      <c r="A44" s="4" t="s">
        <v>237</v>
      </c>
      <c r="B44" s="4">
        <v>1</v>
      </c>
      <c r="C44" s="4">
        <v>0</v>
      </c>
      <c r="D44" s="14">
        <v>1</v>
      </c>
      <c r="E44" s="4">
        <v>1</v>
      </c>
      <c r="F44">
        <v>0</v>
      </c>
      <c r="G44" s="14">
        <v>1</v>
      </c>
      <c r="H44" s="4">
        <v>1</v>
      </c>
      <c r="I44">
        <v>0</v>
      </c>
      <c r="J44" s="14">
        <v>1</v>
      </c>
      <c r="K44" s="7" t="s">
        <v>238</v>
      </c>
      <c r="L44" s="7" t="s">
        <v>37</v>
      </c>
    </row>
    <row r="45" spans="1:12">
      <c r="A45" s="4" t="s">
        <v>241</v>
      </c>
      <c r="B45" s="4">
        <v>0</v>
      </c>
      <c r="C45" s="4">
        <v>0</v>
      </c>
      <c r="D45" s="14">
        <v>0</v>
      </c>
      <c r="E45" s="4">
        <v>0</v>
      </c>
      <c r="F45">
        <v>1</v>
      </c>
      <c r="G45" s="14">
        <v>1</v>
      </c>
      <c r="H45" s="4">
        <v>0</v>
      </c>
      <c r="I45">
        <v>1</v>
      </c>
      <c r="J45" s="14">
        <v>1</v>
      </c>
      <c r="K45" s="7" t="s">
        <v>242</v>
      </c>
      <c r="L45" s="7" t="s">
        <v>31</v>
      </c>
    </row>
    <row r="46" spans="1:12">
      <c r="A46" s="4" t="s">
        <v>245</v>
      </c>
      <c r="B46" s="4">
        <v>1</v>
      </c>
      <c r="C46" s="4">
        <v>0</v>
      </c>
      <c r="D46" s="14">
        <v>1</v>
      </c>
      <c r="E46" s="4">
        <v>1</v>
      </c>
      <c r="F46">
        <v>0</v>
      </c>
      <c r="G46" s="14">
        <v>1</v>
      </c>
      <c r="H46" s="4">
        <v>1</v>
      </c>
      <c r="I46">
        <v>0</v>
      </c>
      <c r="J46" s="14">
        <v>1</v>
      </c>
      <c r="K46" s="7" t="s">
        <v>246</v>
      </c>
      <c r="L46" s="7" t="s">
        <v>19</v>
      </c>
    </row>
    <row r="47" spans="1:12">
      <c r="A47" s="4" t="s">
        <v>251</v>
      </c>
      <c r="B47" s="4">
        <v>0</v>
      </c>
      <c r="C47" s="4">
        <v>0</v>
      </c>
      <c r="D47" s="14">
        <v>0</v>
      </c>
      <c r="E47" s="4">
        <v>0</v>
      </c>
      <c r="F47">
        <v>0</v>
      </c>
      <c r="G47" s="14">
        <v>0</v>
      </c>
      <c r="H47" s="4">
        <v>0</v>
      </c>
      <c r="I47">
        <v>1</v>
      </c>
      <c r="J47" s="14">
        <v>1</v>
      </c>
      <c r="K47" s="7" t="s">
        <v>252</v>
      </c>
      <c r="L47" s="7" t="s">
        <v>28</v>
      </c>
    </row>
    <row r="48" spans="1:12">
      <c r="A48" s="4" t="s">
        <v>255</v>
      </c>
      <c r="B48" s="4">
        <v>1</v>
      </c>
      <c r="C48" s="4">
        <v>1</v>
      </c>
      <c r="D48" s="14">
        <v>2</v>
      </c>
      <c r="E48" s="4">
        <v>1</v>
      </c>
      <c r="F48">
        <v>1</v>
      </c>
      <c r="G48" s="14">
        <v>2</v>
      </c>
      <c r="H48" s="4">
        <v>1</v>
      </c>
      <c r="I48">
        <v>1</v>
      </c>
      <c r="J48" s="14">
        <v>2</v>
      </c>
      <c r="K48" s="7" t="s">
        <v>256</v>
      </c>
      <c r="L48" s="7" t="s">
        <v>34</v>
      </c>
    </row>
    <row r="49" spans="1:12">
      <c r="A49" s="4" t="s">
        <v>259</v>
      </c>
      <c r="B49" s="4">
        <v>0</v>
      </c>
      <c r="C49" s="4">
        <v>1</v>
      </c>
      <c r="D49" s="14">
        <v>1</v>
      </c>
      <c r="E49" s="4">
        <v>0</v>
      </c>
      <c r="F49">
        <v>0</v>
      </c>
      <c r="G49" s="14">
        <v>0</v>
      </c>
      <c r="H49" s="4">
        <v>0</v>
      </c>
      <c r="I49">
        <v>0</v>
      </c>
      <c r="J49" s="14">
        <v>0</v>
      </c>
      <c r="K49" s="7" t="s">
        <v>260</v>
      </c>
      <c r="L49" s="7" t="s">
        <v>40</v>
      </c>
    </row>
    <row r="50" spans="1:12">
      <c r="A50" s="4" t="s">
        <v>265</v>
      </c>
      <c r="B50" s="4">
        <v>1</v>
      </c>
      <c r="C50" s="4">
        <v>0</v>
      </c>
      <c r="D50" s="14">
        <v>1</v>
      </c>
      <c r="E50" s="4">
        <v>1</v>
      </c>
      <c r="F50">
        <v>1</v>
      </c>
      <c r="G50" s="14">
        <v>2</v>
      </c>
      <c r="H50" s="4">
        <v>1</v>
      </c>
      <c r="I50">
        <v>0</v>
      </c>
      <c r="J50" s="14">
        <v>1</v>
      </c>
      <c r="K50" s="7" t="s">
        <v>266</v>
      </c>
      <c r="L50" s="7" t="s">
        <v>19</v>
      </c>
    </row>
    <row r="51" spans="1:12">
      <c r="A51" s="4" t="s">
        <v>269</v>
      </c>
      <c r="B51" s="4">
        <v>0</v>
      </c>
      <c r="C51" s="4">
        <v>0</v>
      </c>
      <c r="D51" s="14">
        <v>0</v>
      </c>
      <c r="E51" s="4">
        <v>0</v>
      </c>
      <c r="F51">
        <v>0</v>
      </c>
      <c r="G51" s="14">
        <v>0</v>
      </c>
      <c r="H51" s="4">
        <v>0</v>
      </c>
      <c r="I51">
        <v>0</v>
      </c>
      <c r="J51" s="14">
        <v>0</v>
      </c>
      <c r="K51" s="7" t="s">
        <v>270</v>
      </c>
      <c r="L51" s="7" t="s">
        <v>25</v>
      </c>
    </row>
    <row r="52" spans="1:12">
      <c r="A52" s="4" t="s">
        <v>273</v>
      </c>
      <c r="B52" s="4">
        <v>1</v>
      </c>
      <c r="C52" s="4">
        <v>0</v>
      </c>
      <c r="D52" s="14">
        <v>1</v>
      </c>
      <c r="E52" s="4">
        <v>1</v>
      </c>
      <c r="F52">
        <v>1</v>
      </c>
      <c r="G52" s="14">
        <v>2</v>
      </c>
      <c r="H52" s="4">
        <v>1</v>
      </c>
      <c r="I52">
        <v>1</v>
      </c>
      <c r="J52" s="14">
        <v>2</v>
      </c>
      <c r="K52" s="7" t="s">
        <v>274</v>
      </c>
      <c r="L52" s="7" t="s">
        <v>31</v>
      </c>
    </row>
    <row r="53" spans="1:12">
      <c r="A53" s="4" t="s">
        <v>279</v>
      </c>
      <c r="B53" s="4">
        <v>0</v>
      </c>
      <c r="C53" s="4">
        <v>1</v>
      </c>
      <c r="D53" s="14">
        <v>1</v>
      </c>
      <c r="E53" s="4">
        <v>0</v>
      </c>
      <c r="F53">
        <v>1</v>
      </c>
      <c r="G53" s="14">
        <v>1</v>
      </c>
      <c r="H53" s="4">
        <v>0</v>
      </c>
      <c r="I53">
        <v>0</v>
      </c>
      <c r="J53" s="14">
        <v>0</v>
      </c>
      <c r="K53" s="7" t="s">
        <v>280</v>
      </c>
      <c r="L53" s="7" t="s">
        <v>40</v>
      </c>
    </row>
    <row r="54" spans="1:12">
      <c r="A54" s="4" t="s">
        <v>283</v>
      </c>
      <c r="B54" s="4">
        <v>0</v>
      </c>
      <c r="C54" s="4">
        <v>0</v>
      </c>
      <c r="D54" s="14">
        <v>0</v>
      </c>
      <c r="E54" s="4">
        <v>0</v>
      </c>
      <c r="F54">
        <v>1</v>
      </c>
      <c r="G54" s="14">
        <v>1</v>
      </c>
      <c r="H54" s="4">
        <v>0</v>
      </c>
      <c r="I54">
        <v>0</v>
      </c>
      <c r="J54" s="14">
        <v>0</v>
      </c>
      <c r="K54" s="7" t="s">
        <v>284</v>
      </c>
      <c r="L54" s="7" t="s">
        <v>16</v>
      </c>
    </row>
    <row r="55" spans="1:12">
      <c r="A55" s="4" t="s">
        <v>289</v>
      </c>
      <c r="B55" s="4">
        <v>0</v>
      </c>
      <c r="C55" s="4">
        <v>0</v>
      </c>
      <c r="D55" s="14">
        <v>0</v>
      </c>
      <c r="E55" s="4">
        <v>0</v>
      </c>
      <c r="F55">
        <v>1</v>
      </c>
      <c r="G55" s="14">
        <v>1</v>
      </c>
      <c r="H55" s="4">
        <v>0</v>
      </c>
      <c r="I55">
        <v>0</v>
      </c>
      <c r="J55" s="14">
        <v>0</v>
      </c>
      <c r="K55" s="7" t="s">
        <v>290</v>
      </c>
      <c r="L55" s="7" t="s">
        <v>25</v>
      </c>
    </row>
    <row r="56" spans="1:12">
      <c r="A56" s="4" t="s">
        <v>293</v>
      </c>
      <c r="B56" s="4">
        <v>0</v>
      </c>
      <c r="C56" s="4">
        <v>0</v>
      </c>
      <c r="D56" s="14">
        <v>0</v>
      </c>
      <c r="E56" s="4">
        <v>0</v>
      </c>
      <c r="F56">
        <v>0</v>
      </c>
      <c r="G56" s="14">
        <v>0</v>
      </c>
      <c r="H56" s="4">
        <v>0</v>
      </c>
      <c r="I56">
        <v>1</v>
      </c>
      <c r="J56" s="14">
        <v>1</v>
      </c>
      <c r="K56" s="7" t="s">
        <v>294</v>
      </c>
      <c r="L56" s="7" t="s">
        <v>16</v>
      </c>
    </row>
    <row r="57" spans="1:12">
      <c r="A57" s="4" t="s">
        <v>297</v>
      </c>
      <c r="B57" s="4">
        <v>1</v>
      </c>
      <c r="C57" s="4">
        <v>0</v>
      </c>
      <c r="D57" s="14">
        <v>1</v>
      </c>
      <c r="E57" s="4">
        <v>1</v>
      </c>
      <c r="F57">
        <v>1</v>
      </c>
      <c r="G57" s="14">
        <v>2</v>
      </c>
      <c r="H57" s="4">
        <v>1</v>
      </c>
      <c r="I57">
        <v>0</v>
      </c>
      <c r="J57" s="14">
        <v>1</v>
      </c>
      <c r="K57" s="7" t="s">
        <v>298</v>
      </c>
      <c r="L57" s="7" t="s">
        <v>37</v>
      </c>
    </row>
    <row r="58" spans="1:12">
      <c r="A58" s="4" t="s">
        <v>301</v>
      </c>
      <c r="B58" s="4">
        <v>0</v>
      </c>
      <c r="C58" s="4">
        <v>1</v>
      </c>
      <c r="D58" s="14">
        <v>1</v>
      </c>
      <c r="E58" s="4">
        <v>0</v>
      </c>
      <c r="F58">
        <v>1</v>
      </c>
      <c r="G58" s="14">
        <v>1</v>
      </c>
      <c r="H58" s="4">
        <v>0</v>
      </c>
      <c r="I58">
        <v>1</v>
      </c>
      <c r="J58" s="14">
        <v>1</v>
      </c>
      <c r="K58" s="7" t="s">
        <v>302</v>
      </c>
      <c r="L58" s="7" t="s">
        <v>31</v>
      </c>
    </row>
    <row r="59" spans="1:12">
      <c r="A59" s="4" t="s">
        <v>307</v>
      </c>
      <c r="B59" s="4">
        <v>1</v>
      </c>
      <c r="C59" s="4">
        <v>1</v>
      </c>
      <c r="D59" s="14">
        <v>2</v>
      </c>
      <c r="E59" s="4">
        <v>1</v>
      </c>
      <c r="F59">
        <v>1</v>
      </c>
      <c r="G59" s="14">
        <v>2</v>
      </c>
      <c r="H59" s="4">
        <v>1</v>
      </c>
      <c r="I59">
        <v>0</v>
      </c>
      <c r="J59" s="14">
        <v>1</v>
      </c>
      <c r="K59" s="7" t="s">
        <v>308</v>
      </c>
      <c r="L59" s="7" t="s">
        <v>22</v>
      </c>
    </row>
    <row r="60" spans="1:12">
      <c r="A60" s="4" t="s">
        <v>311</v>
      </c>
      <c r="B60" s="4">
        <v>1</v>
      </c>
      <c r="C60" s="4">
        <v>1</v>
      </c>
      <c r="D60" s="14">
        <v>2</v>
      </c>
      <c r="E60" s="4">
        <v>1</v>
      </c>
      <c r="F60">
        <v>1</v>
      </c>
      <c r="G60" s="14">
        <v>2</v>
      </c>
      <c r="H60" s="4">
        <v>1</v>
      </c>
      <c r="I60">
        <v>1</v>
      </c>
      <c r="J60" s="14">
        <v>2</v>
      </c>
      <c r="K60" s="7" t="s">
        <v>312</v>
      </c>
      <c r="L60" s="7" t="s">
        <v>28</v>
      </c>
    </row>
    <row r="61" spans="1:12">
      <c r="A61" s="4" t="s">
        <v>315</v>
      </c>
      <c r="B61" s="4">
        <v>1</v>
      </c>
      <c r="C61" s="4">
        <v>1</v>
      </c>
      <c r="D61" s="14">
        <v>2</v>
      </c>
      <c r="E61" s="4">
        <v>1</v>
      </c>
      <c r="F61">
        <v>0</v>
      </c>
      <c r="G61" s="14">
        <v>1</v>
      </c>
      <c r="H61" s="4">
        <v>1</v>
      </c>
      <c r="I61">
        <v>1</v>
      </c>
      <c r="J61" s="14">
        <v>2</v>
      </c>
      <c r="K61" s="7" t="s">
        <v>316</v>
      </c>
      <c r="L61" s="7" t="s">
        <v>34</v>
      </c>
    </row>
    <row r="62" spans="1:12">
      <c r="A62" s="4" t="s">
        <v>321</v>
      </c>
      <c r="B62" s="4">
        <v>1</v>
      </c>
      <c r="C62" s="4">
        <v>0</v>
      </c>
      <c r="D62" s="14">
        <v>1</v>
      </c>
      <c r="E62" s="4">
        <v>1</v>
      </c>
      <c r="F62">
        <v>0</v>
      </c>
      <c r="G62" s="14">
        <v>1</v>
      </c>
      <c r="H62" s="4">
        <v>1</v>
      </c>
      <c r="I62">
        <v>1</v>
      </c>
      <c r="J62" s="14">
        <v>2</v>
      </c>
      <c r="K62" s="7" t="s">
        <v>322</v>
      </c>
      <c r="L62" s="7" t="s">
        <v>31</v>
      </c>
    </row>
    <row r="63" spans="1:12">
      <c r="A63" s="4" t="s">
        <v>325</v>
      </c>
      <c r="B63" s="4">
        <v>1</v>
      </c>
      <c r="C63" s="4">
        <v>1</v>
      </c>
      <c r="D63" s="14">
        <v>2</v>
      </c>
      <c r="E63" s="4">
        <v>1</v>
      </c>
      <c r="F63">
        <v>1</v>
      </c>
      <c r="G63" s="14">
        <v>2</v>
      </c>
      <c r="H63" s="4">
        <v>1</v>
      </c>
      <c r="I63">
        <v>1</v>
      </c>
      <c r="J63" s="14">
        <v>2</v>
      </c>
      <c r="K63" s="7" t="s">
        <v>326</v>
      </c>
      <c r="L63" s="7" t="s">
        <v>19</v>
      </c>
    </row>
    <row r="64" spans="1:12">
      <c r="A64" s="4" t="s">
        <v>329</v>
      </c>
      <c r="B64" s="4">
        <v>0</v>
      </c>
      <c r="C64" s="4">
        <v>0</v>
      </c>
      <c r="D64" s="14">
        <v>0</v>
      </c>
      <c r="E64" s="4">
        <v>0</v>
      </c>
      <c r="F64">
        <v>0</v>
      </c>
      <c r="G64" s="14">
        <v>0</v>
      </c>
      <c r="H64" s="4">
        <v>0</v>
      </c>
      <c r="I64">
        <v>0</v>
      </c>
      <c r="J64" s="14">
        <v>0</v>
      </c>
      <c r="K64" s="7" t="s">
        <v>330</v>
      </c>
      <c r="L64" s="7" t="s">
        <v>25</v>
      </c>
    </row>
    <row r="65" spans="1:12">
      <c r="A65" s="4" t="s">
        <v>335</v>
      </c>
      <c r="B65" s="4">
        <v>0</v>
      </c>
      <c r="C65" s="4">
        <v>0</v>
      </c>
      <c r="D65" s="14">
        <v>0</v>
      </c>
      <c r="E65" s="4">
        <v>0</v>
      </c>
      <c r="F65">
        <v>1</v>
      </c>
      <c r="G65" s="14">
        <v>1</v>
      </c>
      <c r="H65" s="4">
        <v>0</v>
      </c>
      <c r="I65">
        <v>0</v>
      </c>
      <c r="J65" s="14">
        <v>0</v>
      </c>
      <c r="K65" s="7" t="s">
        <v>336</v>
      </c>
      <c r="L65" s="7" t="s">
        <v>34</v>
      </c>
    </row>
    <row r="66" spans="1:12">
      <c r="A66" s="4" t="s">
        <v>339</v>
      </c>
      <c r="B66" s="4">
        <v>1</v>
      </c>
      <c r="C66" s="4">
        <v>0</v>
      </c>
      <c r="D66" s="14">
        <v>1</v>
      </c>
      <c r="E66" s="4">
        <v>1</v>
      </c>
      <c r="F66">
        <v>0</v>
      </c>
      <c r="G66" s="14">
        <v>1</v>
      </c>
      <c r="H66" s="4">
        <v>1</v>
      </c>
      <c r="I66">
        <v>1</v>
      </c>
      <c r="J66" s="14">
        <v>2</v>
      </c>
      <c r="K66" s="7" t="s">
        <v>340</v>
      </c>
      <c r="L66" s="7" t="s">
        <v>40</v>
      </c>
    </row>
    <row r="67" spans="1:12">
      <c r="A67" s="4" t="s">
        <v>345</v>
      </c>
      <c r="B67" s="4">
        <v>1</v>
      </c>
      <c r="C67" s="4">
        <v>1</v>
      </c>
      <c r="D67" s="14">
        <v>2</v>
      </c>
      <c r="E67" s="4">
        <v>1</v>
      </c>
      <c r="F67">
        <v>1</v>
      </c>
      <c r="G67" s="14">
        <v>2</v>
      </c>
      <c r="H67" s="4">
        <v>1</v>
      </c>
      <c r="I67">
        <v>1</v>
      </c>
      <c r="J67" s="14">
        <v>2</v>
      </c>
      <c r="K67" s="7" t="s">
        <v>346</v>
      </c>
      <c r="L67" s="7" t="s">
        <v>19</v>
      </c>
    </row>
    <row r="68" spans="1:12">
      <c r="A68" s="4" t="s">
        <v>349</v>
      </c>
      <c r="B68" s="4">
        <v>0</v>
      </c>
      <c r="C68" s="4">
        <v>0</v>
      </c>
      <c r="D68" s="14">
        <v>0</v>
      </c>
      <c r="E68" s="4">
        <v>0</v>
      </c>
      <c r="F68">
        <v>1</v>
      </c>
      <c r="G68" s="14">
        <v>1</v>
      </c>
      <c r="H68" s="4">
        <v>0</v>
      </c>
      <c r="I68">
        <v>0</v>
      </c>
      <c r="J68" s="14">
        <v>0</v>
      </c>
      <c r="K68" s="7" t="s">
        <v>350</v>
      </c>
      <c r="L68" s="7" t="s">
        <v>25</v>
      </c>
    </row>
    <row r="69" spans="1:12">
      <c r="A69" s="4" t="s">
        <v>353</v>
      </c>
      <c r="B69" s="4">
        <v>0</v>
      </c>
      <c r="C69" s="4">
        <v>0</v>
      </c>
      <c r="D69" s="14">
        <v>0</v>
      </c>
      <c r="E69" s="4">
        <v>0</v>
      </c>
      <c r="F69">
        <v>1</v>
      </c>
      <c r="G69" s="14">
        <v>1</v>
      </c>
      <c r="H69" s="4">
        <v>0</v>
      </c>
      <c r="I69">
        <v>0</v>
      </c>
      <c r="J69" s="14">
        <v>0</v>
      </c>
      <c r="K69" s="7" t="s">
        <v>354</v>
      </c>
      <c r="L69" s="7" t="s">
        <v>25</v>
      </c>
    </row>
    <row r="70" spans="1:12">
      <c r="A70" s="4" t="s">
        <v>357</v>
      </c>
      <c r="B70" s="4">
        <v>1</v>
      </c>
      <c r="C70" s="4">
        <v>0</v>
      </c>
      <c r="D70" s="14">
        <v>1</v>
      </c>
      <c r="E70" s="4">
        <v>1</v>
      </c>
      <c r="F70">
        <v>0</v>
      </c>
      <c r="G70" s="14">
        <v>1</v>
      </c>
      <c r="H70" s="4">
        <v>1</v>
      </c>
      <c r="I70">
        <v>1</v>
      </c>
      <c r="J70" s="14">
        <v>2</v>
      </c>
      <c r="K70" s="7" t="s">
        <v>358</v>
      </c>
      <c r="L70" s="7" t="s">
        <v>37</v>
      </c>
    </row>
    <row r="71" spans="1:12">
      <c r="A71" s="4" t="s">
        <v>363</v>
      </c>
      <c r="B71" s="4">
        <v>1</v>
      </c>
      <c r="C71" s="4">
        <v>0</v>
      </c>
      <c r="D71" s="14">
        <v>1</v>
      </c>
      <c r="E71" s="4">
        <v>1</v>
      </c>
      <c r="F71">
        <v>1</v>
      </c>
      <c r="G71" s="14">
        <v>2</v>
      </c>
      <c r="H71" s="4">
        <v>1</v>
      </c>
      <c r="I71">
        <v>1</v>
      </c>
      <c r="J71" s="14">
        <v>2</v>
      </c>
      <c r="K71" s="7" t="s">
        <v>364</v>
      </c>
      <c r="L71" s="7" t="s">
        <v>16</v>
      </c>
    </row>
    <row r="72" spans="1:12">
      <c r="A72" s="4" t="s">
        <v>367</v>
      </c>
      <c r="B72" s="4">
        <v>0</v>
      </c>
      <c r="C72" s="4">
        <v>1</v>
      </c>
      <c r="D72" s="14">
        <v>1</v>
      </c>
      <c r="E72" s="4">
        <v>0</v>
      </c>
      <c r="F72">
        <v>1</v>
      </c>
      <c r="G72" s="14">
        <v>1</v>
      </c>
      <c r="H72" s="4">
        <v>0</v>
      </c>
      <c r="I72">
        <v>0</v>
      </c>
      <c r="J72" s="14">
        <v>0</v>
      </c>
      <c r="K72" s="7" t="s">
        <v>368</v>
      </c>
      <c r="L72" s="7" t="s">
        <v>22</v>
      </c>
    </row>
    <row r="73" spans="1:12">
      <c r="A73" s="4" t="s">
        <v>371</v>
      </c>
      <c r="B73" s="4">
        <v>0</v>
      </c>
      <c r="C73" s="4">
        <v>0</v>
      </c>
      <c r="D73" s="14">
        <v>0</v>
      </c>
      <c r="E73" s="4">
        <v>0</v>
      </c>
      <c r="F73">
        <v>0</v>
      </c>
      <c r="G73" s="14">
        <v>0</v>
      </c>
      <c r="H73" s="4">
        <v>0</v>
      </c>
      <c r="I73">
        <v>1</v>
      </c>
      <c r="J73" s="14">
        <v>1</v>
      </c>
      <c r="K73" s="7" t="s">
        <v>372</v>
      </c>
      <c r="L73" s="7" t="s">
        <v>28</v>
      </c>
    </row>
    <row r="74" spans="1:12">
      <c r="A74" s="4" t="s">
        <v>377</v>
      </c>
      <c r="B74" s="4">
        <v>1</v>
      </c>
      <c r="C74" s="4">
        <v>0</v>
      </c>
      <c r="D74" s="14">
        <v>1</v>
      </c>
      <c r="E74" s="4">
        <v>1</v>
      </c>
      <c r="F74">
        <v>1</v>
      </c>
      <c r="G74" s="14">
        <v>2</v>
      </c>
      <c r="H74" s="4">
        <v>1</v>
      </c>
      <c r="I74">
        <v>0</v>
      </c>
      <c r="J74" s="14">
        <v>1</v>
      </c>
      <c r="K74" s="7" t="s">
        <v>378</v>
      </c>
      <c r="L74" s="7" t="s">
        <v>37</v>
      </c>
    </row>
    <row r="75" spans="1:12">
      <c r="A75" s="4" t="s">
        <v>381</v>
      </c>
      <c r="B75" s="4">
        <v>1</v>
      </c>
      <c r="C75" s="4">
        <v>0</v>
      </c>
      <c r="D75" s="14">
        <v>1</v>
      </c>
      <c r="E75" s="4">
        <v>1</v>
      </c>
      <c r="F75">
        <v>0</v>
      </c>
      <c r="G75" s="14">
        <v>1</v>
      </c>
      <c r="H75" s="4">
        <v>1</v>
      </c>
      <c r="I75">
        <v>1</v>
      </c>
      <c r="J75" s="14">
        <v>2</v>
      </c>
      <c r="K75" s="7" t="s">
        <v>382</v>
      </c>
      <c r="L75" s="7" t="s">
        <v>31</v>
      </c>
    </row>
    <row r="76" spans="1:12">
      <c r="A76" s="4" t="s">
        <v>387</v>
      </c>
      <c r="B76" s="4">
        <v>0</v>
      </c>
      <c r="C76" s="4">
        <v>1</v>
      </c>
      <c r="D76" s="14">
        <v>1</v>
      </c>
      <c r="E76" s="4">
        <v>0</v>
      </c>
      <c r="F76">
        <v>0</v>
      </c>
      <c r="G76" s="14">
        <v>0</v>
      </c>
      <c r="H76" s="4">
        <v>0</v>
      </c>
      <c r="I76">
        <v>1</v>
      </c>
      <c r="J76" s="14">
        <v>1</v>
      </c>
      <c r="K76" s="7" t="s">
        <v>388</v>
      </c>
      <c r="L76" s="7" t="s">
        <v>22</v>
      </c>
    </row>
    <row r="77" spans="1:12">
      <c r="A77" s="4" t="s">
        <v>391</v>
      </c>
      <c r="B77" s="4">
        <v>1</v>
      </c>
      <c r="C77" s="4">
        <v>0</v>
      </c>
      <c r="D77" s="14">
        <v>1</v>
      </c>
      <c r="E77" s="4">
        <v>1</v>
      </c>
      <c r="F77">
        <v>1</v>
      </c>
      <c r="G77" s="14">
        <v>2</v>
      </c>
      <c r="H77" s="4">
        <v>1</v>
      </c>
      <c r="I77">
        <v>1</v>
      </c>
      <c r="J77" s="14">
        <v>2</v>
      </c>
      <c r="K77" s="7" t="s">
        <v>392</v>
      </c>
      <c r="L77" s="7" t="s">
        <v>28</v>
      </c>
    </row>
    <row r="78" spans="1:12">
      <c r="A78" s="4" t="s">
        <v>399</v>
      </c>
      <c r="B78" s="4">
        <v>0</v>
      </c>
      <c r="C78" s="4">
        <v>0</v>
      </c>
      <c r="D78" s="14">
        <v>0</v>
      </c>
      <c r="E78" s="4">
        <v>0</v>
      </c>
      <c r="F78">
        <v>0</v>
      </c>
      <c r="G78" s="14">
        <v>0</v>
      </c>
      <c r="H78" s="4">
        <v>0</v>
      </c>
      <c r="I78">
        <v>1</v>
      </c>
      <c r="J78" s="14">
        <v>1</v>
      </c>
      <c r="K78" s="7" t="s">
        <v>400</v>
      </c>
      <c r="L78" s="7" t="s">
        <v>40</v>
      </c>
    </row>
    <row r="79" spans="1:12">
      <c r="A79" s="4" t="s">
        <v>405</v>
      </c>
      <c r="B79" s="4">
        <v>1</v>
      </c>
      <c r="C79" s="4">
        <v>0</v>
      </c>
      <c r="D79" s="14">
        <v>1</v>
      </c>
      <c r="E79" s="4">
        <v>1</v>
      </c>
      <c r="F79">
        <v>0</v>
      </c>
      <c r="G79" s="14">
        <v>1</v>
      </c>
      <c r="H79" s="4">
        <v>1</v>
      </c>
      <c r="I79">
        <v>0</v>
      </c>
      <c r="J79" s="14">
        <v>1</v>
      </c>
      <c r="K79" s="7" t="s">
        <v>406</v>
      </c>
      <c r="L79" s="7" t="s">
        <v>19</v>
      </c>
    </row>
    <row r="80" spans="1:12">
      <c r="A80" s="4" t="s">
        <v>409</v>
      </c>
      <c r="B80" s="4">
        <v>0</v>
      </c>
      <c r="C80" s="4">
        <v>0</v>
      </c>
      <c r="D80" s="14">
        <v>0</v>
      </c>
      <c r="E80" s="4">
        <v>0</v>
      </c>
      <c r="F80">
        <v>0</v>
      </c>
      <c r="G80" s="14">
        <v>0</v>
      </c>
      <c r="H80" s="4">
        <v>0</v>
      </c>
      <c r="I80">
        <v>1</v>
      </c>
      <c r="J80" s="14">
        <v>1</v>
      </c>
      <c r="K80" s="7" t="s">
        <v>410</v>
      </c>
      <c r="L80" s="7" t="s">
        <v>25</v>
      </c>
    </row>
    <row r="81" spans="1:12">
      <c r="A81" s="4" t="s">
        <v>413</v>
      </c>
      <c r="B81" s="4">
        <v>0</v>
      </c>
      <c r="C81" s="4">
        <v>0</v>
      </c>
      <c r="D81" s="14">
        <v>0</v>
      </c>
      <c r="E81" s="4">
        <v>0</v>
      </c>
      <c r="F81">
        <v>0</v>
      </c>
      <c r="G81" s="14">
        <v>0</v>
      </c>
      <c r="H81" s="4">
        <v>0</v>
      </c>
      <c r="I81">
        <v>0</v>
      </c>
      <c r="J81" s="14">
        <v>0</v>
      </c>
      <c r="K81" s="7" t="s">
        <v>414</v>
      </c>
      <c r="L81" s="7" t="s">
        <v>16</v>
      </c>
    </row>
    <row r="82" spans="1:12">
      <c r="A82" s="4" t="s">
        <v>419</v>
      </c>
      <c r="B82" s="4">
        <v>1</v>
      </c>
      <c r="C82" s="4">
        <v>1</v>
      </c>
      <c r="D82" s="14">
        <v>2</v>
      </c>
      <c r="E82" s="4">
        <v>1</v>
      </c>
      <c r="F82">
        <v>0</v>
      </c>
      <c r="G82" s="14">
        <v>1</v>
      </c>
      <c r="H82" s="4">
        <v>1</v>
      </c>
      <c r="I82">
        <v>1</v>
      </c>
      <c r="J82" s="14">
        <v>2</v>
      </c>
      <c r="K82" s="7" t="s">
        <v>420</v>
      </c>
      <c r="L82" s="7" t="s">
        <v>40</v>
      </c>
    </row>
    <row r="83" spans="1:12">
      <c r="A83" s="4" t="s">
        <v>423</v>
      </c>
      <c r="B83" s="4">
        <v>0</v>
      </c>
      <c r="C83" s="4">
        <v>0</v>
      </c>
      <c r="D83" s="14">
        <v>0</v>
      </c>
      <c r="E83" s="4">
        <v>0</v>
      </c>
      <c r="F83">
        <v>0</v>
      </c>
      <c r="G83" s="14">
        <v>0</v>
      </c>
      <c r="H83" s="4">
        <v>0</v>
      </c>
      <c r="I83">
        <v>0</v>
      </c>
      <c r="J83" s="14">
        <v>0</v>
      </c>
      <c r="K83" s="7" t="s">
        <v>424</v>
      </c>
      <c r="L83" s="7" t="s">
        <v>16</v>
      </c>
    </row>
    <row r="84" spans="1:12">
      <c r="A84" s="4" t="s">
        <v>433</v>
      </c>
      <c r="B84" s="4">
        <v>1</v>
      </c>
      <c r="C84" s="4">
        <v>0</v>
      </c>
      <c r="D84" s="14">
        <v>1</v>
      </c>
      <c r="E84" s="4">
        <v>1</v>
      </c>
      <c r="F84">
        <v>1</v>
      </c>
      <c r="G84" s="14">
        <v>2</v>
      </c>
      <c r="H84" s="4">
        <v>1</v>
      </c>
      <c r="I84">
        <v>1</v>
      </c>
      <c r="J84" s="14">
        <v>2</v>
      </c>
      <c r="K84" s="7" t="s">
        <v>434</v>
      </c>
      <c r="L84" s="7" t="s">
        <v>19</v>
      </c>
    </row>
    <row r="85" spans="1:12">
      <c r="A85" s="4" t="s">
        <v>437</v>
      </c>
      <c r="B85" s="4">
        <v>1</v>
      </c>
      <c r="C85" s="4">
        <v>0</v>
      </c>
      <c r="D85" s="14">
        <v>1</v>
      </c>
      <c r="E85" s="4">
        <v>1</v>
      </c>
      <c r="F85">
        <v>1</v>
      </c>
      <c r="G85" s="14">
        <v>2</v>
      </c>
      <c r="H85" s="4">
        <v>1</v>
      </c>
      <c r="I85">
        <v>0</v>
      </c>
      <c r="J85" s="14">
        <v>1</v>
      </c>
      <c r="K85" s="7" t="s">
        <v>438</v>
      </c>
      <c r="L85" s="7" t="s">
        <v>37</v>
      </c>
    </row>
    <row r="86" spans="1:12">
      <c r="A86" s="4" t="s">
        <v>441</v>
      </c>
      <c r="B86" s="4">
        <v>0</v>
      </c>
      <c r="C86" s="4">
        <v>0</v>
      </c>
      <c r="D86" s="14">
        <v>0</v>
      </c>
      <c r="E86" s="4">
        <v>0</v>
      </c>
      <c r="F86">
        <v>0</v>
      </c>
      <c r="G86" s="14">
        <v>0</v>
      </c>
      <c r="H86" s="4">
        <v>0</v>
      </c>
      <c r="I86">
        <v>1</v>
      </c>
      <c r="J86" s="14">
        <v>1</v>
      </c>
      <c r="K86" s="7" t="s">
        <v>442</v>
      </c>
      <c r="L86" s="7" t="s">
        <v>31</v>
      </c>
    </row>
    <row r="87" spans="1:12">
      <c r="A87" s="4" t="s">
        <v>447</v>
      </c>
      <c r="B87" s="4">
        <v>0</v>
      </c>
      <c r="C87" s="4">
        <v>0</v>
      </c>
      <c r="D87" s="14">
        <v>0</v>
      </c>
      <c r="E87" s="4">
        <v>0</v>
      </c>
      <c r="F87">
        <v>0</v>
      </c>
      <c r="G87" s="14">
        <v>0</v>
      </c>
      <c r="H87" s="4">
        <v>0</v>
      </c>
      <c r="I87">
        <v>1</v>
      </c>
      <c r="J87" s="14">
        <v>1</v>
      </c>
      <c r="K87" s="7" t="s">
        <v>448</v>
      </c>
      <c r="L87" s="7" t="s">
        <v>22</v>
      </c>
    </row>
    <row r="88" spans="1:12">
      <c r="A88" s="4" t="s">
        <v>451</v>
      </c>
      <c r="B88" s="4">
        <v>0</v>
      </c>
      <c r="C88" s="4">
        <v>0</v>
      </c>
      <c r="D88" s="14">
        <v>0</v>
      </c>
      <c r="E88" s="4">
        <v>0</v>
      </c>
      <c r="F88">
        <v>1</v>
      </c>
      <c r="G88" s="14">
        <v>1</v>
      </c>
      <c r="H88" s="4">
        <v>0</v>
      </c>
      <c r="I88">
        <v>1</v>
      </c>
      <c r="J88" s="14">
        <v>1</v>
      </c>
      <c r="K88" s="7" t="s">
        <v>452</v>
      </c>
      <c r="L88" s="7" t="s">
        <v>28</v>
      </c>
    </row>
    <row r="89" spans="1:12">
      <c r="A89" s="4" t="s">
        <v>455</v>
      </c>
      <c r="B89" s="4">
        <v>1</v>
      </c>
      <c r="C89" s="4">
        <v>1</v>
      </c>
      <c r="D89" s="14">
        <v>2</v>
      </c>
      <c r="E89" s="4">
        <v>1</v>
      </c>
      <c r="F89">
        <v>0</v>
      </c>
      <c r="G89" s="14">
        <v>1</v>
      </c>
      <c r="H89" s="4">
        <v>1</v>
      </c>
      <c r="I89">
        <v>0</v>
      </c>
      <c r="J89" s="14">
        <v>1</v>
      </c>
      <c r="K89" s="7" t="s">
        <v>456</v>
      </c>
      <c r="L89" s="7" t="s">
        <v>34</v>
      </c>
    </row>
    <row r="90" spans="1:12">
      <c r="A90" s="4" t="s">
        <v>461</v>
      </c>
      <c r="B90" s="4">
        <v>1</v>
      </c>
      <c r="C90" s="4">
        <v>0</v>
      </c>
      <c r="D90" s="14">
        <v>1</v>
      </c>
      <c r="E90" s="4">
        <v>1</v>
      </c>
      <c r="F90">
        <v>0</v>
      </c>
      <c r="G90" s="14">
        <v>1</v>
      </c>
      <c r="H90" s="4">
        <v>1</v>
      </c>
      <c r="I90">
        <v>0</v>
      </c>
      <c r="J90" s="14">
        <v>1</v>
      </c>
      <c r="K90" s="7" t="s">
        <v>462</v>
      </c>
      <c r="L90" s="7" t="s">
        <v>31</v>
      </c>
    </row>
    <row r="91" spans="1:12">
      <c r="A91" s="4" t="s">
        <v>465</v>
      </c>
      <c r="B91" s="4">
        <v>0</v>
      </c>
      <c r="C91" s="4">
        <v>1</v>
      </c>
      <c r="D91" s="14">
        <v>1</v>
      </c>
      <c r="E91" s="4">
        <v>0</v>
      </c>
      <c r="F91">
        <v>1</v>
      </c>
      <c r="G91" s="14">
        <v>1</v>
      </c>
      <c r="H91" s="4">
        <v>0</v>
      </c>
      <c r="I91">
        <v>1</v>
      </c>
      <c r="J91" s="14">
        <v>1</v>
      </c>
      <c r="K91" s="7" t="s">
        <v>466</v>
      </c>
      <c r="L91" s="7" t="s">
        <v>19</v>
      </c>
    </row>
    <row r="92" spans="1:12">
      <c r="A92" s="4" t="s">
        <v>469</v>
      </c>
      <c r="B92" s="4">
        <v>1</v>
      </c>
      <c r="C92" s="4">
        <v>1</v>
      </c>
      <c r="D92" s="14">
        <v>2</v>
      </c>
      <c r="E92" s="4">
        <v>1</v>
      </c>
      <c r="F92">
        <v>1</v>
      </c>
      <c r="G92" s="14">
        <v>2</v>
      </c>
      <c r="H92" s="4">
        <v>1</v>
      </c>
      <c r="I92">
        <v>0</v>
      </c>
      <c r="J92" s="14">
        <v>1</v>
      </c>
      <c r="K92" s="7" t="s">
        <v>470</v>
      </c>
      <c r="L92" s="7" t="s">
        <v>25</v>
      </c>
    </row>
    <row r="93" spans="1:12">
      <c r="A93" s="4" t="s">
        <v>475</v>
      </c>
      <c r="B93" s="4">
        <v>0</v>
      </c>
      <c r="C93" s="4">
        <v>0</v>
      </c>
      <c r="D93" s="14">
        <v>0</v>
      </c>
      <c r="E93" s="4">
        <v>0</v>
      </c>
      <c r="F93">
        <v>1</v>
      </c>
      <c r="G93" s="14">
        <v>1</v>
      </c>
      <c r="H93" s="4">
        <v>0</v>
      </c>
      <c r="I93">
        <v>0</v>
      </c>
      <c r="J93" s="14">
        <v>0</v>
      </c>
      <c r="K93" s="7" t="s">
        <v>476</v>
      </c>
      <c r="L93" s="7" t="s">
        <v>34</v>
      </c>
    </row>
    <row r="94" spans="1:12">
      <c r="A94" s="4" t="s">
        <v>479</v>
      </c>
      <c r="B94" s="4">
        <v>0</v>
      </c>
      <c r="C94" s="4">
        <v>0</v>
      </c>
      <c r="D94" s="14">
        <v>0</v>
      </c>
      <c r="E94" s="4">
        <v>0</v>
      </c>
      <c r="F94">
        <v>0</v>
      </c>
      <c r="G94" s="14">
        <v>0</v>
      </c>
      <c r="H94" s="4">
        <v>0</v>
      </c>
      <c r="I94">
        <v>1</v>
      </c>
      <c r="J94" s="14">
        <v>1</v>
      </c>
      <c r="K94" s="7" t="s">
        <v>480</v>
      </c>
      <c r="L94" s="7" t="s">
        <v>40</v>
      </c>
    </row>
    <row r="95" spans="1:12">
      <c r="A95" s="4" t="s">
        <v>483</v>
      </c>
      <c r="B95" s="4">
        <v>1</v>
      </c>
      <c r="C95" s="4">
        <v>0</v>
      </c>
      <c r="D95" s="14">
        <v>1</v>
      </c>
      <c r="E95" s="4">
        <v>1</v>
      </c>
      <c r="F95">
        <v>1</v>
      </c>
      <c r="G95" s="14">
        <v>2</v>
      </c>
      <c r="H95" s="4">
        <v>1</v>
      </c>
      <c r="I95">
        <v>1</v>
      </c>
      <c r="J95" s="14">
        <v>2</v>
      </c>
      <c r="K95" s="7" t="s">
        <v>484</v>
      </c>
      <c r="L95" s="7" t="s">
        <v>16</v>
      </c>
    </row>
    <row r="96" spans="1:12">
      <c r="A96" s="4" t="s">
        <v>489</v>
      </c>
      <c r="B96" s="4">
        <v>1</v>
      </c>
      <c r="C96" s="4">
        <v>0</v>
      </c>
      <c r="D96" s="14">
        <v>1</v>
      </c>
      <c r="E96" s="4">
        <v>1</v>
      </c>
      <c r="F96">
        <v>1</v>
      </c>
      <c r="G96" s="14">
        <v>2</v>
      </c>
      <c r="H96" s="4">
        <v>1</v>
      </c>
      <c r="I96">
        <v>1</v>
      </c>
      <c r="J96" s="14">
        <v>2</v>
      </c>
      <c r="K96" s="7" t="s">
        <v>490</v>
      </c>
      <c r="L96" s="7" t="s">
        <v>25</v>
      </c>
    </row>
    <row r="97" spans="1:12">
      <c r="A97" s="4" t="s">
        <v>493</v>
      </c>
      <c r="B97" s="4">
        <v>0</v>
      </c>
      <c r="C97" s="4">
        <v>0</v>
      </c>
      <c r="D97" s="14">
        <v>0</v>
      </c>
      <c r="E97" s="4">
        <v>0</v>
      </c>
      <c r="F97">
        <v>1</v>
      </c>
      <c r="G97" s="14">
        <v>1</v>
      </c>
      <c r="H97" s="4">
        <v>0</v>
      </c>
      <c r="I97">
        <v>1</v>
      </c>
      <c r="J97" s="14">
        <v>1</v>
      </c>
      <c r="K97" s="7" t="s">
        <v>494</v>
      </c>
      <c r="L97" s="7" t="s">
        <v>28</v>
      </c>
    </row>
    <row r="98" spans="1:12">
      <c r="A98" s="4" t="s">
        <v>497</v>
      </c>
      <c r="B98" s="4">
        <v>1</v>
      </c>
      <c r="C98" s="4">
        <v>0</v>
      </c>
      <c r="D98" s="14">
        <v>1</v>
      </c>
      <c r="E98" s="4">
        <v>1</v>
      </c>
      <c r="F98">
        <v>0</v>
      </c>
      <c r="G98" s="14">
        <v>1</v>
      </c>
      <c r="H98" s="4">
        <v>1</v>
      </c>
      <c r="I98">
        <v>1</v>
      </c>
      <c r="J98" s="14">
        <v>2</v>
      </c>
      <c r="K98" s="7" t="s">
        <v>498</v>
      </c>
      <c r="L98" s="7" t="s">
        <v>37</v>
      </c>
    </row>
    <row r="99" spans="1:12">
      <c r="A99" s="4" t="s">
        <v>503</v>
      </c>
      <c r="B99" s="4">
        <v>0</v>
      </c>
      <c r="C99" s="4">
        <v>0</v>
      </c>
      <c r="D99" s="14">
        <v>0</v>
      </c>
      <c r="E99" s="4">
        <v>0</v>
      </c>
      <c r="F99">
        <v>0</v>
      </c>
      <c r="G99" s="14">
        <v>0</v>
      </c>
      <c r="H99" s="4">
        <v>0</v>
      </c>
      <c r="I99">
        <v>0</v>
      </c>
      <c r="J99" s="14">
        <v>0</v>
      </c>
      <c r="K99" s="7" t="s">
        <v>504</v>
      </c>
      <c r="L99" s="7" t="s">
        <v>16</v>
      </c>
    </row>
    <row r="100" spans="1:12">
      <c r="A100" s="4" t="s">
        <v>507</v>
      </c>
      <c r="B100" s="4">
        <v>0</v>
      </c>
      <c r="C100" s="4">
        <v>1</v>
      </c>
      <c r="D100" s="14">
        <v>1</v>
      </c>
      <c r="E100" s="4">
        <v>0</v>
      </c>
      <c r="F100">
        <v>1</v>
      </c>
      <c r="G100" s="14">
        <v>1</v>
      </c>
      <c r="H100" s="4">
        <v>0</v>
      </c>
      <c r="I100">
        <v>1</v>
      </c>
      <c r="J100" s="14">
        <v>1</v>
      </c>
      <c r="K100" s="7" t="s">
        <v>508</v>
      </c>
      <c r="L100" s="7" t="s">
        <v>22</v>
      </c>
    </row>
    <row r="101" spans="1:12">
      <c r="A101" s="4" t="s">
        <v>513</v>
      </c>
      <c r="B101" s="4">
        <v>0</v>
      </c>
      <c r="C101" s="4">
        <v>0</v>
      </c>
      <c r="D101" s="14">
        <v>0</v>
      </c>
      <c r="E101" s="4">
        <v>0</v>
      </c>
      <c r="F101">
        <v>1</v>
      </c>
      <c r="G101" s="14">
        <v>1</v>
      </c>
      <c r="H101" s="4">
        <v>0</v>
      </c>
      <c r="I101">
        <v>0</v>
      </c>
      <c r="J101" s="14">
        <v>0</v>
      </c>
      <c r="K101" s="7" t="s">
        <v>514</v>
      </c>
      <c r="L101" s="7" t="s">
        <v>31</v>
      </c>
    </row>
    <row r="102" spans="1:12">
      <c r="A102" s="4" t="s">
        <v>517</v>
      </c>
      <c r="B102" s="4">
        <v>1</v>
      </c>
      <c r="C102" s="4">
        <v>0</v>
      </c>
      <c r="D102" s="14">
        <v>1</v>
      </c>
      <c r="E102" s="4">
        <v>1</v>
      </c>
      <c r="F102">
        <v>1</v>
      </c>
      <c r="G102" s="14">
        <v>2</v>
      </c>
      <c r="H102" s="4">
        <v>1</v>
      </c>
      <c r="I102">
        <v>0</v>
      </c>
      <c r="J102" s="14">
        <v>1</v>
      </c>
      <c r="K102" s="7" t="s">
        <v>518</v>
      </c>
      <c r="L102" s="7" t="s">
        <v>37</v>
      </c>
    </row>
    <row r="103" spans="1:12">
      <c r="A103" s="4" t="s">
        <v>521</v>
      </c>
      <c r="B103" s="4">
        <v>0</v>
      </c>
      <c r="C103" s="4">
        <v>0</v>
      </c>
      <c r="D103" s="14">
        <v>0</v>
      </c>
      <c r="E103" s="4">
        <v>0</v>
      </c>
      <c r="F103">
        <v>0</v>
      </c>
      <c r="G103" s="14">
        <v>0</v>
      </c>
      <c r="H103" s="4">
        <v>0</v>
      </c>
      <c r="I103">
        <v>1</v>
      </c>
      <c r="J103" s="14">
        <v>1</v>
      </c>
      <c r="K103" s="7" t="s">
        <v>522</v>
      </c>
      <c r="L103" s="7" t="s">
        <v>31</v>
      </c>
    </row>
    <row r="104" spans="1:12">
      <c r="A104" s="4" t="s">
        <v>525</v>
      </c>
      <c r="B104" s="4">
        <v>0</v>
      </c>
      <c r="C104" s="4">
        <v>0</v>
      </c>
      <c r="D104" s="14">
        <v>0</v>
      </c>
      <c r="E104" s="4">
        <v>0</v>
      </c>
      <c r="F104">
        <v>0</v>
      </c>
      <c r="G104" s="14">
        <v>0</v>
      </c>
      <c r="H104" s="4">
        <v>0</v>
      </c>
      <c r="I104">
        <v>0</v>
      </c>
      <c r="J104" s="14">
        <v>0</v>
      </c>
      <c r="K104" s="7" t="s">
        <v>526</v>
      </c>
      <c r="L104" s="7" t="s">
        <v>19</v>
      </c>
    </row>
    <row r="105" spans="1:12">
      <c r="A105" s="4" t="s">
        <v>531</v>
      </c>
      <c r="B105" s="4">
        <v>0</v>
      </c>
      <c r="C105" s="4">
        <v>0</v>
      </c>
      <c r="D105" s="14">
        <v>0</v>
      </c>
      <c r="E105" s="4">
        <v>0</v>
      </c>
      <c r="F105">
        <v>0</v>
      </c>
      <c r="G105" s="14">
        <v>0</v>
      </c>
      <c r="H105" s="4">
        <v>0</v>
      </c>
      <c r="I105">
        <v>0</v>
      </c>
      <c r="J105" s="14">
        <v>0</v>
      </c>
      <c r="K105" s="7" t="s">
        <v>532</v>
      </c>
      <c r="L105" s="7" t="s">
        <v>28</v>
      </c>
    </row>
    <row r="106" spans="1:12">
      <c r="A106" s="4" t="s">
        <v>535</v>
      </c>
      <c r="B106" s="4">
        <v>1</v>
      </c>
      <c r="C106" s="4">
        <v>1</v>
      </c>
      <c r="D106" s="14">
        <v>2</v>
      </c>
      <c r="E106" s="4">
        <v>1</v>
      </c>
      <c r="F106">
        <v>1</v>
      </c>
      <c r="G106" s="14">
        <v>2</v>
      </c>
      <c r="H106" s="4">
        <v>1</v>
      </c>
      <c r="I106">
        <v>1</v>
      </c>
      <c r="J106" s="14">
        <v>2</v>
      </c>
      <c r="K106" s="7" t="s">
        <v>536</v>
      </c>
      <c r="L106" s="7" t="s">
        <v>34</v>
      </c>
    </row>
    <row r="107" spans="1:12">
      <c r="A107" s="4" t="s">
        <v>539</v>
      </c>
      <c r="B107" s="4">
        <v>0</v>
      </c>
      <c r="C107" s="4">
        <v>0</v>
      </c>
      <c r="D107" s="14">
        <v>0</v>
      </c>
      <c r="E107" s="4">
        <v>0</v>
      </c>
      <c r="F107">
        <v>1</v>
      </c>
      <c r="G107" s="14">
        <v>1</v>
      </c>
      <c r="H107" s="4">
        <v>0</v>
      </c>
      <c r="I107">
        <v>1</v>
      </c>
      <c r="J107" s="14">
        <v>1</v>
      </c>
      <c r="K107" s="7" t="s">
        <v>540</v>
      </c>
      <c r="L107" s="7" t="s">
        <v>40</v>
      </c>
    </row>
    <row r="108" spans="1:12">
      <c r="A108" s="4" t="s">
        <v>545</v>
      </c>
      <c r="B108" s="4">
        <v>0</v>
      </c>
      <c r="C108" s="4">
        <v>0</v>
      </c>
      <c r="D108" s="14">
        <v>0</v>
      </c>
      <c r="E108" s="4">
        <v>0</v>
      </c>
      <c r="F108">
        <v>0</v>
      </c>
      <c r="G108" s="14">
        <v>0</v>
      </c>
      <c r="H108" s="4">
        <v>0</v>
      </c>
      <c r="I108">
        <v>0</v>
      </c>
      <c r="J108" s="14">
        <v>0</v>
      </c>
      <c r="K108" s="7" t="s">
        <v>546</v>
      </c>
      <c r="L108" s="7" t="s">
        <v>19</v>
      </c>
    </row>
    <row r="109" spans="1:12">
      <c r="A109" s="4" t="s">
        <v>549</v>
      </c>
      <c r="B109" s="4">
        <v>0</v>
      </c>
      <c r="C109" s="4">
        <v>0</v>
      </c>
      <c r="D109" s="14">
        <v>0</v>
      </c>
      <c r="E109" s="4">
        <v>0</v>
      </c>
      <c r="F109">
        <v>0</v>
      </c>
      <c r="G109" s="14">
        <v>0</v>
      </c>
      <c r="H109" s="4">
        <v>0</v>
      </c>
      <c r="I109">
        <v>1</v>
      </c>
      <c r="J109" s="14">
        <v>1</v>
      </c>
      <c r="K109" s="7" t="s">
        <v>550</v>
      </c>
      <c r="L109" s="7" t="s">
        <v>25</v>
      </c>
    </row>
    <row r="110" spans="1:12">
      <c r="A110" s="4" t="s">
        <v>553</v>
      </c>
      <c r="B110" s="4">
        <v>0</v>
      </c>
      <c r="C110" s="4">
        <v>0</v>
      </c>
      <c r="D110" s="14">
        <v>0</v>
      </c>
      <c r="E110" s="4">
        <v>0</v>
      </c>
      <c r="F110">
        <v>1</v>
      </c>
      <c r="G110" s="14">
        <v>1</v>
      </c>
      <c r="H110" s="4">
        <v>0</v>
      </c>
      <c r="I110">
        <v>0</v>
      </c>
      <c r="J110" s="14">
        <v>0</v>
      </c>
      <c r="K110" s="7" t="s">
        <v>554</v>
      </c>
      <c r="L110" s="7" t="s">
        <v>19</v>
      </c>
    </row>
    <row r="111" spans="1:12">
      <c r="A111" s="4" t="s">
        <v>563</v>
      </c>
      <c r="B111" s="4">
        <v>1</v>
      </c>
      <c r="C111" s="4">
        <v>0</v>
      </c>
      <c r="D111" s="14">
        <v>1</v>
      </c>
      <c r="E111" s="4">
        <v>1</v>
      </c>
      <c r="F111">
        <v>1</v>
      </c>
      <c r="G111" s="14">
        <v>2</v>
      </c>
      <c r="H111" s="4">
        <v>1</v>
      </c>
      <c r="I111">
        <v>1</v>
      </c>
      <c r="J111" s="14">
        <v>2</v>
      </c>
      <c r="K111" s="7" t="s">
        <v>564</v>
      </c>
      <c r="L111" s="7" t="s">
        <v>16</v>
      </c>
    </row>
    <row r="112" spans="1:12">
      <c r="A112" s="4" t="s">
        <v>567</v>
      </c>
      <c r="B112" s="4">
        <v>0</v>
      </c>
      <c r="C112" s="4">
        <v>0</v>
      </c>
      <c r="D112" s="14">
        <v>0</v>
      </c>
      <c r="E112" s="4">
        <v>0</v>
      </c>
      <c r="F112">
        <v>0</v>
      </c>
      <c r="G112" s="14">
        <v>0</v>
      </c>
      <c r="H112" s="4">
        <v>0</v>
      </c>
      <c r="I112">
        <v>1</v>
      </c>
      <c r="J112" s="14">
        <v>1</v>
      </c>
      <c r="K112" s="7" t="s">
        <v>568</v>
      </c>
      <c r="L112" s="7" t="s">
        <v>22</v>
      </c>
    </row>
    <row r="113" spans="1:12">
      <c r="A113" s="4" t="s">
        <v>573</v>
      </c>
      <c r="B113" s="4">
        <v>0</v>
      </c>
      <c r="C113" s="4">
        <v>0</v>
      </c>
      <c r="D113" s="14">
        <v>0</v>
      </c>
      <c r="E113" s="4">
        <v>0</v>
      </c>
      <c r="F113">
        <v>0</v>
      </c>
      <c r="G113" s="14">
        <v>0</v>
      </c>
      <c r="H113" s="4">
        <v>0</v>
      </c>
      <c r="I113">
        <v>0</v>
      </c>
      <c r="J113" s="14">
        <v>0</v>
      </c>
      <c r="K113" s="7" t="s">
        <v>574</v>
      </c>
      <c r="L113" s="7" t="s">
        <v>22</v>
      </c>
    </row>
    <row r="114" spans="1:12">
      <c r="A114" s="4" t="s">
        <v>577</v>
      </c>
      <c r="B114" s="4">
        <v>0</v>
      </c>
      <c r="C114" s="4">
        <v>0</v>
      </c>
      <c r="D114" s="14">
        <v>0</v>
      </c>
      <c r="E114" s="4">
        <v>0</v>
      </c>
      <c r="F114">
        <v>1</v>
      </c>
      <c r="G114" s="14">
        <v>1</v>
      </c>
      <c r="H114" s="4">
        <v>0</v>
      </c>
      <c r="I114">
        <v>0</v>
      </c>
      <c r="J114" s="14">
        <v>0</v>
      </c>
      <c r="K114" s="7" t="s">
        <v>578</v>
      </c>
      <c r="L114" s="7" t="s">
        <v>37</v>
      </c>
    </row>
    <row r="115" spans="1:12">
      <c r="A115" s="4" t="s">
        <v>581</v>
      </c>
      <c r="B115" s="4">
        <v>1</v>
      </c>
      <c r="C115" s="4">
        <v>1</v>
      </c>
      <c r="D115" s="14">
        <v>2</v>
      </c>
      <c r="E115" s="4">
        <v>1</v>
      </c>
      <c r="F115">
        <v>1</v>
      </c>
      <c r="G115" s="14">
        <v>2</v>
      </c>
      <c r="H115" s="4">
        <v>1</v>
      </c>
      <c r="I115">
        <v>1</v>
      </c>
      <c r="J115" s="14">
        <v>2</v>
      </c>
      <c r="K115" s="7" t="s">
        <v>582</v>
      </c>
      <c r="L115" s="7" t="s">
        <v>31</v>
      </c>
    </row>
    <row r="116" spans="1:12">
      <c r="A116" s="4" t="s">
        <v>587</v>
      </c>
      <c r="B116" s="4">
        <v>0</v>
      </c>
      <c r="C116" s="4">
        <v>0</v>
      </c>
      <c r="D116" s="14">
        <v>0</v>
      </c>
      <c r="E116" s="4">
        <v>0</v>
      </c>
      <c r="F116">
        <v>0</v>
      </c>
      <c r="G116" s="14">
        <v>0</v>
      </c>
      <c r="H116" s="4">
        <v>0</v>
      </c>
      <c r="I116">
        <v>0</v>
      </c>
      <c r="J116" s="14">
        <v>0</v>
      </c>
      <c r="K116" s="7" t="s">
        <v>588</v>
      </c>
      <c r="L116" s="7" t="s">
        <v>22</v>
      </c>
    </row>
    <row r="117" spans="1:12">
      <c r="A117" s="4" t="s">
        <v>591</v>
      </c>
      <c r="B117" s="4">
        <v>0</v>
      </c>
      <c r="C117" s="4">
        <v>0</v>
      </c>
      <c r="D117" s="14">
        <v>0</v>
      </c>
      <c r="E117" s="4">
        <v>0</v>
      </c>
      <c r="F117">
        <v>0</v>
      </c>
      <c r="G117" s="14">
        <v>0</v>
      </c>
      <c r="H117" s="4">
        <v>0</v>
      </c>
      <c r="I117">
        <v>1</v>
      </c>
      <c r="J117" s="14">
        <v>1</v>
      </c>
      <c r="K117" s="7" t="s">
        <v>592</v>
      </c>
      <c r="L117" s="7" t="s">
        <v>28</v>
      </c>
    </row>
    <row r="118" spans="1:12">
      <c r="A118" s="4" t="s">
        <v>595</v>
      </c>
      <c r="B118" s="4">
        <v>1</v>
      </c>
      <c r="C118" s="4">
        <v>0</v>
      </c>
      <c r="D118" s="14">
        <v>1</v>
      </c>
      <c r="E118" s="4">
        <v>1</v>
      </c>
      <c r="F118">
        <v>0</v>
      </c>
      <c r="G118" s="14">
        <v>1</v>
      </c>
      <c r="H118" s="4">
        <v>1</v>
      </c>
      <c r="I118">
        <v>0</v>
      </c>
      <c r="J118" s="14">
        <v>1</v>
      </c>
      <c r="K118" s="7" t="s">
        <v>596</v>
      </c>
      <c r="L118" s="7" t="s">
        <v>34</v>
      </c>
    </row>
    <row r="119" spans="1:12">
      <c r="A119" s="4" t="s">
        <v>601</v>
      </c>
      <c r="B119" s="4">
        <v>0</v>
      </c>
      <c r="C119" s="4">
        <v>0</v>
      </c>
      <c r="D119" s="14">
        <v>0</v>
      </c>
      <c r="E119" s="4">
        <v>0</v>
      </c>
      <c r="F119">
        <v>0</v>
      </c>
      <c r="G119" s="14">
        <v>0</v>
      </c>
      <c r="H119" s="4">
        <v>0</v>
      </c>
      <c r="I119">
        <v>1</v>
      </c>
      <c r="J119" s="14">
        <v>1</v>
      </c>
      <c r="K119" s="7" t="s">
        <v>602</v>
      </c>
      <c r="L119" s="7" t="s">
        <v>31</v>
      </c>
    </row>
    <row r="120" spans="1:12">
      <c r="A120" s="4" t="s">
        <v>605</v>
      </c>
      <c r="B120" s="4">
        <v>1</v>
      </c>
      <c r="C120" s="4">
        <v>1</v>
      </c>
      <c r="D120" s="14">
        <v>2</v>
      </c>
      <c r="E120" s="4">
        <v>1</v>
      </c>
      <c r="F120">
        <v>1</v>
      </c>
      <c r="G120" s="14">
        <v>2</v>
      </c>
      <c r="H120" s="4">
        <v>1</v>
      </c>
      <c r="I120">
        <v>1</v>
      </c>
      <c r="J120" s="14">
        <v>2</v>
      </c>
      <c r="K120" s="7" t="s">
        <v>606</v>
      </c>
      <c r="L120" s="7" t="s">
        <v>19</v>
      </c>
    </row>
    <row r="121" spans="1:12">
      <c r="A121" s="4" t="s">
        <v>609</v>
      </c>
      <c r="B121" s="4">
        <v>0</v>
      </c>
      <c r="C121" s="4">
        <v>0</v>
      </c>
      <c r="D121" s="14">
        <v>0</v>
      </c>
      <c r="E121" s="4">
        <v>0</v>
      </c>
      <c r="F121">
        <v>1</v>
      </c>
      <c r="G121" s="14">
        <v>1</v>
      </c>
      <c r="H121" s="4">
        <v>0</v>
      </c>
      <c r="I121">
        <v>1</v>
      </c>
      <c r="J121" s="14">
        <v>1</v>
      </c>
      <c r="K121" s="7" t="s">
        <v>610</v>
      </c>
      <c r="L121" s="7" t="s">
        <v>25</v>
      </c>
    </row>
    <row r="122" spans="1:12">
      <c r="A122" s="4" t="s">
        <v>615</v>
      </c>
      <c r="B122" s="4">
        <v>1</v>
      </c>
      <c r="C122" s="4">
        <v>1</v>
      </c>
      <c r="D122" s="14">
        <v>2</v>
      </c>
      <c r="E122" s="4">
        <v>1</v>
      </c>
      <c r="F122">
        <v>0</v>
      </c>
      <c r="G122" s="14">
        <v>1</v>
      </c>
      <c r="H122" s="4">
        <v>1</v>
      </c>
      <c r="I122">
        <v>0</v>
      </c>
      <c r="J122" s="14">
        <v>1</v>
      </c>
      <c r="K122" s="7" t="s">
        <v>616</v>
      </c>
      <c r="L122" s="7" t="s">
        <v>34</v>
      </c>
    </row>
    <row r="123" spans="1:12">
      <c r="A123" s="4" t="s">
        <v>619</v>
      </c>
      <c r="B123" s="4">
        <v>1</v>
      </c>
      <c r="C123" s="4">
        <v>0</v>
      </c>
      <c r="D123" s="14">
        <v>1</v>
      </c>
      <c r="E123" s="4">
        <v>1</v>
      </c>
      <c r="F123">
        <v>0</v>
      </c>
      <c r="G123" s="14">
        <v>1</v>
      </c>
      <c r="H123" s="4">
        <v>1</v>
      </c>
      <c r="I123">
        <v>1</v>
      </c>
      <c r="J123" s="14">
        <v>2</v>
      </c>
      <c r="K123" s="7" t="s">
        <v>620</v>
      </c>
      <c r="L123" s="7" t="s">
        <v>40</v>
      </c>
    </row>
    <row r="124" spans="1:12">
      <c r="A124" s="4" t="s">
        <v>629</v>
      </c>
      <c r="B124" s="4">
        <v>0</v>
      </c>
      <c r="C124" s="4">
        <v>0</v>
      </c>
      <c r="D124" s="14">
        <v>0</v>
      </c>
      <c r="E124" s="4">
        <v>0</v>
      </c>
      <c r="F124">
        <v>1</v>
      </c>
      <c r="G124" s="14">
        <v>1</v>
      </c>
      <c r="H124" s="4">
        <v>0</v>
      </c>
      <c r="I124">
        <v>1</v>
      </c>
      <c r="J124" s="14">
        <v>1</v>
      </c>
      <c r="K124" s="7" t="s">
        <v>630</v>
      </c>
      <c r="L124" s="7" t="s">
        <v>25</v>
      </c>
    </row>
    <row r="125" spans="1:12">
      <c r="A125" s="4" t="s">
        <v>633</v>
      </c>
      <c r="B125" s="4">
        <v>1</v>
      </c>
      <c r="C125" s="4">
        <v>0</v>
      </c>
      <c r="D125" s="14">
        <v>1</v>
      </c>
      <c r="E125" s="4">
        <v>1</v>
      </c>
      <c r="F125">
        <v>0</v>
      </c>
      <c r="G125" s="14">
        <v>1</v>
      </c>
      <c r="H125" s="4">
        <v>1</v>
      </c>
      <c r="I125">
        <v>0</v>
      </c>
      <c r="J125" s="14">
        <v>1</v>
      </c>
      <c r="K125" s="7" t="s">
        <v>634</v>
      </c>
      <c r="L125" s="7" t="s">
        <v>31</v>
      </c>
    </row>
    <row r="126" spans="1:12">
      <c r="A126" s="4" t="s">
        <v>637</v>
      </c>
      <c r="B126" s="4">
        <v>1</v>
      </c>
      <c r="C126" s="4">
        <v>0</v>
      </c>
      <c r="D126" s="14">
        <v>1</v>
      </c>
      <c r="E126" s="4">
        <v>1</v>
      </c>
      <c r="F126">
        <v>1</v>
      </c>
      <c r="G126" s="14">
        <v>2</v>
      </c>
      <c r="H126" s="4">
        <v>1</v>
      </c>
      <c r="I126">
        <v>0</v>
      </c>
      <c r="J126" s="14">
        <v>1</v>
      </c>
      <c r="K126" s="7" t="s">
        <v>638</v>
      </c>
      <c r="L126" s="7" t="s">
        <v>37</v>
      </c>
    </row>
    <row r="127" spans="1:12">
      <c r="A127" s="4" t="s">
        <v>643</v>
      </c>
      <c r="B127" s="4">
        <v>1</v>
      </c>
      <c r="C127" s="4">
        <v>0</v>
      </c>
      <c r="D127" s="14">
        <v>1</v>
      </c>
      <c r="E127" s="4">
        <v>1</v>
      </c>
      <c r="F127">
        <v>0</v>
      </c>
      <c r="G127" s="14">
        <v>1</v>
      </c>
      <c r="H127" s="4">
        <v>1</v>
      </c>
      <c r="I127">
        <v>0</v>
      </c>
      <c r="J127" s="14">
        <v>1</v>
      </c>
      <c r="K127" s="7" t="s">
        <v>644</v>
      </c>
      <c r="L127" s="7" t="s">
        <v>16</v>
      </c>
    </row>
    <row r="128" spans="1:12">
      <c r="A128" s="4" t="s">
        <v>647</v>
      </c>
      <c r="B128" s="4">
        <v>0</v>
      </c>
      <c r="C128" s="4">
        <v>1</v>
      </c>
      <c r="D128" s="14">
        <v>1</v>
      </c>
      <c r="E128" s="4">
        <v>0</v>
      </c>
      <c r="F128">
        <v>1</v>
      </c>
      <c r="G128" s="14">
        <v>1</v>
      </c>
      <c r="H128" s="4">
        <v>0</v>
      </c>
      <c r="I128">
        <v>0</v>
      </c>
      <c r="J128" s="14">
        <v>0</v>
      </c>
      <c r="K128" s="7" t="s">
        <v>648</v>
      </c>
      <c r="L128" s="7" t="s">
        <v>22</v>
      </c>
    </row>
    <row r="129" spans="1:12">
      <c r="A129" s="4" t="s">
        <v>653</v>
      </c>
      <c r="B129" s="4">
        <v>1</v>
      </c>
      <c r="C129" s="4">
        <v>0</v>
      </c>
      <c r="D129" s="14">
        <v>1</v>
      </c>
      <c r="E129" s="4">
        <v>1</v>
      </c>
      <c r="F129">
        <v>1</v>
      </c>
      <c r="G129" s="14">
        <v>2</v>
      </c>
      <c r="H129" s="4">
        <v>1</v>
      </c>
      <c r="I129">
        <v>0</v>
      </c>
      <c r="J129" s="14">
        <v>1</v>
      </c>
      <c r="K129" s="7" t="s">
        <v>654</v>
      </c>
      <c r="L129" s="7" t="s">
        <v>16</v>
      </c>
    </row>
    <row r="130" spans="1:12">
      <c r="A130" s="4" t="s">
        <v>657</v>
      </c>
      <c r="B130" s="4">
        <v>1</v>
      </c>
      <c r="C130" s="4">
        <v>0</v>
      </c>
      <c r="D130" s="14">
        <v>1</v>
      </c>
      <c r="E130" s="4">
        <v>1</v>
      </c>
      <c r="F130">
        <v>1</v>
      </c>
      <c r="G130" s="14">
        <v>2</v>
      </c>
      <c r="H130" s="4">
        <v>1</v>
      </c>
      <c r="I130">
        <v>1</v>
      </c>
      <c r="J130" s="14">
        <v>2</v>
      </c>
      <c r="K130" s="7" t="s">
        <v>658</v>
      </c>
      <c r="L130" s="7" t="s">
        <v>37</v>
      </c>
    </row>
    <row r="131" spans="1:12">
      <c r="A131" s="4" t="s">
        <v>661</v>
      </c>
      <c r="B131" s="4">
        <v>1</v>
      </c>
      <c r="C131" s="4">
        <v>0</v>
      </c>
      <c r="D131" s="14">
        <v>1</v>
      </c>
      <c r="E131" s="4">
        <v>1</v>
      </c>
      <c r="F131">
        <v>0</v>
      </c>
      <c r="G131" s="14">
        <v>1</v>
      </c>
      <c r="H131" s="4">
        <v>1</v>
      </c>
      <c r="I131">
        <v>1</v>
      </c>
      <c r="J131" s="14">
        <v>2</v>
      </c>
      <c r="K131" s="7" t="s">
        <v>662</v>
      </c>
      <c r="L131" s="7" t="s">
        <v>31</v>
      </c>
    </row>
    <row r="132" spans="1:12">
      <c r="A132" s="4" t="s">
        <v>665</v>
      </c>
      <c r="B132" s="4">
        <v>1</v>
      </c>
      <c r="C132" s="4">
        <v>1</v>
      </c>
      <c r="D132" s="14">
        <v>2</v>
      </c>
      <c r="E132" s="4">
        <v>1</v>
      </c>
      <c r="F132">
        <v>1</v>
      </c>
      <c r="G132" s="14">
        <v>2</v>
      </c>
      <c r="H132" s="4">
        <v>1</v>
      </c>
      <c r="I132">
        <v>1</v>
      </c>
      <c r="J132" s="14">
        <v>2</v>
      </c>
      <c r="K132" s="7" t="s">
        <v>666</v>
      </c>
      <c r="L132" s="7" t="s">
        <v>19</v>
      </c>
    </row>
    <row r="133" spans="1:12">
      <c r="A133" s="4" t="s">
        <v>671</v>
      </c>
      <c r="B133" s="4">
        <v>1</v>
      </c>
      <c r="C133" s="4">
        <v>1</v>
      </c>
      <c r="D133" s="14">
        <v>2</v>
      </c>
      <c r="E133" s="4">
        <v>1</v>
      </c>
      <c r="F133">
        <v>1</v>
      </c>
      <c r="G133" s="14">
        <v>2</v>
      </c>
      <c r="H133" s="4">
        <v>1</v>
      </c>
      <c r="I133">
        <v>1</v>
      </c>
      <c r="J133" s="14">
        <v>2</v>
      </c>
      <c r="K133" s="7" t="s">
        <v>672</v>
      </c>
      <c r="L133" s="7" t="s">
        <v>28</v>
      </c>
    </row>
    <row r="134" spans="1:12">
      <c r="A134" s="4" t="s">
        <v>675</v>
      </c>
      <c r="B134" s="4">
        <v>0</v>
      </c>
      <c r="C134" s="4">
        <v>1</v>
      </c>
      <c r="D134" s="14">
        <v>1</v>
      </c>
      <c r="E134" s="4">
        <v>0</v>
      </c>
      <c r="F134">
        <v>1</v>
      </c>
      <c r="G134" s="14">
        <v>1</v>
      </c>
      <c r="H134" s="4">
        <v>0</v>
      </c>
      <c r="I134">
        <v>0</v>
      </c>
      <c r="J134" s="14">
        <v>0</v>
      </c>
      <c r="K134" s="7" t="s">
        <v>676</v>
      </c>
      <c r="L134" s="7" t="s">
        <v>34</v>
      </c>
    </row>
    <row r="135" spans="1:12">
      <c r="A135" s="4" t="s">
        <v>679</v>
      </c>
      <c r="B135" s="4">
        <v>0</v>
      </c>
      <c r="C135" s="4">
        <v>0</v>
      </c>
      <c r="D135" s="14">
        <v>0</v>
      </c>
      <c r="E135" s="4">
        <v>0</v>
      </c>
      <c r="F135">
        <v>0</v>
      </c>
      <c r="G135" s="14">
        <v>0</v>
      </c>
      <c r="H135" s="4">
        <v>0</v>
      </c>
      <c r="I135">
        <v>1</v>
      </c>
      <c r="J135" s="14">
        <v>1</v>
      </c>
      <c r="K135" s="7" t="s">
        <v>680</v>
      </c>
      <c r="L135" s="7" t="s">
        <v>40</v>
      </c>
    </row>
    <row r="136" spans="1:12">
      <c r="A136" s="4" t="s">
        <v>685</v>
      </c>
      <c r="B136" s="4">
        <v>1</v>
      </c>
      <c r="C136" s="4">
        <v>0</v>
      </c>
      <c r="D136" s="14">
        <v>1</v>
      </c>
      <c r="E136" s="4">
        <v>1</v>
      </c>
      <c r="F136">
        <v>0</v>
      </c>
      <c r="G136" s="14">
        <v>1</v>
      </c>
      <c r="H136" s="4">
        <v>1</v>
      </c>
      <c r="I136">
        <v>0</v>
      </c>
      <c r="J136" s="14">
        <v>1</v>
      </c>
      <c r="K136" s="7" t="s">
        <v>686</v>
      </c>
      <c r="L136" s="7" t="s">
        <v>19</v>
      </c>
    </row>
    <row r="137" spans="1:12">
      <c r="A137" s="4" t="s">
        <v>689</v>
      </c>
      <c r="B137" s="4">
        <v>1</v>
      </c>
      <c r="C137" s="4">
        <v>0</v>
      </c>
      <c r="D137" s="14">
        <v>1</v>
      </c>
      <c r="E137" s="4">
        <v>1</v>
      </c>
      <c r="F137">
        <v>1</v>
      </c>
      <c r="G137" s="14">
        <v>2</v>
      </c>
      <c r="H137" s="4">
        <v>1</v>
      </c>
      <c r="I137">
        <v>1</v>
      </c>
      <c r="J137" s="14">
        <v>2</v>
      </c>
      <c r="K137" s="7" t="s">
        <v>690</v>
      </c>
      <c r="L137" s="7" t="s">
        <v>25</v>
      </c>
    </row>
    <row r="138" spans="1:12">
      <c r="A138" s="4" t="s">
        <v>693</v>
      </c>
      <c r="B138" s="4">
        <v>0</v>
      </c>
      <c r="C138" s="4">
        <v>0</v>
      </c>
      <c r="D138" s="14">
        <v>0</v>
      </c>
      <c r="E138" s="4">
        <v>0</v>
      </c>
      <c r="F138">
        <v>1</v>
      </c>
      <c r="G138" s="14">
        <v>1</v>
      </c>
      <c r="H138" s="4">
        <v>0</v>
      </c>
      <c r="I138">
        <v>1</v>
      </c>
      <c r="J138" s="14">
        <v>1</v>
      </c>
      <c r="K138" s="7" t="s">
        <v>694</v>
      </c>
      <c r="L138" s="7" t="s">
        <v>22</v>
      </c>
    </row>
    <row r="139" spans="1:12">
      <c r="A139" s="4" t="s">
        <v>699</v>
      </c>
      <c r="B139" s="4">
        <v>1</v>
      </c>
      <c r="C139" s="4">
        <v>1</v>
      </c>
      <c r="D139" s="14">
        <v>2</v>
      </c>
      <c r="E139" s="4">
        <v>1</v>
      </c>
      <c r="F139">
        <v>1</v>
      </c>
      <c r="G139" s="14">
        <v>2</v>
      </c>
      <c r="H139" s="4">
        <v>1</v>
      </c>
      <c r="I139">
        <v>0</v>
      </c>
      <c r="J139" s="14">
        <v>1</v>
      </c>
      <c r="K139" s="7" t="s">
        <v>700</v>
      </c>
      <c r="L139" s="7" t="s">
        <v>40</v>
      </c>
    </row>
    <row r="140" spans="1:12">
      <c r="A140" s="4" t="s">
        <v>703</v>
      </c>
      <c r="B140" s="4">
        <v>0</v>
      </c>
      <c r="C140" s="4">
        <v>0</v>
      </c>
      <c r="D140" s="14">
        <v>0</v>
      </c>
      <c r="E140" s="4">
        <v>0</v>
      </c>
      <c r="F140">
        <v>1</v>
      </c>
      <c r="G140" s="14">
        <v>1</v>
      </c>
      <c r="H140" s="4">
        <v>0</v>
      </c>
      <c r="I140">
        <v>1</v>
      </c>
      <c r="J140" s="14">
        <v>1</v>
      </c>
      <c r="K140" s="7" t="s">
        <v>704</v>
      </c>
      <c r="L140" s="7" t="s">
        <v>16</v>
      </c>
    </row>
    <row r="141" spans="1:12">
      <c r="A141" s="4" t="s">
        <v>707</v>
      </c>
      <c r="B141" s="4">
        <v>1</v>
      </c>
      <c r="C141" s="4">
        <v>1</v>
      </c>
      <c r="D141" s="14">
        <v>2</v>
      </c>
      <c r="E141" s="4">
        <v>1</v>
      </c>
      <c r="F141">
        <v>1</v>
      </c>
      <c r="G141" s="14">
        <v>2</v>
      </c>
      <c r="H141" s="4">
        <v>1</v>
      </c>
      <c r="I141">
        <v>1</v>
      </c>
      <c r="J141" s="14">
        <v>2</v>
      </c>
      <c r="K141" s="7" t="s">
        <v>708</v>
      </c>
      <c r="L141" s="7" t="s">
        <v>22</v>
      </c>
    </row>
    <row r="142" spans="1:12">
      <c r="A142" s="4" t="s">
        <v>713</v>
      </c>
      <c r="B142" s="4">
        <v>0</v>
      </c>
      <c r="C142" s="4">
        <v>0</v>
      </c>
      <c r="D142" s="14">
        <v>0</v>
      </c>
      <c r="E142" s="4">
        <v>0</v>
      </c>
      <c r="F142">
        <v>1</v>
      </c>
      <c r="G142" s="14">
        <v>1</v>
      </c>
      <c r="H142" s="4">
        <v>0</v>
      </c>
      <c r="I142">
        <v>1</v>
      </c>
      <c r="J142" s="14">
        <v>1</v>
      </c>
      <c r="K142" s="7" t="s">
        <v>714</v>
      </c>
      <c r="L142" s="7" t="s">
        <v>25</v>
      </c>
    </row>
    <row r="143" spans="1:12">
      <c r="A143" s="4" t="s">
        <v>717</v>
      </c>
      <c r="B143" s="4">
        <v>1</v>
      </c>
      <c r="C143" s="4">
        <v>0</v>
      </c>
      <c r="D143" s="14">
        <v>1</v>
      </c>
      <c r="E143" s="4">
        <v>1</v>
      </c>
      <c r="F143">
        <v>1</v>
      </c>
      <c r="G143" s="14">
        <v>2</v>
      </c>
      <c r="H143" s="4">
        <v>1</v>
      </c>
      <c r="I143">
        <v>1</v>
      </c>
      <c r="J143" s="14">
        <v>2</v>
      </c>
      <c r="K143" s="7" t="s">
        <v>718</v>
      </c>
      <c r="L143" s="7" t="s">
        <v>37</v>
      </c>
    </row>
    <row r="144" spans="1:12">
      <c r="A144" s="4" t="s">
        <v>727</v>
      </c>
      <c r="B144" s="4">
        <v>1</v>
      </c>
      <c r="C144" s="4">
        <v>0</v>
      </c>
      <c r="D144" s="14">
        <v>1</v>
      </c>
      <c r="E144" s="4">
        <v>1</v>
      </c>
      <c r="F144">
        <v>0</v>
      </c>
      <c r="G144" s="14">
        <v>1</v>
      </c>
      <c r="H144" s="4">
        <v>1</v>
      </c>
      <c r="I144">
        <v>1</v>
      </c>
      <c r="J144" s="14">
        <v>2</v>
      </c>
      <c r="K144" s="7" t="s">
        <v>728</v>
      </c>
      <c r="L144" s="7" t="s">
        <v>22</v>
      </c>
    </row>
    <row r="145" spans="1:12">
      <c r="A145" s="4" t="s">
        <v>731</v>
      </c>
      <c r="B145" s="4">
        <v>0</v>
      </c>
      <c r="C145" s="4">
        <v>0</v>
      </c>
      <c r="D145" s="14">
        <v>0</v>
      </c>
      <c r="E145" s="4">
        <v>0</v>
      </c>
      <c r="F145">
        <v>1</v>
      </c>
      <c r="G145" s="14">
        <v>1</v>
      </c>
      <c r="H145" s="4">
        <v>0</v>
      </c>
      <c r="I145">
        <v>1</v>
      </c>
      <c r="J145" s="14">
        <v>1</v>
      </c>
      <c r="K145" s="7" t="s">
        <v>732</v>
      </c>
      <c r="L145" s="7" t="s">
        <v>28</v>
      </c>
    </row>
    <row r="146" spans="1:12">
      <c r="A146" s="4" t="s">
        <v>737</v>
      </c>
      <c r="B146" s="4">
        <v>1</v>
      </c>
      <c r="C146" s="4">
        <v>0</v>
      </c>
      <c r="D146" s="14">
        <v>1</v>
      </c>
      <c r="E146" s="4">
        <v>1</v>
      </c>
      <c r="F146">
        <v>1</v>
      </c>
      <c r="G146" s="14">
        <v>2</v>
      </c>
      <c r="H146" s="4">
        <v>1</v>
      </c>
      <c r="I146">
        <v>0</v>
      </c>
      <c r="J146" s="14">
        <v>1</v>
      </c>
      <c r="K146" s="7" t="s">
        <v>738</v>
      </c>
      <c r="L146" s="7" t="s">
        <v>37</v>
      </c>
    </row>
    <row r="147" spans="1:12">
      <c r="A147" s="5" t="s">
        <v>745</v>
      </c>
      <c r="B147" s="4">
        <v>0</v>
      </c>
      <c r="C147" s="4">
        <v>1</v>
      </c>
      <c r="D147" s="14">
        <v>1</v>
      </c>
      <c r="E147" s="4">
        <v>0</v>
      </c>
      <c r="F147">
        <v>1</v>
      </c>
      <c r="G147" s="14">
        <v>1</v>
      </c>
      <c r="H147" s="4">
        <v>0</v>
      </c>
      <c r="I147">
        <v>1</v>
      </c>
      <c r="J147" s="14">
        <v>1</v>
      </c>
      <c r="K147" s="7" t="s">
        <v>746</v>
      </c>
      <c r="L147" s="7" t="s">
        <v>19</v>
      </c>
    </row>
    <row r="148" spans="1:12">
      <c r="A148" s="5" t="s">
        <v>749</v>
      </c>
      <c r="B148" s="4">
        <v>0</v>
      </c>
      <c r="C148" s="4">
        <v>1</v>
      </c>
      <c r="D148" s="14">
        <v>1</v>
      </c>
      <c r="E148" s="4">
        <v>0</v>
      </c>
      <c r="F148">
        <v>1</v>
      </c>
      <c r="G148" s="14">
        <v>1</v>
      </c>
      <c r="H148" s="4">
        <v>0</v>
      </c>
      <c r="I148">
        <v>0</v>
      </c>
      <c r="J148" s="14">
        <v>0</v>
      </c>
      <c r="K148" s="7" t="s">
        <v>750</v>
      </c>
      <c r="L148" s="7" t="s">
        <v>25</v>
      </c>
    </row>
    <row r="149" spans="1:12">
      <c r="A149" s="5" t="s">
        <v>757</v>
      </c>
      <c r="B149" s="4">
        <v>0</v>
      </c>
      <c r="C149" s="4">
        <v>1</v>
      </c>
      <c r="D149" s="14">
        <v>1</v>
      </c>
      <c r="E149" s="4">
        <v>0</v>
      </c>
      <c r="F149">
        <v>0</v>
      </c>
      <c r="G149" s="14">
        <v>0</v>
      </c>
      <c r="H149" s="4">
        <v>0</v>
      </c>
      <c r="I149">
        <v>0</v>
      </c>
      <c r="J149" s="14">
        <v>0</v>
      </c>
      <c r="K149" s="7" t="s">
        <v>758</v>
      </c>
      <c r="L149" s="7" t="s">
        <v>37</v>
      </c>
    </row>
    <row r="150" spans="1:12">
      <c r="A150" s="5" t="s">
        <v>763</v>
      </c>
      <c r="B150" s="4">
        <v>1</v>
      </c>
      <c r="C150" s="4">
        <v>0</v>
      </c>
      <c r="D150" s="14">
        <v>1</v>
      </c>
      <c r="E150" s="4">
        <v>1</v>
      </c>
      <c r="F150">
        <v>0</v>
      </c>
      <c r="G150" s="14">
        <v>1</v>
      </c>
      <c r="H150" s="4">
        <v>1</v>
      </c>
      <c r="I150">
        <v>1</v>
      </c>
      <c r="J150" s="14">
        <v>2</v>
      </c>
      <c r="K150" s="7" t="s">
        <v>764</v>
      </c>
      <c r="L150" s="7" t="s">
        <v>16</v>
      </c>
    </row>
    <row r="151" spans="1:12">
      <c r="A151" s="5" t="s">
        <v>769</v>
      </c>
      <c r="B151" s="4">
        <v>0</v>
      </c>
      <c r="C151" s="4">
        <v>0</v>
      </c>
      <c r="D151" s="14">
        <v>0</v>
      </c>
      <c r="E151" s="4">
        <v>0</v>
      </c>
      <c r="F151">
        <v>0</v>
      </c>
      <c r="G151" s="14">
        <v>0</v>
      </c>
      <c r="H151" s="4">
        <v>0</v>
      </c>
      <c r="I151">
        <v>1</v>
      </c>
      <c r="J151" s="14">
        <v>1</v>
      </c>
      <c r="K151" s="7" t="s">
        <v>770</v>
      </c>
      <c r="L151" s="7" t="s">
        <v>25</v>
      </c>
    </row>
    <row r="152" spans="1:12">
      <c r="A152" s="6" t="s">
        <v>773</v>
      </c>
      <c r="B152" s="4">
        <v>0</v>
      </c>
      <c r="C152" s="4">
        <v>0</v>
      </c>
      <c r="D152" s="14">
        <v>0</v>
      </c>
      <c r="E152" s="4">
        <v>0</v>
      </c>
      <c r="F152">
        <v>0</v>
      </c>
      <c r="G152" s="14">
        <v>0</v>
      </c>
      <c r="H152" s="4">
        <v>0</v>
      </c>
      <c r="I152">
        <v>1</v>
      </c>
      <c r="J152" s="15">
        <v>1</v>
      </c>
      <c r="K152" s="7" t="s">
        <v>774</v>
      </c>
      <c r="L152" s="7" t="s">
        <v>16</v>
      </c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8"/>
  <sheetViews>
    <sheetView topLeftCell="A315" workbookViewId="0">
      <selection activeCell="Q1" sqref="Q1:R378"/>
    </sheetView>
  </sheetViews>
  <sheetFormatPr defaultColWidth="9" defaultRowHeight="13.5"/>
  <cols>
    <col min="1" max="1" width="11.75" customWidth="1"/>
    <col min="17" max="17" width="23.375" style="7" customWidth="1"/>
    <col min="18" max="18" width="9" style="7"/>
  </cols>
  <sheetData>
    <row r="1" spans="1:18">
      <c r="A1" s="2" t="s">
        <v>0</v>
      </c>
      <c r="B1" s="2" t="s">
        <v>781</v>
      </c>
      <c r="C1" s="2" t="s">
        <v>782</v>
      </c>
      <c r="D1" s="2" t="s">
        <v>783</v>
      </c>
      <c r="E1" s="2" t="s">
        <v>784</v>
      </c>
      <c r="F1" s="2" t="s">
        <v>785</v>
      </c>
      <c r="G1" s="2" t="s">
        <v>786</v>
      </c>
      <c r="H1" s="2" t="s">
        <v>787</v>
      </c>
      <c r="I1" s="2" t="s">
        <v>788</v>
      </c>
      <c r="J1" s="2" t="s">
        <v>789</v>
      </c>
      <c r="K1" s="2" t="s">
        <v>790</v>
      </c>
      <c r="L1" s="2" t="s">
        <v>791</v>
      </c>
      <c r="M1" s="2" t="s">
        <v>792</v>
      </c>
      <c r="N1" s="2" t="s">
        <v>793</v>
      </c>
      <c r="O1" s="2" t="s">
        <v>794</v>
      </c>
      <c r="P1" s="8" t="s">
        <v>795</v>
      </c>
      <c r="Q1" s="10" t="s">
        <v>12</v>
      </c>
      <c r="R1" s="10" t="s">
        <v>13</v>
      </c>
    </row>
    <row r="2" spans="1:18">
      <c r="A2" s="4" t="s">
        <v>14</v>
      </c>
      <c r="B2" s="4">
        <v>-1.5</v>
      </c>
      <c r="C2" s="4">
        <v>-1</v>
      </c>
      <c r="D2" s="4">
        <v>-3</v>
      </c>
      <c r="E2" s="4">
        <v>4</v>
      </c>
      <c r="F2" s="4">
        <v>5</v>
      </c>
      <c r="G2" s="4">
        <v>-2</v>
      </c>
      <c r="H2" s="4">
        <v>0</v>
      </c>
      <c r="I2" s="4">
        <v>-1</v>
      </c>
      <c r="J2" s="4">
        <v>0</v>
      </c>
      <c r="K2" s="4">
        <v>-1.5</v>
      </c>
      <c r="L2" s="4">
        <v>1</v>
      </c>
      <c r="M2" s="4">
        <v>-3</v>
      </c>
      <c r="N2" s="4">
        <v>-1</v>
      </c>
      <c r="O2" s="4">
        <v>0</v>
      </c>
      <c r="P2" s="4">
        <v>1</v>
      </c>
      <c r="Q2" s="7" t="s">
        <v>15</v>
      </c>
      <c r="R2" s="7" t="s">
        <v>16</v>
      </c>
    </row>
    <row r="3" spans="1:18">
      <c r="A3" s="4" t="s">
        <v>17</v>
      </c>
      <c r="B3" s="4">
        <v>-4</v>
      </c>
      <c r="C3" s="4">
        <v>-5</v>
      </c>
      <c r="D3" s="4">
        <v>1</v>
      </c>
      <c r="E3" s="4">
        <v>2</v>
      </c>
      <c r="F3" s="4">
        <v>1</v>
      </c>
      <c r="G3" s="4">
        <v>0</v>
      </c>
      <c r="H3" s="4">
        <v>-5</v>
      </c>
      <c r="I3" s="4">
        <v>2</v>
      </c>
      <c r="J3" s="4">
        <v>2</v>
      </c>
      <c r="K3" s="4">
        <v>1</v>
      </c>
      <c r="L3" s="4">
        <v>-4</v>
      </c>
      <c r="M3" s="4">
        <v>-1</v>
      </c>
      <c r="N3" s="4">
        <v>1</v>
      </c>
      <c r="O3" s="4">
        <v>5</v>
      </c>
      <c r="P3" s="4">
        <v>0</v>
      </c>
      <c r="Q3" s="7" t="s">
        <v>18</v>
      </c>
      <c r="R3" s="7" t="s">
        <v>19</v>
      </c>
    </row>
    <row r="4" spans="1:18">
      <c r="A4" s="4" t="s">
        <v>20</v>
      </c>
      <c r="B4" s="4">
        <v>-4</v>
      </c>
      <c r="C4" s="4">
        <v>-3</v>
      </c>
      <c r="D4" s="4">
        <v>-2</v>
      </c>
      <c r="E4" s="4">
        <v>3</v>
      </c>
      <c r="F4" s="4">
        <v>-6</v>
      </c>
      <c r="G4" s="4">
        <v>-3</v>
      </c>
      <c r="H4" s="4">
        <v>-7</v>
      </c>
      <c r="I4" s="4">
        <v>1</v>
      </c>
      <c r="J4" s="4">
        <v>-7</v>
      </c>
      <c r="K4" s="4">
        <v>8</v>
      </c>
      <c r="L4" s="4">
        <v>7.5</v>
      </c>
      <c r="M4" s="4">
        <v>-4</v>
      </c>
      <c r="N4" s="4">
        <v>0.5</v>
      </c>
      <c r="O4" s="4">
        <v>6</v>
      </c>
      <c r="P4" s="4">
        <v>0</v>
      </c>
      <c r="Q4" s="7" t="s">
        <v>21</v>
      </c>
      <c r="R4" s="7" t="s">
        <v>22</v>
      </c>
    </row>
    <row r="5" spans="1:18">
      <c r="A5" s="4" t="s">
        <v>23</v>
      </c>
      <c r="B5" s="4">
        <v>2</v>
      </c>
      <c r="C5" s="4">
        <v>-1</v>
      </c>
      <c r="D5" s="4">
        <v>6</v>
      </c>
      <c r="E5" s="4">
        <v>3</v>
      </c>
      <c r="F5" s="4">
        <v>-1</v>
      </c>
      <c r="G5" s="4">
        <v>4</v>
      </c>
      <c r="H5" s="4">
        <v>-3</v>
      </c>
      <c r="I5" s="4">
        <v>2</v>
      </c>
      <c r="J5" s="4">
        <v>0</v>
      </c>
      <c r="K5" s="4">
        <v>-1</v>
      </c>
      <c r="L5" s="4">
        <v>1</v>
      </c>
      <c r="M5" s="4">
        <v>4</v>
      </c>
      <c r="N5" s="4">
        <v>2</v>
      </c>
      <c r="O5" s="4">
        <v>0</v>
      </c>
      <c r="P5" s="4">
        <v>1</v>
      </c>
      <c r="Q5" s="7" t="s">
        <v>24</v>
      </c>
      <c r="R5" s="7" t="s">
        <v>25</v>
      </c>
    </row>
    <row r="6" spans="1:18">
      <c r="A6" s="4" t="s">
        <v>26</v>
      </c>
      <c r="B6" s="4">
        <v>-1</v>
      </c>
      <c r="C6" s="4">
        <v>0</v>
      </c>
      <c r="D6" s="4">
        <v>-1</v>
      </c>
      <c r="E6" s="4">
        <v>0</v>
      </c>
      <c r="F6" s="4">
        <v>-1</v>
      </c>
      <c r="G6" s="4">
        <v>-5.5</v>
      </c>
      <c r="H6" s="4">
        <v>0</v>
      </c>
      <c r="I6" s="4">
        <v>1</v>
      </c>
      <c r="J6" s="4">
        <v>5</v>
      </c>
      <c r="K6" s="4">
        <v>2</v>
      </c>
      <c r="L6" s="4">
        <v>5</v>
      </c>
      <c r="M6" s="4">
        <v>5</v>
      </c>
      <c r="N6" s="4">
        <v>3</v>
      </c>
      <c r="O6" s="4">
        <v>-1</v>
      </c>
      <c r="P6" s="4">
        <v>1</v>
      </c>
      <c r="Q6" s="7" t="s">
        <v>27</v>
      </c>
      <c r="R6" s="7" t="s">
        <v>28</v>
      </c>
    </row>
    <row r="7" spans="1:18">
      <c r="A7" s="4" t="s">
        <v>29</v>
      </c>
      <c r="B7" s="4">
        <v>-8</v>
      </c>
      <c r="C7" s="4">
        <v>1</v>
      </c>
      <c r="D7" s="4">
        <v>-8</v>
      </c>
      <c r="E7" s="4">
        <v>5</v>
      </c>
      <c r="F7" s="4">
        <v>4</v>
      </c>
      <c r="G7" s="4">
        <v>-4.5</v>
      </c>
      <c r="H7" s="4">
        <v>1</v>
      </c>
      <c r="I7" s="4">
        <v>-1</v>
      </c>
      <c r="J7" s="4">
        <v>-5</v>
      </c>
      <c r="K7" s="4">
        <v>-1</v>
      </c>
      <c r="L7" s="4">
        <v>3</v>
      </c>
      <c r="M7" s="4">
        <v>-1.5</v>
      </c>
      <c r="N7" s="4">
        <v>-1</v>
      </c>
      <c r="O7" s="4">
        <v>6.5</v>
      </c>
      <c r="P7" s="4">
        <v>1</v>
      </c>
      <c r="Q7" s="7" t="s">
        <v>30</v>
      </c>
      <c r="R7" s="7" t="s">
        <v>31</v>
      </c>
    </row>
    <row r="8" spans="1:18">
      <c r="A8" s="4" t="s">
        <v>32</v>
      </c>
      <c r="B8" s="4">
        <v>3</v>
      </c>
      <c r="C8" s="4">
        <v>4</v>
      </c>
      <c r="D8" s="4">
        <v>3</v>
      </c>
      <c r="E8" s="4">
        <v>3</v>
      </c>
      <c r="F8" s="4">
        <v>6</v>
      </c>
      <c r="G8" s="4">
        <v>-4</v>
      </c>
      <c r="H8" s="4">
        <v>3</v>
      </c>
      <c r="I8" s="4">
        <v>4.5</v>
      </c>
      <c r="J8" s="4">
        <v>0</v>
      </c>
      <c r="K8" s="4">
        <v>2</v>
      </c>
      <c r="L8" s="4">
        <v>0</v>
      </c>
      <c r="M8" s="4">
        <v>4</v>
      </c>
      <c r="N8" s="4">
        <v>8</v>
      </c>
      <c r="O8" s="4">
        <v>5</v>
      </c>
      <c r="P8" s="4">
        <v>1</v>
      </c>
      <c r="Q8" s="7" t="s">
        <v>33</v>
      </c>
      <c r="R8" s="7" t="s">
        <v>34</v>
      </c>
    </row>
    <row r="9" spans="1:18">
      <c r="A9" s="4" t="s">
        <v>35</v>
      </c>
      <c r="B9" s="4">
        <v>-3</v>
      </c>
      <c r="C9" s="4">
        <v>-1</v>
      </c>
      <c r="D9" s="4">
        <v>6</v>
      </c>
      <c r="E9" s="4">
        <v>2</v>
      </c>
      <c r="F9" s="4">
        <v>-3</v>
      </c>
      <c r="G9" s="4">
        <v>8</v>
      </c>
      <c r="H9" s="4">
        <v>3</v>
      </c>
      <c r="I9" s="4">
        <v>0</v>
      </c>
      <c r="J9" s="4">
        <v>-7</v>
      </c>
      <c r="K9" s="4">
        <v>1</v>
      </c>
      <c r="L9" s="4">
        <v>-1</v>
      </c>
      <c r="M9" s="4">
        <v>-7</v>
      </c>
      <c r="N9" s="4">
        <v>-4</v>
      </c>
      <c r="O9" s="4">
        <v>2</v>
      </c>
      <c r="P9" s="4">
        <v>1</v>
      </c>
      <c r="Q9" s="7" t="s">
        <v>36</v>
      </c>
      <c r="R9" s="7" t="s">
        <v>37</v>
      </c>
    </row>
    <row r="10" spans="1:18">
      <c r="A10" s="4" t="s">
        <v>38</v>
      </c>
      <c r="B10" s="4">
        <v>-5.5</v>
      </c>
      <c r="C10" s="4">
        <v>0</v>
      </c>
      <c r="D10" s="4">
        <v>1</v>
      </c>
      <c r="E10" s="4">
        <v>-1</v>
      </c>
      <c r="F10" s="4">
        <v>4</v>
      </c>
      <c r="G10" s="4">
        <v>-5.5</v>
      </c>
      <c r="H10" s="4">
        <v>-1</v>
      </c>
      <c r="I10" s="4">
        <v>-0.5</v>
      </c>
      <c r="J10" s="4">
        <v>-5</v>
      </c>
      <c r="K10" s="4">
        <v>0</v>
      </c>
      <c r="L10" s="4">
        <v>0</v>
      </c>
      <c r="M10" s="4">
        <v>-3.5</v>
      </c>
      <c r="N10" s="4">
        <v>3</v>
      </c>
      <c r="O10" s="4">
        <v>3</v>
      </c>
      <c r="P10" s="4">
        <v>0</v>
      </c>
      <c r="Q10" s="7" t="s">
        <v>39</v>
      </c>
      <c r="R10" s="7" t="s">
        <v>40</v>
      </c>
    </row>
    <row r="11" spans="1:18">
      <c r="A11" s="4" t="s">
        <v>41</v>
      </c>
      <c r="B11" s="4">
        <v>4</v>
      </c>
      <c r="C11" s="4">
        <v>2</v>
      </c>
      <c r="D11" s="4">
        <v>-7.5</v>
      </c>
      <c r="E11" s="4">
        <v>0</v>
      </c>
      <c r="F11" s="4">
        <v>-3</v>
      </c>
      <c r="G11" s="4">
        <v>-1</v>
      </c>
      <c r="H11" s="4">
        <v>4</v>
      </c>
      <c r="I11" s="4">
        <v>0</v>
      </c>
      <c r="J11" s="4">
        <v>2</v>
      </c>
      <c r="K11" s="4">
        <v>3</v>
      </c>
      <c r="L11" s="4">
        <v>3</v>
      </c>
      <c r="M11" s="4">
        <v>0</v>
      </c>
      <c r="N11" s="4">
        <v>0</v>
      </c>
      <c r="O11" s="4">
        <v>-3</v>
      </c>
      <c r="P11" s="4">
        <v>0</v>
      </c>
      <c r="Q11" s="7" t="s">
        <v>42</v>
      </c>
      <c r="R11" s="7" t="s">
        <v>31</v>
      </c>
    </row>
    <row r="12" spans="1:18">
      <c r="A12" s="4" t="s">
        <v>43</v>
      </c>
      <c r="B12" s="4">
        <v>2</v>
      </c>
      <c r="C12" s="4">
        <v>2</v>
      </c>
      <c r="D12" s="4">
        <v>-12</v>
      </c>
      <c r="E12" s="4">
        <v>-3</v>
      </c>
      <c r="F12" s="4">
        <v>3</v>
      </c>
      <c r="G12" s="4">
        <v>-7.5</v>
      </c>
      <c r="H12" s="4">
        <v>1</v>
      </c>
      <c r="I12" s="4">
        <v>2</v>
      </c>
      <c r="J12" s="4">
        <v>-1.5</v>
      </c>
      <c r="K12" s="4">
        <v>3</v>
      </c>
      <c r="L12" s="4">
        <v>-4</v>
      </c>
      <c r="M12" s="4">
        <v>-9</v>
      </c>
      <c r="N12" s="4">
        <v>-9</v>
      </c>
      <c r="O12" s="4">
        <v>2</v>
      </c>
      <c r="P12" s="4">
        <v>0</v>
      </c>
      <c r="Q12" s="7" t="s">
        <v>44</v>
      </c>
      <c r="R12" s="7" t="s">
        <v>16</v>
      </c>
    </row>
    <row r="13" spans="1:18">
      <c r="A13" s="4" t="s">
        <v>45</v>
      </c>
      <c r="B13" s="4">
        <v>0</v>
      </c>
      <c r="C13" s="4">
        <v>2</v>
      </c>
      <c r="D13" s="4">
        <v>0</v>
      </c>
      <c r="E13" s="4">
        <v>2</v>
      </c>
      <c r="F13" s="4">
        <v>-1</v>
      </c>
      <c r="G13" s="4">
        <v>-4</v>
      </c>
      <c r="H13" s="4">
        <v>2</v>
      </c>
      <c r="I13" s="4">
        <v>-0.5</v>
      </c>
      <c r="J13" s="4">
        <v>0</v>
      </c>
      <c r="K13" s="4">
        <v>-1</v>
      </c>
      <c r="L13" s="4">
        <v>2</v>
      </c>
      <c r="M13" s="4">
        <v>0</v>
      </c>
      <c r="N13" s="4">
        <v>2</v>
      </c>
      <c r="O13" s="4">
        <v>-3</v>
      </c>
      <c r="P13" s="4">
        <v>1</v>
      </c>
      <c r="Q13" s="7" t="s">
        <v>46</v>
      </c>
      <c r="R13" s="7" t="s">
        <v>19</v>
      </c>
    </row>
    <row r="14" spans="1:18">
      <c r="A14" s="4" t="s">
        <v>47</v>
      </c>
      <c r="B14" s="4">
        <v>3</v>
      </c>
      <c r="C14" s="4">
        <v>1</v>
      </c>
      <c r="D14" s="4">
        <v>-1.5</v>
      </c>
      <c r="E14" s="4">
        <v>4</v>
      </c>
      <c r="F14" s="4">
        <v>-4</v>
      </c>
      <c r="G14" s="4">
        <v>1</v>
      </c>
      <c r="H14" s="4">
        <v>8</v>
      </c>
      <c r="I14" s="4">
        <v>2</v>
      </c>
      <c r="J14" s="4">
        <v>-9.5</v>
      </c>
      <c r="K14" s="4">
        <v>3</v>
      </c>
      <c r="L14" s="4">
        <v>3</v>
      </c>
      <c r="M14" s="4">
        <v>-8.5</v>
      </c>
      <c r="N14" s="4">
        <v>1</v>
      </c>
      <c r="O14" s="4">
        <v>-5</v>
      </c>
      <c r="P14" s="4">
        <v>0</v>
      </c>
      <c r="Q14" s="7" t="s">
        <v>48</v>
      </c>
      <c r="R14" s="7" t="s">
        <v>22</v>
      </c>
    </row>
    <row r="15" spans="1:18">
      <c r="A15" s="4" t="s">
        <v>49</v>
      </c>
      <c r="B15" s="4">
        <v>-1</v>
      </c>
      <c r="C15" s="4">
        <v>3</v>
      </c>
      <c r="D15" s="4">
        <v>-3</v>
      </c>
      <c r="E15" s="4">
        <v>-7</v>
      </c>
      <c r="F15" s="4">
        <v>3</v>
      </c>
      <c r="G15" s="4">
        <v>-5</v>
      </c>
      <c r="H15" s="4">
        <v>-1</v>
      </c>
      <c r="I15" s="4">
        <v>-1</v>
      </c>
      <c r="J15" s="4">
        <v>-1</v>
      </c>
      <c r="K15" s="4">
        <v>3</v>
      </c>
      <c r="L15" s="4">
        <v>-1</v>
      </c>
      <c r="M15" s="4">
        <v>-1</v>
      </c>
      <c r="N15" s="4">
        <v>1</v>
      </c>
      <c r="O15" s="4">
        <v>3</v>
      </c>
      <c r="P15" s="4">
        <v>1</v>
      </c>
      <c r="Q15" s="7" t="s">
        <v>50</v>
      </c>
      <c r="R15" s="7" t="s">
        <v>25</v>
      </c>
    </row>
    <row r="16" spans="1:18">
      <c r="A16" s="4" t="s">
        <v>51</v>
      </c>
      <c r="B16" s="4">
        <v>3</v>
      </c>
      <c r="C16" s="4">
        <v>4</v>
      </c>
      <c r="D16" s="4">
        <v>0</v>
      </c>
      <c r="E16" s="4">
        <v>4</v>
      </c>
      <c r="F16" s="4">
        <v>-2</v>
      </c>
      <c r="G16" s="4">
        <v>3</v>
      </c>
      <c r="H16" s="4">
        <v>8</v>
      </c>
      <c r="I16" s="4">
        <v>5</v>
      </c>
      <c r="J16" s="4">
        <v>3</v>
      </c>
      <c r="K16" s="4">
        <v>2</v>
      </c>
      <c r="L16" s="4">
        <v>6</v>
      </c>
      <c r="M16" s="4">
        <v>3</v>
      </c>
      <c r="N16" s="4">
        <v>-1</v>
      </c>
      <c r="O16" s="4">
        <v>-3</v>
      </c>
      <c r="P16" s="4">
        <v>0</v>
      </c>
      <c r="Q16" s="7" t="s">
        <v>52</v>
      </c>
      <c r="R16" s="7" t="s">
        <v>28</v>
      </c>
    </row>
    <row r="17" spans="1:18">
      <c r="A17" s="4" t="s">
        <v>53</v>
      </c>
      <c r="B17" s="4">
        <v>-4</v>
      </c>
      <c r="C17" s="4">
        <v>4</v>
      </c>
      <c r="D17" s="4">
        <v>-7.5</v>
      </c>
      <c r="E17" s="4">
        <v>-6</v>
      </c>
      <c r="F17" s="4">
        <v>-5</v>
      </c>
      <c r="G17" s="4">
        <v>-8</v>
      </c>
      <c r="H17" s="4">
        <v>-1</v>
      </c>
      <c r="I17" s="4">
        <v>4</v>
      </c>
      <c r="J17" s="4">
        <v>1</v>
      </c>
      <c r="K17" s="4">
        <v>3</v>
      </c>
      <c r="L17" s="4">
        <v>2</v>
      </c>
      <c r="M17" s="4">
        <v>-1.5</v>
      </c>
      <c r="N17" s="4">
        <v>-4</v>
      </c>
      <c r="O17" s="4">
        <v>7</v>
      </c>
      <c r="P17" s="4">
        <v>0</v>
      </c>
      <c r="Q17" s="7" t="s">
        <v>54</v>
      </c>
      <c r="R17" s="7" t="s">
        <v>16</v>
      </c>
    </row>
    <row r="18" spans="1:18">
      <c r="A18" s="4" t="s">
        <v>55</v>
      </c>
      <c r="B18" s="4">
        <v>-1</v>
      </c>
      <c r="C18" s="4">
        <v>-5</v>
      </c>
      <c r="D18" s="4">
        <v>-8</v>
      </c>
      <c r="E18" s="4">
        <v>3</v>
      </c>
      <c r="F18" s="4">
        <v>2</v>
      </c>
      <c r="G18" s="4">
        <v>-5</v>
      </c>
      <c r="H18" s="4">
        <v>-2</v>
      </c>
      <c r="I18" s="4">
        <v>-1</v>
      </c>
      <c r="J18" s="4">
        <v>0</v>
      </c>
      <c r="K18" s="4">
        <v>-9</v>
      </c>
      <c r="L18" s="4">
        <v>-3</v>
      </c>
      <c r="M18" s="4">
        <v>-5</v>
      </c>
      <c r="N18" s="4">
        <v>2</v>
      </c>
      <c r="O18" s="4">
        <v>-1</v>
      </c>
      <c r="P18" s="4">
        <v>1</v>
      </c>
      <c r="Q18" s="7" t="s">
        <v>56</v>
      </c>
      <c r="R18" s="7" t="s">
        <v>34</v>
      </c>
    </row>
    <row r="19" spans="1:18">
      <c r="A19" s="4" t="s">
        <v>57</v>
      </c>
      <c r="B19" s="4">
        <v>0</v>
      </c>
      <c r="C19" s="4">
        <v>0</v>
      </c>
      <c r="D19" s="4">
        <v>0</v>
      </c>
      <c r="E19" s="4">
        <v>1</v>
      </c>
      <c r="F19" s="4">
        <v>-1</v>
      </c>
      <c r="G19" s="4">
        <v>-3.5</v>
      </c>
      <c r="H19" s="4">
        <v>-1</v>
      </c>
      <c r="I19" s="4">
        <v>-2</v>
      </c>
      <c r="J19" s="4">
        <v>-11</v>
      </c>
      <c r="K19" s="4">
        <v>-4</v>
      </c>
      <c r="L19" s="4">
        <v>0</v>
      </c>
      <c r="M19" s="4">
        <v>-7</v>
      </c>
      <c r="N19" s="4">
        <v>6</v>
      </c>
      <c r="O19" s="4">
        <v>1</v>
      </c>
      <c r="P19" s="4">
        <v>1</v>
      </c>
      <c r="Q19" s="7" t="s">
        <v>58</v>
      </c>
      <c r="R19" s="7" t="s">
        <v>37</v>
      </c>
    </row>
    <row r="20" spans="1:18">
      <c r="A20" s="4" t="s">
        <v>59</v>
      </c>
      <c r="B20" s="4">
        <v>-8</v>
      </c>
      <c r="C20" s="4">
        <v>3</v>
      </c>
      <c r="D20" s="4">
        <v>1</v>
      </c>
      <c r="E20" s="4">
        <v>-8</v>
      </c>
      <c r="F20" s="4">
        <v>0</v>
      </c>
      <c r="G20" s="4">
        <v>0</v>
      </c>
      <c r="H20" s="4">
        <v>-2</v>
      </c>
      <c r="I20" s="4">
        <v>2</v>
      </c>
      <c r="J20" s="4">
        <v>-6</v>
      </c>
      <c r="K20" s="4">
        <v>3</v>
      </c>
      <c r="L20" s="4">
        <v>-5</v>
      </c>
      <c r="M20" s="4">
        <v>-9.5</v>
      </c>
      <c r="N20" s="4">
        <v>-1.5</v>
      </c>
      <c r="O20" s="4">
        <v>0</v>
      </c>
      <c r="P20" s="4">
        <v>0</v>
      </c>
      <c r="Q20" s="7" t="s">
        <v>60</v>
      </c>
      <c r="R20" s="7" t="s">
        <v>40</v>
      </c>
    </row>
    <row r="21" spans="1:18">
      <c r="A21" s="4" t="s">
        <v>61</v>
      </c>
      <c r="B21" s="4">
        <v>-3</v>
      </c>
      <c r="C21" s="4">
        <v>0</v>
      </c>
      <c r="D21" s="4">
        <v>0</v>
      </c>
      <c r="E21" s="4">
        <v>4</v>
      </c>
      <c r="F21" s="4">
        <v>-3</v>
      </c>
      <c r="G21" s="4">
        <v>-3</v>
      </c>
      <c r="H21" s="4">
        <v>1</v>
      </c>
      <c r="I21" s="4">
        <v>7.5</v>
      </c>
      <c r="J21" s="4">
        <v>0</v>
      </c>
      <c r="K21" s="4">
        <v>2</v>
      </c>
      <c r="L21" s="4">
        <v>2</v>
      </c>
      <c r="M21" s="4">
        <v>1.5</v>
      </c>
      <c r="N21" s="4">
        <v>3</v>
      </c>
      <c r="O21" s="4">
        <v>-2</v>
      </c>
      <c r="P21" s="4">
        <v>0</v>
      </c>
      <c r="Q21" s="7" t="s">
        <v>62</v>
      </c>
      <c r="R21" s="7" t="s">
        <v>31</v>
      </c>
    </row>
    <row r="22" spans="1:18">
      <c r="A22" s="4" t="s">
        <v>63</v>
      </c>
      <c r="B22" s="4">
        <v>8</v>
      </c>
      <c r="C22" s="4">
        <v>3</v>
      </c>
      <c r="D22" s="4">
        <v>-1</v>
      </c>
      <c r="E22" s="4">
        <v>-3</v>
      </c>
      <c r="F22" s="4">
        <v>5</v>
      </c>
      <c r="G22" s="4">
        <v>8</v>
      </c>
      <c r="H22" s="4">
        <v>1</v>
      </c>
      <c r="I22" s="4">
        <v>3</v>
      </c>
      <c r="J22" s="4">
        <v>6</v>
      </c>
      <c r="K22" s="4">
        <v>1</v>
      </c>
      <c r="L22" s="4">
        <v>8.5</v>
      </c>
      <c r="M22" s="4">
        <v>1</v>
      </c>
      <c r="N22" s="4">
        <v>-2</v>
      </c>
      <c r="O22" s="4">
        <v>4.5</v>
      </c>
      <c r="P22" s="4">
        <v>0</v>
      </c>
      <c r="Q22" s="7" t="s">
        <v>64</v>
      </c>
      <c r="R22" s="7" t="s">
        <v>16</v>
      </c>
    </row>
    <row r="23" spans="1:18">
      <c r="A23" s="4" t="s">
        <v>65</v>
      </c>
      <c r="B23" s="4">
        <v>3</v>
      </c>
      <c r="C23" s="4">
        <v>3</v>
      </c>
      <c r="D23" s="4">
        <v>2</v>
      </c>
      <c r="E23" s="4">
        <v>3.5</v>
      </c>
      <c r="F23" s="4">
        <v>-2</v>
      </c>
      <c r="G23" s="4">
        <v>-7</v>
      </c>
      <c r="H23" s="4">
        <v>3</v>
      </c>
      <c r="I23" s="4">
        <v>5.5</v>
      </c>
      <c r="J23" s="4">
        <v>2</v>
      </c>
      <c r="K23" s="4">
        <v>0</v>
      </c>
      <c r="L23" s="4">
        <v>-1</v>
      </c>
      <c r="M23" s="4">
        <v>-8</v>
      </c>
      <c r="N23" s="4">
        <v>-4</v>
      </c>
      <c r="O23" s="4">
        <v>-2</v>
      </c>
      <c r="P23" s="4">
        <v>0</v>
      </c>
      <c r="Q23" s="7" t="s">
        <v>66</v>
      </c>
      <c r="R23" s="7" t="s">
        <v>19</v>
      </c>
    </row>
    <row r="24" spans="1:18">
      <c r="A24" s="4" t="s">
        <v>67</v>
      </c>
      <c r="B24" s="4">
        <v>2.5</v>
      </c>
      <c r="C24" s="4">
        <v>-4</v>
      </c>
      <c r="D24" s="4">
        <v>-3</v>
      </c>
      <c r="E24" s="4">
        <v>-5</v>
      </c>
      <c r="F24" s="4">
        <v>-2</v>
      </c>
      <c r="G24" s="4">
        <v>-4</v>
      </c>
      <c r="H24" s="4">
        <v>-2</v>
      </c>
      <c r="I24" s="4">
        <v>2.5</v>
      </c>
      <c r="J24" s="4">
        <v>-6</v>
      </c>
      <c r="K24" s="4">
        <v>1</v>
      </c>
      <c r="L24" s="4">
        <v>-4</v>
      </c>
      <c r="M24" s="4">
        <v>-1</v>
      </c>
      <c r="N24" s="4">
        <v>1.5</v>
      </c>
      <c r="O24" s="4">
        <v>1.5</v>
      </c>
      <c r="P24" s="4">
        <v>0</v>
      </c>
      <c r="Q24" s="7" t="s">
        <v>68</v>
      </c>
      <c r="R24" s="7" t="s">
        <v>22</v>
      </c>
    </row>
    <row r="25" spans="1:18">
      <c r="A25" s="4" t="s">
        <v>69</v>
      </c>
      <c r="B25" s="4">
        <v>0</v>
      </c>
      <c r="C25" s="4">
        <v>1.5</v>
      </c>
      <c r="D25" s="4">
        <v>-2</v>
      </c>
      <c r="E25" s="4">
        <v>1</v>
      </c>
      <c r="F25" s="4">
        <v>1.5</v>
      </c>
      <c r="G25" s="4">
        <v>-0.5</v>
      </c>
      <c r="H25" s="4">
        <v>-3</v>
      </c>
      <c r="I25" s="4">
        <v>-3</v>
      </c>
      <c r="J25" s="4">
        <v>0</v>
      </c>
      <c r="K25" s="4">
        <v>-7</v>
      </c>
      <c r="L25" s="4">
        <v>6.5</v>
      </c>
      <c r="M25" s="4">
        <v>5</v>
      </c>
      <c r="N25" s="4">
        <v>3</v>
      </c>
      <c r="O25" s="4">
        <v>-3</v>
      </c>
      <c r="P25" s="4">
        <v>1</v>
      </c>
      <c r="Q25" s="7" t="s">
        <v>70</v>
      </c>
      <c r="R25" s="7" t="s">
        <v>25</v>
      </c>
    </row>
    <row r="26" spans="1:18">
      <c r="A26" s="4" t="s">
        <v>71</v>
      </c>
      <c r="B26" s="4">
        <v>0</v>
      </c>
      <c r="C26" s="4">
        <v>2</v>
      </c>
      <c r="D26" s="4">
        <v>-4</v>
      </c>
      <c r="E26" s="4">
        <v>2</v>
      </c>
      <c r="F26" s="4">
        <v>-5</v>
      </c>
      <c r="G26" s="4">
        <v>-4</v>
      </c>
      <c r="H26" s="4">
        <v>2</v>
      </c>
      <c r="I26" s="4">
        <v>-0.5</v>
      </c>
      <c r="J26" s="4">
        <v>1</v>
      </c>
      <c r="K26" s="4">
        <v>0</v>
      </c>
      <c r="L26" s="4">
        <v>1.5</v>
      </c>
      <c r="M26" s="4">
        <v>-5</v>
      </c>
      <c r="N26" s="4">
        <v>-3</v>
      </c>
      <c r="O26" s="4">
        <v>-4</v>
      </c>
      <c r="P26" s="4">
        <v>0</v>
      </c>
      <c r="Q26" s="7" t="s">
        <v>72</v>
      </c>
      <c r="R26" s="7" t="s">
        <v>28</v>
      </c>
    </row>
    <row r="27" spans="1:18">
      <c r="A27" s="4" t="s">
        <v>73</v>
      </c>
      <c r="B27" s="4">
        <v>-4</v>
      </c>
      <c r="C27" s="4">
        <v>1</v>
      </c>
      <c r="D27" s="4">
        <v>-7</v>
      </c>
      <c r="E27" s="4">
        <v>3</v>
      </c>
      <c r="F27" s="4">
        <v>2</v>
      </c>
      <c r="G27" s="4">
        <v>0</v>
      </c>
      <c r="H27" s="4">
        <v>1</v>
      </c>
      <c r="I27" s="4">
        <v>9</v>
      </c>
      <c r="J27" s="4">
        <v>1</v>
      </c>
      <c r="K27" s="4">
        <v>-1</v>
      </c>
      <c r="L27" s="4">
        <v>-4</v>
      </c>
      <c r="M27" s="4">
        <v>5</v>
      </c>
      <c r="N27" s="4">
        <v>0</v>
      </c>
      <c r="O27" s="4">
        <v>5.5</v>
      </c>
      <c r="P27" s="4">
        <v>0</v>
      </c>
      <c r="Q27" s="7" t="s">
        <v>74</v>
      </c>
      <c r="R27" s="7" t="s">
        <v>19</v>
      </c>
    </row>
    <row r="28" spans="1:18">
      <c r="A28" s="4" t="s">
        <v>75</v>
      </c>
      <c r="B28" s="4">
        <v>3</v>
      </c>
      <c r="C28" s="4">
        <v>3</v>
      </c>
      <c r="D28" s="4">
        <v>4</v>
      </c>
      <c r="E28" s="4">
        <v>1</v>
      </c>
      <c r="F28" s="4">
        <v>6</v>
      </c>
      <c r="G28" s="4">
        <v>-4</v>
      </c>
      <c r="H28" s="4">
        <v>1</v>
      </c>
      <c r="I28" s="4">
        <v>1</v>
      </c>
      <c r="J28" s="4">
        <v>3</v>
      </c>
      <c r="K28" s="4">
        <v>3</v>
      </c>
      <c r="L28" s="4">
        <v>-1</v>
      </c>
      <c r="M28" s="4">
        <v>3</v>
      </c>
      <c r="N28" s="4">
        <v>0</v>
      </c>
      <c r="O28" s="4">
        <v>5</v>
      </c>
      <c r="P28" s="4">
        <v>0</v>
      </c>
      <c r="Q28" s="7" t="s">
        <v>76</v>
      </c>
      <c r="R28" s="7" t="s">
        <v>34</v>
      </c>
    </row>
    <row r="29" spans="1:18">
      <c r="A29" s="4" t="s">
        <v>77</v>
      </c>
      <c r="B29" s="4">
        <v>-3</v>
      </c>
      <c r="C29" s="4">
        <v>7</v>
      </c>
      <c r="D29" s="4">
        <v>-6</v>
      </c>
      <c r="E29" s="4">
        <v>-3</v>
      </c>
      <c r="F29" s="4">
        <v>-5</v>
      </c>
      <c r="G29" s="4">
        <v>-2</v>
      </c>
      <c r="H29" s="4">
        <v>-2</v>
      </c>
      <c r="I29" s="4">
        <v>0</v>
      </c>
      <c r="J29" s="4">
        <v>-1</v>
      </c>
      <c r="K29" s="4">
        <v>4</v>
      </c>
      <c r="L29" s="4">
        <v>7</v>
      </c>
      <c r="M29" s="4">
        <v>3</v>
      </c>
      <c r="N29" s="4">
        <v>-3</v>
      </c>
      <c r="O29" s="4">
        <v>6</v>
      </c>
      <c r="P29" s="4">
        <v>0</v>
      </c>
      <c r="Q29" s="7" t="s">
        <v>78</v>
      </c>
      <c r="R29" s="7" t="s">
        <v>37</v>
      </c>
    </row>
    <row r="30" spans="1:18">
      <c r="A30" s="4" t="s">
        <v>79</v>
      </c>
      <c r="B30" s="4">
        <v>9</v>
      </c>
      <c r="C30" s="4">
        <v>-1</v>
      </c>
      <c r="D30" s="4">
        <v>3</v>
      </c>
      <c r="E30" s="4">
        <v>1</v>
      </c>
      <c r="F30" s="4">
        <v>7.5</v>
      </c>
      <c r="G30" s="4">
        <v>-1</v>
      </c>
      <c r="H30" s="4">
        <v>-1</v>
      </c>
      <c r="I30" s="4">
        <v>8</v>
      </c>
      <c r="J30" s="4">
        <v>5</v>
      </c>
      <c r="K30" s="4">
        <v>-1</v>
      </c>
      <c r="L30" s="4">
        <v>4</v>
      </c>
      <c r="M30" s="4">
        <v>-3</v>
      </c>
      <c r="N30" s="4">
        <v>3</v>
      </c>
      <c r="O30" s="4">
        <v>9</v>
      </c>
      <c r="P30" s="4">
        <v>1</v>
      </c>
      <c r="Q30" s="7" t="s">
        <v>80</v>
      </c>
      <c r="R30" s="7" t="s">
        <v>40</v>
      </c>
    </row>
    <row r="31" spans="1:18">
      <c r="A31" s="4" t="s">
        <v>81</v>
      </c>
      <c r="B31" s="4">
        <v>2</v>
      </c>
      <c r="C31" s="4">
        <v>8</v>
      </c>
      <c r="D31" s="4">
        <v>2</v>
      </c>
      <c r="E31" s="4">
        <v>-2</v>
      </c>
      <c r="F31" s="4">
        <v>-2</v>
      </c>
      <c r="G31" s="4">
        <v>0</v>
      </c>
      <c r="H31" s="4">
        <v>4</v>
      </c>
      <c r="I31" s="4">
        <v>-3</v>
      </c>
      <c r="J31" s="4">
        <v>8</v>
      </c>
      <c r="K31" s="4">
        <v>5.5</v>
      </c>
      <c r="L31" s="4">
        <v>0</v>
      </c>
      <c r="M31" s="4">
        <v>4.5</v>
      </c>
      <c r="N31" s="4">
        <v>5</v>
      </c>
      <c r="O31" s="4">
        <v>-1</v>
      </c>
      <c r="P31" s="4">
        <v>0</v>
      </c>
      <c r="Q31" s="7" t="s">
        <v>82</v>
      </c>
      <c r="R31" s="7" t="s">
        <v>31</v>
      </c>
    </row>
    <row r="32" spans="1:18">
      <c r="A32" s="4" t="s">
        <v>83</v>
      </c>
      <c r="B32" s="4">
        <v>-1</v>
      </c>
      <c r="C32" s="4">
        <v>-1</v>
      </c>
      <c r="D32" s="4">
        <v>-2</v>
      </c>
      <c r="E32" s="4">
        <v>-1</v>
      </c>
      <c r="F32" s="4">
        <v>2.5</v>
      </c>
      <c r="G32" s="4">
        <v>1</v>
      </c>
      <c r="H32" s="4">
        <v>-2</v>
      </c>
      <c r="I32" s="4">
        <v>-1</v>
      </c>
      <c r="J32" s="4">
        <v>2</v>
      </c>
      <c r="K32" s="4">
        <v>-2</v>
      </c>
      <c r="L32" s="4">
        <v>1.5</v>
      </c>
      <c r="M32" s="4">
        <v>-2</v>
      </c>
      <c r="N32" s="4">
        <v>-3</v>
      </c>
      <c r="O32" s="4">
        <v>2</v>
      </c>
      <c r="P32" s="4">
        <v>0</v>
      </c>
      <c r="Q32" s="7" t="s">
        <v>84</v>
      </c>
      <c r="R32" s="7" t="s">
        <v>16</v>
      </c>
    </row>
    <row r="33" spans="1:18">
      <c r="A33" s="4" t="s">
        <v>85</v>
      </c>
      <c r="B33" s="4">
        <v>-4.5</v>
      </c>
      <c r="C33" s="4">
        <v>2</v>
      </c>
      <c r="D33" s="4">
        <v>0</v>
      </c>
      <c r="E33" s="4">
        <v>-3</v>
      </c>
      <c r="F33" s="4">
        <v>-4.5</v>
      </c>
      <c r="G33" s="4">
        <v>-2</v>
      </c>
      <c r="H33" s="4">
        <v>2</v>
      </c>
      <c r="I33" s="4">
        <v>-2</v>
      </c>
      <c r="J33" s="4">
        <v>0</v>
      </c>
      <c r="K33" s="4">
        <v>0</v>
      </c>
      <c r="L33" s="4">
        <v>-7</v>
      </c>
      <c r="M33" s="4">
        <v>2</v>
      </c>
      <c r="N33" s="4">
        <v>0</v>
      </c>
      <c r="O33" s="4">
        <v>2.5</v>
      </c>
      <c r="P33" s="4">
        <v>0</v>
      </c>
      <c r="Q33" s="7" t="s">
        <v>86</v>
      </c>
      <c r="R33" s="7" t="s">
        <v>19</v>
      </c>
    </row>
    <row r="34" spans="1:18">
      <c r="A34" s="4" t="s">
        <v>87</v>
      </c>
      <c r="B34" s="4">
        <v>-8</v>
      </c>
      <c r="C34" s="4">
        <v>-8</v>
      </c>
      <c r="D34" s="4">
        <v>-3</v>
      </c>
      <c r="E34" s="4">
        <v>-4</v>
      </c>
      <c r="F34" s="4">
        <v>-2.5</v>
      </c>
      <c r="G34" s="4">
        <v>-8</v>
      </c>
      <c r="H34" s="4">
        <v>-11</v>
      </c>
      <c r="I34" s="4">
        <v>-0.5</v>
      </c>
      <c r="J34" s="4">
        <v>-4</v>
      </c>
      <c r="K34" s="4">
        <v>2</v>
      </c>
      <c r="L34" s="4">
        <v>0</v>
      </c>
      <c r="M34" s="4">
        <v>-2</v>
      </c>
      <c r="N34" s="4">
        <v>7</v>
      </c>
      <c r="O34" s="4">
        <v>-3</v>
      </c>
      <c r="P34" s="4">
        <v>0</v>
      </c>
      <c r="Q34" s="7" t="s">
        <v>88</v>
      </c>
      <c r="R34" s="7" t="s">
        <v>22</v>
      </c>
    </row>
    <row r="35" spans="1:18">
      <c r="A35" s="4" t="s">
        <v>89</v>
      </c>
      <c r="B35" s="4">
        <v>-3</v>
      </c>
      <c r="C35" s="4">
        <v>5.5</v>
      </c>
      <c r="D35" s="4">
        <v>-2</v>
      </c>
      <c r="E35" s="4">
        <v>-3</v>
      </c>
      <c r="F35" s="4">
        <v>5.5</v>
      </c>
      <c r="G35" s="4">
        <v>2</v>
      </c>
      <c r="H35" s="4">
        <v>-3</v>
      </c>
      <c r="I35" s="4">
        <v>5.5</v>
      </c>
      <c r="J35" s="4">
        <v>1</v>
      </c>
      <c r="K35" s="4">
        <v>3</v>
      </c>
      <c r="L35" s="4">
        <v>4</v>
      </c>
      <c r="M35" s="4">
        <v>0</v>
      </c>
      <c r="N35" s="4">
        <v>3</v>
      </c>
      <c r="O35" s="4">
        <v>8</v>
      </c>
      <c r="P35" s="4">
        <v>0</v>
      </c>
      <c r="Q35" s="7" t="s">
        <v>90</v>
      </c>
      <c r="R35" s="7" t="s">
        <v>25</v>
      </c>
    </row>
    <row r="36" spans="1:18">
      <c r="A36" s="4" t="s">
        <v>91</v>
      </c>
      <c r="B36" s="4">
        <v>9</v>
      </c>
      <c r="C36" s="4">
        <v>-2</v>
      </c>
      <c r="D36" s="4">
        <v>1.5</v>
      </c>
      <c r="E36" s="4">
        <v>-2</v>
      </c>
      <c r="F36" s="4">
        <v>-5</v>
      </c>
      <c r="G36" s="4">
        <v>1</v>
      </c>
      <c r="H36" s="4">
        <v>3</v>
      </c>
      <c r="I36" s="4">
        <v>9</v>
      </c>
      <c r="J36" s="4">
        <v>3</v>
      </c>
      <c r="K36" s="4">
        <v>-2</v>
      </c>
      <c r="L36" s="4">
        <v>0</v>
      </c>
      <c r="M36" s="4">
        <v>2</v>
      </c>
      <c r="N36" s="4">
        <v>-4</v>
      </c>
      <c r="O36" s="4">
        <v>-5</v>
      </c>
      <c r="P36" s="4">
        <v>1</v>
      </c>
      <c r="Q36" s="7" t="s">
        <v>92</v>
      </c>
      <c r="R36" s="7" t="s">
        <v>28</v>
      </c>
    </row>
    <row r="37" spans="1:18">
      <c r="A37" s="4" t="s">
        <v>93</v>
      </c>
      <c r="B37" s="4">
        <v>-0.5</v>
      </c>
      <c r="C37" s="4">
        <v>2</v>
      </c>
      <c r="D37" s="4">
        <v>-7</v>
      </c>
      <c r="E37" s="4">
        <v>-2</v>
      </c>
      <c r="F37" s="4">
        <v>1</v>
      </c>
      <c r="G37" s="4">
        <v>-1.5</v>
      </c>
      <c r="H37" s="4">
        <v>-1</v>
      </c>
      <c r="I37" s="4">
        <v>8</v>
      </c>
      <c r="J37" s="4">
        <v>-0.5</v>
      </c>
      <c r="K37" s="4">
        <v>2</v>
      </c>
      <c r="L37" s="4">
        <v>-2.5</v>
      </c>
      <c r="M37" s="4">
        <v>-5</v>
      </c>
      <c r="N37" s="4">
        <v>-7</v>
      </c>
      <c r="O37" s="4">
        <v>-1</v>
      </c>
      <c r="P37" s="4">
        <v>0</v>
      </c>
      <c r="Q37" s="7" t="s">
        <v>94</v>
      </c>
      <c r="R37" s="7" t="s">
        <v>22</v>
      </c>
    </row>
    <row r="38" spans="1:18">
      <c r="A38" s="4" t="s">
        <v>95</v>
      </c>
      <c r="B38" s="4">
        <v>-0.5</v>
      </c>
      <c r="C38" s="4">
        <v>1</v>
      </c>
      <c r="D38" s="4">
        <v>2</v>
      </c>
      <c r="E38" s="4">
        <v>-1</v>
      </c>
      <c r="F38" s="4">
        <v>1</v>
      </c>
      <c r="G38" s="4">
        <v>-3.5</v>
      </c>
      <c r="H38" s="4">
        <v>2</v>
      </c>
      <c r="I38" s="4">
        <v>0</v>
      </c>
      <c r="J38" s="4">
        <v>2</v>
      </c>
      <c r="K38" s="4">
        <v>-0.5</v>
      </c>
      <c r="L38" s="4">
        <v>-5</v>
      </c>
      <c r="M38" s="4">
        <v>1</v>
      </c>
      <c r="N38" s="4">
        <v>-6</v>
      </c>
      <c r="O38" s="4">
        <v>-2</v>
      </c>
      <c r="P38" s="4">
        <v>0</v>
      </c>
      <c r="Q38" s="7" t="s">
        <v>96</v>
      </c>
      <c r="R38" s="7" t="s">
        <v>34</v>
      </c>
    </row>
    <row r="39" spans="1:18">
      <c r="A39" s="4" t="s">
        <v>97</v>
      </c>
      <c r="B39" s="4">
        <v>13</v>
      </c>
      <c r="C39" s="4">
        <v>13</v>
      </c>
      <c r="D39" s="4">
        <v>1.5</v>
      </c>
      <c r="E39" s="4">
        <v>-3</v>
      </c>
      <c r="F39" s="4">
        <v>-6</v>
      </c>
      <c r="G39" s="4">
        <v>3</v>
      </c>
      <c r="H39" s="4">
        <v>7</v>
      </c>
      <c r="I39" s="4">
        <v>0.5</v>
      </c>
      <c r="J39" s="4">
        <v>-4</v>
      </c>
      <c r="K39" s="4">
        <v>6</v>
      </c>
      <c r="L39" s="4">
        <v>13</v>
      </c>
      <c r="M39" s="4">
        <v>-3</v>
      </c>
      <c r="N39" s="4">
        <v>4</v>
      </c>
      <c r="O39" s="4">
        <v>-1</v>
      </c>
      <c r="P39" s="4">
        <v>1</v>
      </c>
      <c r="Q39" s="7" t="s">
        <v>98</v>
      </c>
      <c r="R39" s="7" t="s">
        <v>37</v>
      </c>
    </row>
    <row r="40" spans="1:18">
      <c r="A40" s="4" t="s">
        <v>99</v>
      </c>
      <c r="B40" s="4">
        <v>-3</v>
      </c>
      <c r="C40" s="4">
        <v>1</v>
      </c>
      <c r="D40" s="4">
        <v>-2</v>
      </c>
      <c r="E40" s="4">
        <v>1</v>
      </c>
      <c r="F40" s="4">
        <v>8</v>
      </c>
      <c r="G40" s="4">
        <v>0</v>
      </c>
      <c r="H40" s="4">
        <v>-7</v>
      </c>
      <c r="I40" s="4">
        <v>-1</v>
      </c>
      <c r="J40" s="4">
        <v>5</v>
      </c>
      <c r="K40" s="4">
        <v>1</v>
      </c>
      <c r="L40" s="4">
        <v>-3</v>
      </c>
      <c r="M40" s="4">
        <v>-3</v>
      </c>
      <c r="N40" s="4">
        <v>1</v>
      </c>
      <c r="O40" s="4">
        <v>2.5</v>
      </c>
      <c r="P40" s="4">
        <v>1</v>
      </c>
      <c r="Q40" s="7" t="s">
        <v>100</v>
      </c>
      <c r="R40" s="7" t="s">
        <v>40</v>
      </c>
    </row>
    <row r="41" spans="1:18">
      <c r="A41" s="4" t="s">
        <v>101</v>
      </c>
      <c r="B41" s="4">
        <v>-7</v>
      </c>
      <c r="C41" s="4">
        <v>0</v>
      </c>
      <c r="D41" s="4">
        <v>-1.5</v>
      </c>
      <c r="E41" s="4">
        <v>7</v>
      </c>
      <c r="F41" s="4">
        <v>-6</v>
      </c>
      <c r="G41" s="4">
        <v>4</v>
      </c>
      <c r="H41" s="4">
        <v>0</v>
      </c>
      <c r="I41" s="4">
        <v>4</v>
      </c>
      <c r="J41" s="4">
        <v>0</v>
      </c>
      <c r="K41" s="4">
        <v>-4</v>
      </c>
      <c r="L41" s="4">
        <v>-2</v>
      </c>
      <c r="M41" s="4">
        <v>2</v>
      </c>
      <c r="N41" s="4">
        <v>-7</v>
      </c>
      <c r="O41" s="4">
        <v>-7</v>
      </c>
      <c r="P41" s="4">
        <v>0</v>
      </c>
      <c r="Q41" s="7" t="s">
        <v>102</v>
      </c>
      <c r="R41" s="7" t="s">
        <v>31</v>
      </c>
    </row>
    <row r="42" spans="1:18">
      <c r="A42" s="4" t="s">
        <v>103</v>
      </c>
      <c r="B42" s="4">
        <v>6</v>
      </c>
      <c r="C42" s="4">
        <v>9</v>
      </c>
      <c r="D42" s="4">
        <v>-4</v>
      </c>
      <c r="E42" s="4">
        <v>0</v>
      </c>
      <c r="F42" s="4">
        <v>2</v>
      </c>
      <c r="G42" s="4">
        <v>0</v>
      </c>
      <c r="H42" s="4">
        <v>4</v>
      </c>
      <c r="I42" s="4">
        <v>9</v>
      </c>
      <c r="J42" s="4">
        <v>5</v>
      </c>
      <c r="K42" s="4">
        <v>8</v>
      </c>
      <c r="L42" s="4">
        <v>9</v>
      </c>
      <c r="M42" s="4">
        <v>-2.5</v>
      </c>
      <c r="N42" s="4">
        <v>-3</v>
      </c>
      <c r="O42" s="4">
        <v>6</v>
      </c>
      <c r="P42" s="4">
        <v>1</v>
      </c>
      <c r="Q42" s="7" t="s">
        <v>104</v>
      </c>
      <c r="R42" s="7" t="s">
        <v>16</v>
      </c>
    </row>
    <row r="43" spans="1:18">
      <c r="A43" s="4" t="s">
        <v>105</v>
      </c>
      <c r="B43" s="4">
        <v>-2</v>
      </c>
      <c r="C43" s="4">
        <v>2</v>
      </c>
      <c r="D43" s="4">
        <v>-2</v>
      </c>
      <c r="E43" s="4">
        <v>3</v>
      </c>
      <c r="F43" s="4">
        <v>2</v>
      </c>
      <c r="G43" s="4">
        <v>-0.5</v>
      </c>
      <c r="H43" s="4">
        <v>2</v>
      </c>
      <c r="I43" s="4">
        <v>8</v>
      </c>
      <c r="J43" s="4">
        <v>0</v>
      </c>
      <c r="K43" s="4">
        <v>-3</v>
      </c>
      <c r="L43" s="4">
        <v>1</v>
      </c>
      <c r="M43" s="4">
        <v>0</v>
      </c>
      <c r="N43" s="4">
        <v>3</v>
      </c>
      <c r="O43" s="4">
        <v>1</v>
      </c>
      <c r="P43" s="4">
        <v>1</v>
      </c>
      <c r="Q43" s="7" t="s">
        <v>106</v>
      </c>
      <c r="R43" s="7" t="s">
        <v>19</v>
      </c>
    </row>
    <row r="44" spans="1:18">
      <c r="A44" s="4" t="s">
        <v>107</v>
      </c>
      <c r="B44" s="4">
        <v>0</v>
      </c>
      <c r="C44" s="4">
        <v>-2.5</v>
      </c>
      <c r="D44" s="4">
        <v>4</v>
      </c>
      <c r="E44" s="4">
        <v>0</v>
      </c>
      <c r="F44" s="4">
        <v>-2</v>
      </c>
      <c r="G44" s="4">
        <v>-2.5</v>
      </c>
      <c r="H44" s="4">
        <v>-2</v>
      </c>
      <c r="I44" s="4">
        <v>-2</v>
      </c>
      <c r="J44" s="4">
        <v>-7</v>
      </c>
      <c r="K44" s="4">
        <v>-5</v>
      </c>
      <c r="L44" s="4">
        <v>6</v>
      </c>
      <c r="M44" s="4">
        <v>-3</v>
      </c>
      <c r="N44" s="4">
        <v>4</v>
      </c>
      <c r="O44" s="4">
        <v>4.5</v>
      </c>
      <c r="P44" s="4">
        <v>1</v>
      </c>
      <c r="Q44" s="7" t="s">
        <v>108</v>
      </c>
      <c r="R44" s="7" t="s">
        <v>22</v>
      </c>
    </row>
    <row r="45" spans="1:18">
      <c r="A45" s="4" t="s">
        <v>109</v>
      </c>
      <c r="B45" s="4">
        <v>1</v>
      </c>
      <c r="C45" s="4">
        <v>1</v>
      </c>
      <c r="D45" s="4">
        <v>4</v>
      </c>
      <c r="E45" s="4">
        <v>-2</v>
      </c>
      <c r="F45" s="4">
        <v>1</v>
      </c>
      <c r="G45" s="4">
        <v>0</v>
      </c>
      <c r="H45" s="4">
        <v>-5</v>
      </c>
      <c r="I45" s="4">
        <v>2</v>
      </c>
      <c r="J45" s="4">
        <v>-6</v>
      </c>
      <c r="K45" s="4">
        <v>1</v>
      </c>
      <c r="L45" s="4">
        <v>-1</v>
      </c>
      <c r="M45" s="4">
        <v>-8.5</v>
      </c>
      <c r="N45" s="4">
        <v>0</v>
      </c>
      <c r="O45" s="4">
        <v>1</v>
      </c>
      <c r="P45" s="4">
        <v>1</v>
      </c>
      <c r="Q45" s="7" t="s">
        <v>110</v>
      </c>
      <c r="R45" s="7" t="s">
        <v>25</v>
      </c>
    </row>
    <row r="46" spans="1:18">
      <c r="A46" s="4" t="s">
        <v>111</v>
      </c>
      <c r="B46" s="4">
        <v>-4.5</v>
      </c>
      <c r="C46" s="4">
        <v>2</v>
      </c>
      <c r="D46" s="4">
        <v>0</v>
      </c>
      <c r="E46" s="4">
        <v>2</v>
      </c>
      <c r="F46" s="4">
        <v>-9</v>
      </c>
      <c r="G46" s="4">
        <v>-4.5</v>
      </c>
      <c r="H46" s="4">
        <v>-7</v>
      </c>
      <c r="I46" s="4">
        <v>3</v>
      </c>
      <c r="J46" s="4">
        <v>2</v>
      </c>
      <c r="K46" s="4">
        <v>-5</v>
      </c>
      <c r="L46" s="4">
        <v>-2</v>
      </c>
      <c r="M46" s="4">
        <v>-2</v>
      </c>
      <c r="N46" s="4">
        <v>-4</v>
      </c>
      <c r="O46" s="4">
        <v>-9</v>
      </c>
      <c r="P46" s="4">
        <v>1</v>
      </c>
      <c r="Q46" s="7" t="s">
        <v>112</v>
      </c>
      <c r="R46" s="7" t="s">
        <v>28</v>
      </c>
    </row>
    <row r="47" spans="1:18">
      <c r="A47" s="4" t="s">
        <v>113</v>
      </c>
      <c r="B47" s="4">
        <v>1</v>
      </c>
      <c r="C47" s="4">
        <v>3</v>
      </c>
      <c r="D47" s="4">
        <v>-1</v>
      </c>
      <c r="E47" s="4">
        <v>6</v>
      </c>
      <c r="F47" s="4">
        <v>4</v>
      </c>
      <c r="G47" s="4">
        <v>0.5</v>
      </c>
      <c r="H47" s="4">
        <v>1</v>
      </c>
      <c r="I47" s="4">
        <v>2</v>
      </c>
      <c r="J47" s="4">
        <v>2</v>
      </c>
      <c r="K47" s="4">
        <v>2</v>
      </c>
      <c r="L47" s="4">
        <v>3</v>
      </c>
      <c r="M47" s="4">
        <v>1.5</v>
      </c>
      <c r="N47" s="4">
        <v>-4</v>
      </c>
      <c r="O47" s="4">
        <v>2.5</v>
      </c>
      <c r="P47" s="4">
        <v>1</v>
      </c>
      <c r="Q47" s="7" t="s">
        <v>114</v>
      </c>
      <c r="R47" s="7" t="s">
        <v>25</v>
      </c>
    </row>
    <row r="48" spans="1:18">
      <c r="A48" s="4" t="s">
        <v>115</v>
      </c>
      <c r="B48" s="4">
        <v>4.5</v>
      </c>
      <c r="C48" s="4">
        <v>1</v>
      </c>
      <c r="D48" s="4">
        <v>4</v>
      </c>
      <c r="E48" s="4">
        <v>-3</v>
      </c>
      <c r="F48" s="4">
        <v>7</v>
      </c>
      <c r="G48" s="4">
        <v>-2</v>
      </c>
      <c r="H48" s="4">
        <v>4</v>
      </c>
      <c r="I48" s="4">
        <v>4.5</v>
      </c>
      <c r="J48" s="4">
        <v>0</v>
      </c>
      <c r="K48" s="4">
        <v>4</v>
      </c>
      <c r="L48" s="4">
        <v>-4</v>
      </c>
      <c r="M48" s="4">
        <v>1</v>
      </c>
      <c r="N48" s="4">
        <v>-1</v>
      </c>
      <c r="O48" s="4">
        <v>-2</v>
      </c>
      <c r="P48" s="4">
        <v>1</v>
      </c>
      <c r="Q48" s="7" t="s">
        <v>116</v>
      </c>
      <c r="R48" s="7" t="s">
        <v>34</v>
      </c>
    </row>
    <row r="49" spans="1:18">
      <c r="A49" s="4" t="s">
        <v>117</v>
      </c>
      <c r="B49" s="4">
        <v>-1</v>
      </c>
      <c r="C49" s="4">
        <v>0</v>
      </c>
      <c r="D49" s="4">
        <v>4</v>
      </c>
      <c r="E49" s="4">
        <v>2</v>
      </c>
      <c r="F49" s="4">
        <v>-10</v>
      </c>
      <c r="G49" s="4">
        <v>6</v>
      </c>
      <c r="H49" s="4">
        <v>-3</v>
      </c>
      <c r="I49" s="4">
        <v>-7</v>
      </c>
      <c r="J49" s="4">
        <v>-1</v>
      </c>
      <c r="K49" s="4">
        <v>0</v>
      </c>
      <c r="L49" s="4">
        <v>0</v>
      </c>
      <c r="M49" s="4">
        <v>-1</v>
      </c>
      <c r="N49" s="4">
        <v>-3</v>
      </c>
      <c r="O49" s="4">
        <v>6</v>
      </c>
      <c r="P49" s="4">
        <v>0</v>
      </c>
      <c r="Q49" s="7" t="s">
        <v>118</v>
      </c>
      <c r="R49" s="7" t="s">
        <v>37</v>
      </c>
    </row>
    <row r="50" spans="1:18">
      <c r="A50" s="4" t="s">
        <v>119</v>
      </c>
      <c r="B50" s="4">
        <v>1</v>
      </c>
      <c r="C50" s="4">
        <v>1</v>
      </c>
      <c r="D50" s="4">
        <v>5</v>
      </c>
      <c r="E50" s="4">
        <v>1</v>
      </c>
      <c r="F50" s="4">
        <v>5</v>
      </c>
      <c r="G50" s="4">
        <v>-0.5</v>
      </c>
      <c r="H50" s="4">
        <v>-5</v>
      </c>
      <c r="I50" s="4">
        <v>2.5</v>
      </c>
      <c r="J50" s="4">
        <v>-3</v>
      </c>
      <c r="K50" s="4">
        <v>1</v>
      </c>
      <c r="L50" s="4">
        <v>3</v>
      </c>
      <c r="M50" s="4">
        <v>-0.5</v>
      </c>
      <c r="N50" s="4">
        <v>8</v>
      </c>
      <c r="O50" s="4">
        <v>10</v>
      </c>
      <c r="P50" s="4">
        <v>0</v>
      </c>
      <c r="Q50" s="7" t="s">
        <v>120</v>
      </c>
      <c r="R50" s="7" t="s">
        <v>40</v>
      </c>
    </row>
    <row r="51" spans="1:18">
      <c r="A51" s="4" t="s">
        <v>121</v>
      </c>
      <c r="B51" s="4">
        <v>2.5</v>
      </c>
      <c r="C51" s="4">
        <v>4</v>
      </c>
      <c r="D51" s="4">
        <v>-1</v>
      </c>
      <c r="E51" s="4">
        <v>4</v>
      </c>
      <c r="F51" s="4">
        <v>-1</v>
      </c>
      <c r="G51" s="4">
        <v>-1</v>
      </c>
      <c r="H51" s="4">
        <v>4</v>
      </c>
      <c r="I51" s="4">
        <v>0.5</v>
      </c>
      <c r="J51" s="4">
        <v>4</v>
      </c>
      <c r="K51" s="4">
        <v>2</v>
      </c>
      <c r="L51" s="4">
        <v>2.5</v>
      </c>
      <c r="M51" s="4">
        <v>-3</v>
      </c>
      <c r="N51" s="4">
        <v>-2</v>
      </c>
      <c r="O51" s="4">
        <v>0</v>
      </c>
      <c r="P51" s="4">
        <v>0</v>
      </c>
      <c r="Q51" s="7" t="s">
        <v>122</v>
      </c>
      <c r="R51" s="7" t="s">
        <v>31</v>
      </c>
    </row>
    <row r="52" spans="1:18">
      <c r="A52" s="4" t="s">
        <v>123</v>
      </c>
      <c r="B52" s="4">
        <v>2</v>
      </c>
      <c r="C52" s="4">
        <v>2</v>
      </c>
      <c r="D52" s="4">
        <v>-7</v>
      </c>
      <c r="E52" s="4">
        <v>5</v>
      </c>
      <c r="F52" s="4">
        <v>2</v>
      </c>
      <c r="G52" s="4">
        <v>-6</v>
      </c>
      <c r="H52" s="4">
        <v>-1</v>
      </c>
      <c r="I52" s="4">
        <v>2</v>
      </c>
      <c r="J52" s="4">
        <v>-1</v>
      </c>
      <c r="K52" s="4">
        <v>-1</v>
      </c>
      <c r="L52" s="4">
        <v>0</v>
      </c>
      <c r="M52" s="4">
        <v>2</v>
      </c>
      <c r="N52" s="4">
        <v>-5</v>
      </c>
      <c r="O52" s="4">
        <v>7.5</v>
      </c>
      <c r="P52" s="4">
        <v>1</v>
      </c>
      <c r="Q52" s="7" t="s">
        <v>124</v>
      </c>
      <c r="R52" s="7" t="s">
        <v>16</v>
      </c>
    </row>
    <row r="53" spans="1:18">
      <c r="A53" s="4" t="s">
        <v>125</v>
      </c>
      <c r="B53" s="4">
        <v>5</v>
      </c>
      <c r="C53" s="4">
        <v>-3</v>
      </c>
      <c r="D53" s="4">
        <v>4</v>
      </c>
      <c r="E53" s="4">
        <v>5</v>
      </c>
      <c r="F53" s="4">
        <v>0</v>
      </c>
      <c r="G53" s="4">
        <v>-5</v>
      </c>
      <c r="H53" s="4">
        <v>-3</v>
      </c>
      <c r="I53" s="4">
        <v>1</v>
      </c>
      <c r="J53" s="4">
        <v>-2</v>
      </c>
      <c r="K53" s="4">
        <v>-2</v>
      </c>
      <c r="L53" s="4">
        <v>5.5</v>
      </c>
      <c r="M53" s="4">
        <v>1</v>
      </c>
      <c r="N53" s="4">
        <v>5</v>
      </c>
      <c r="O53" s="4">
        <v>7</v>
      </c>
      <c r="P53" s="4">
        <v>0</v>
      </c>
      <c r="Q53" s="7" t="s">
        <v>126</v>
      </c>
      <c r="R53" s="7" t="s">
        <v>19</v>
      </c>
    </row>
    <row r="54" spans="1:18">
      <c r="A54" s="4" t="s">
        <v>127</v>
      </c>
      <c r="B54" s="4">
        <v>1</v>
      </c>
      <c r="C54" s="4">
        <v>2</v>
      </c>
      <c r="D54" s="4">
        <v>-2</v>
      </c>
      <c r="E54" s="4">
        <v>2</v>
      </c>
      <c r="F54" s="4">
        <v>0</v>
      </c>
      <c r="G54" s="4">
        <v>2</v>
      </c>
      <c r="H54" s="4">
        <v>2</v>
      </c>
      <c r="I54" s="4">
        <v>3.5</v>
      </c>
      <c r="J54" s="4">
        <v>-5</v>
      </c>
      <c r="K54" s="4">
        <v>8</v>
      </c>
      <c r="L54" s="4">
        <v>4</v>
      </c>
      <c r="M54" s="4">
        <v>-2</v>
      </c>
      <c r="N54" s="4">
        <v>-3</v>
      </c>
      <c r="O54" s="4">
        <v>1</v>
      </c>
      <c r="P54" s="4">
        <v>1</v>
      </c>
      <c r="Q54" s="7" t="s">
        <v>128</v>
      </c>
      <c r="R54" s="7" t="s">
        <v>22</v>
      </c>
    </row>
    <row r="55" spans="1:18">
      <c r="A55" s="4" t="s">
        <v>129</v>
      </c>
      <c r="B55" s="4">
        <v>-2</v>
      </c>
      <c r="C55" s="4">
        <v>6.5</v>
      </c>
      <c r="D55" s="4">
        <v>-2</v>
      </c>
      <c r="E55" s="4">
        <v>1</v>
      </c>
      <c r="F55" s="4">
        <v>6.5</v>
      </c>
      <c r="G55" s="4">
        <v>-5</v>
      </c>
      <c r="H55" s="4">
        <v>-9</v>
      </c>
      <c r="I55" s="4">
        <v>5</v>
      </c>
      <c r="J55" s="4">
        <v>2</v>
      </c>
      <c r="K55" s="4">
        <v>3</v>
      </c>
      <c r="L55" s="4">
        <v>5</v>
      </c>
      <c r="M55" s="4">
        <v>-6</v>
      </c>
      <c r="N55" s="4">
        <v>-4</v>
      </c>
      <c r="O55" s="4">
        <v>4</v>
      </c>
      <c r="P55" s="4">
        <v>0</v>
      </c>
      <c r="Q55" s="7" t="s">
        <v>130</v>
      </c>
      <c r="R55" s="7" t="s">
        <v>25</v>
      </c>
    </row>
    <row r="56" spans="1:18">
      <c r="A56" s="4" t="s">
        <v>131</v>
      </c>
      <c r="B56" s="4">
        <v>-6</v>
      </c>
      <c r="C56" s="4">
        <v>-6</v>
      </c>
      <c r="D56" s="4">
        <v>3</v>
      </c>
      <c r="E56" s="4">
        <v>-6</v>
      </c>
      <c r="F56" s="4">
        <v>0.5</v>
      </c>
      <c r="G56" s="4">
        <v>1</v>
      </c>
      <c r="H56" s="4">
        <v>5.5</v>
      </c>
      <c r="I56" s="4">
        <v>1</v>
      </c>
      <c r="J56" s="4">
        <v>6.5</v>
      </c>
      <c r="K56" s="4">
        <v>7</v>
      </c>
      <c r="L56" s="4">
        <v>2.5</v>
      </c>
      <c r="M56" s="4">
        <v>7</v>
      </c>
      <c r="N56" s="4">
        <v>6.5</v>
      </c>
      <c r="O56" s="4">
        <v>1.5</v>
      </c>
      <c r="P56" s="4">
        <v>0</v>
      </c>
      <c r="Q56" s="7" t="s">
        <v>132</v>
      </c>
      <c r="R56" s="7" t="s">
        <v>28</v>
      </c>
    </row>
    <row r="57" spans="1:18">
      <c r="A57" s="4" t="s">
        <v>133</v>
      </c>
      <c r="B57" s="4">
        <v>2</v>
      </c>
      <c r="C57" s="4">
        <v>1</v>
      </c>
      <c r="D57" s="4">
        <v>-1</v>
      </c>
      <c r="E57" s="4">
        <v>0</v>
      </c>
      <c r="F57" s="4">
        <v>2</v>
      </c>
      <c r="G57" s="4">
        <v>3</v>
      </c>
      <c r="H57" s="4">
        <v>-4</v>
      </c>
      <c r="I57" s="4">
        <v>2</v>
      </c>
      <c r="J57" s="4">
        <v>-1</v>
      </c>
      <c r="K57" s="4">
        <v>2</v>
      </c>
      <c r="L57" s="4">
        <v>2.5</v>
      </c>
      <c r="M57" s="4">
        <v>1</v>
      </c>
      <c r="N57" s="4">
        <v>0</v>
      </c>
      <c r="O57" s="4">
        <v>4</v>
      </c>
      <c r="P57" s="4">
        <v>0</v>
      </c>
      <c r="Q57" s="7" t="s">
        <v>134</v>
      </c>
      <c r="R57" s="7" t="s">
        <v>28</v>
      </c>
    </row>
    <row r="58" spans="1:18">
      <c r="A58" s="4" t="s">
        <v>135</v>
      </c>
      <c r="B58" s="4">
        <v>-1</v>
      </c>
      <c r="C58" s="4">
        <v>2</v>
      </c>
      <c r="D58" s="4">
        <v>0</v>
      </c>
      <c r="E58" s="4">
        <v>6</v>
      </c>
      <c r="F58" s="4">
        <v>1.5</v>
      </c>
      <c r="G58" s="4">
        <v>-1</v>
      </c>
      <c r="H58" s="4">
        <v>3</v>
      </c>
      <c r="I58" s="4">
        <v>2</v>
      </c>
      <c r="J58" s="4">
        <v>-0.5</v>
      </c>
      <c r="K58" s="4">
        <v>1</v>
      </c>
      <c r="L58" s="4">
        <v>-4</v>
      </c>
      <c r="M58" s="4">
        <v>2</v>
      </c>
      <c r="N58" s="4">
        <v>6</v>
      </c>
      <c r="O58" s="4">
        <v>3.5</v>
      </c>
      <c r="P58" s="4">
        <v>0</v>
      </c>
      <c r="Q58" s="7" t="s">
        <v>136</v>
      </c>
      <c r="R58" s="7" t="s">
        <v>34</v>
      </c>
    </row>
    <row r="59" spans="1:18">
      <c r="A59" s="4" t="s">
        <v>137</v>
      </c>
      <c r="B59" s="4">
        <v>-3</v>
      </c>
      <c r="C59" s="4">
        <v>2</v>
      </c>
      <c r="D59" s="4">
        <v>2</v>
      </c>
      <c r="E59" s="4">
        <v>1</v>
      </c>
      <c r="F59" s="4">
        <v>1</v>
      </c>
      <c r="G59" s="4">
        <v>-3</v>
      </c>
      <c r="H59" s="4">
        <v>-3</v>
      </c>
      <c r="I59" s="4">
        <v>5</v>
      </c>
      <c r="J59" s="4">
        <v>-3</v>
      </c>
      <c r="K59" s="4">
        <v>4</v>
      </c>
      <c r="L59" s="4">
        <v>2</v>
      </c>
      <c r="M59" s="4">
        <v>0</v>
      </c>
      <c r="N59" s="4">
        <v>4</v>
      </c>
      <c r="O59" s="4">
        <v>-4</v>
      </c>
      <c r="P59" s="4">
        <v>0</v>
      </c>
      <c r="Q59" s="7" t="s">
        <v>138</v>
      </c>
      <c r="R59" s="7" t="s">
        <v>37</v>
      </c>
    </row>
    <row r="60" spans="1:18">
      <c r="A60" s="4" t="s">
        <v>139</v>
      </c>
      <c r="B60" s="4">
        <v>2.5</v>
      </c>
      <c r="C60" s="4">
        <v>4</v>
      </c>
      <c r="D60" s="4">
        <v>-3</v>
      </c>
      <c r="E60" s="4">
        <v>0</v>
      </c>
      <c r="F60" s="4">
        <v>3</v>
      </c>
      <c r="G60" s="4">
        <v>1</v>
      </c>
      <c r="H60" s="4">
        <v>-8</v>
      </c>
      <c r="I60" s="4">
        <v>2.5</v>
      </c>
      <c r="J60" s="4">
        <v>5</v>
      </c>
      <c r="K60" s="4">
        <v>4</v>
      </c>
      <c r="L60" s="4">
        <v>5</v>
      </c>
      <c r="M60" s="4">
        <v>1</v>
      </c>
      <c r="N60" s="4">
        <v>0.5</v>
      </c>
      <c r="O60" s="4">
        <v>6.5</v>
      </c>
      <c r="P60" s="4">
        <v>1</v>
      </c>
      <c r="Q60" s="7" t="s">
        <v>140</v>
      </c>
      <c r="R60" s="7" t="s">
        <v>40</v>
      </c>
    </row>
    <row r="61" spans="1:18">
      <c r="A61" s="4" t="s">
        <v>141</v>
      </c>
      <c r="B61" s="4">
        <v>0.5</v>
      </c>
      <c r="C61" s="4">
        <v>0.5</v>
      </c>
      <c r="D61" s="4">
        <v>4</v>
      </c>
      <c r="E61" s="4">
        <v>2</v>
      </c>
      <c r="F61" s="4">
        <v>-1.5</v>
      </c>
      <c r="G61" s="4">
        <v>-1</v>
      </c>
      <c r="H61" s="4">
        <v>1.5</v>
      </c>
      <c r="I61" s="4">
        <v>3.5</v>
      </c>
      <c r="J61" s="4">
        <v>0.5</v>
      </c>
      <c r="K61" s="4">
        <v>1.5</v>
      </c>
      <c r="L61" s="4">
        <v>4.5</v>
      </c>
      <c r="M61" s="4">
        <v>2</v>
      </c>
      <c r="N61" s="4">
        <v>4.5</v>
      </c>
      <c r="O61" s="4">
        <v>-0.5</v>
      </c>
      <c r="P61" s="4">
        <v>0</v>
      </c>
      <c r="Q61" s="7" t="s">
        <v>142</v>
      </c>
      <c r="R61" s="7" t="s">
        <v>31</v>
      </c>
    </row>
    <row r="62" spans="1:18">
      <c r="A62" s="4" t="s">
        <v>143</v>
      </c>
      <c r="B62" s="4">
        <v>1</v>
      </c>
      <c r="C62" s="4">
        <v>3</v>
      </c>
      <c r="D62" s="4">
        <v>-5</v>
      </c>
      <c r="E62" s="4">
        <v>-2</v>
      </c>
      <c r="F62" s="4">
        <v>4</v>
      </c>
      <c r="G62" s="4">
        <v>6</v>
      </c>
      <c r="H62" s="4">
        <v>-1</v>
      </c>
      <c r="I62" s="4">
        <v>3</v>
      </c>
      <c r="J62" s="4">
        <v>5</v>
      </c>
      <c r="K62" s="4">
        <v>1</v>
      </c>
      <c r="L62" s="4">
        <v>6.5</v>
      </c>
      <c r="M62" s="4">
        <v>-3</v>
      </c>
      <c r="N62" s="4">
        <v>-6</v>
      </c>
      <c r="O62" s="4">
        <v>4.5</v>
      </c>
      <c r="P62" s="4">
        <v>0</v>
      </c>
      <c r="Q62" s="7" t="s">
        <v>144</v>
      </c>
      <c r="R62" s="7" t="s">
        <v>16</v>
      </c>
    </row>
    <row r="63" spans="1:18">
      <c r="A63" s="4" t="s">
        <v>145</v>
      </c>
      <c r="B63" s="4">
        <v>2</v>
      </c>
      <c r="C63" s="4">
        <v>1</v>
      </c>
      <c r="D63" s="4">
        <v>6</v>
      </c>
      <c r="E63" s="4">
        <v>2.5</v>
      </c>
      <c r="F63" s="4">
        <v>3</v>
      </c>
      <c r="G63" s="4">
        <v>-9</v>
      </c>
      <c r="H63" s="4">
        <v>1</v>
      </c>
      <c r="I63" s="4">
        <v>5.5</v>
      </c>
      <c r="J63" s="4">
        <v>6</v>
      </c>
      <c r="K63" s="4">
        <v>2</v>
      </c>
      <c r="L63" s="4">
        <v>2</v>
      </c>
      <c r="M63" s="4">
        <v>0</v>
      </c>
      <c r="N63" s="4">
        <v>3</v>
      </c>
      <c r="O63" s="4">
        <v>2</v>
      </c>
      <c r="P63" s="4">
        <v>0</v>
      </c>
      <c r="Q63" s="7" t="s">
        <v>146</v>
      </c>
      <c r="R63" s="7" t="s">
        <v>19</v>
      </c>
    </row>
    <row r="64" spans="1:18">
      <c r="A64" s="4" t="s">
        <v>147</v>
      </c>
      <c r="B64" s="4">
        <v>0</v>
      </c>
      <c r="C64" s="4">
        <v>-3</v>
      </c>
      <c r="D64" s="4">
        <v>5</v>
      </c>
      <c r="E64" s="4">
        <v>1</v>
      </c>
      <c r="F64" s="4">
        <v>1</v>
      </c>
      <c r="G64" s="4">
        <v>-3</v>
      </c>
      <c r="H64" s="4">
        <v>3</v>
      </c>
      <c r="I64" s="4">
        <v>6.5</v>
      </c>
      <c r="J64" s="4">
        <v>-5</v>
      </c>
      <c r="K64" s="4">
        <v>1</v>
      </c>
      <c r="L64" s="4">
        <v>-4</v>
      </c>
      <c r="M64" s="4">
        <v>0</v>
      </c>
      <c r="N64" s="4">
        <v>3.5</v>
      </c>
      <c r="O64" s="4">
        <v>3.5</v>
      </c>
      <c r="P64" s="4">
        <v>1</v>
      </c>
      <c r="Q64" s="7" t="s">
        <v>148</v>
      </c>
      <c r="R64" s="7" t="s">
        <v>22</v>
      </c>
    </row>
    <row r="65" spans="1:18">
      <c r="A65" s="4" t="s">
        <v>149</v>
      </c>
      <c r="B65" s="4">
        <v>3</v>
      </c>
      <c r="C65" s="4">
        <v>0.5</v>
      </c>
      <c r="D65" s="4">
        <v>-5</v>
      </c>
      <c r="E65" s="4">
        <v>4</v>
      </c>
      <c r="F65" s="4">
        <v>0.5</v>
      </c>
      <c r="G65" s="4">
        <v>0.5</v>
      </c>
      <c r="H65" s="4">
        <v>-5</v>
      </c>
      <c r="I65" s="4">
        <v>4</v>
      </c>
      <c r="J65" s="4">
        <v>6</v>
      </c>
      <c r="K65" s="4">
        <v>2</v>
      </c>
      <c r="L65" s="4">
        <v>4.5</v>
      </c>
      <c r="M65" s="4">
        <v>6</v>
      </c>
      <c r="N65" s="4">
        <v>3</v>
      </c>
      <c r="O65" s="4">
        <v>0</v>
      </c>
      <c r="P65" s="4">
        <v>0</v>
      </c>
      <c r="Q65" s="7" t="s">
        <v>150</v>
      </c>
      <c r="R65" s="7" t="s">
        <v>25</v>
      </c>
    </row>
    <row r="66" spans="1:18">
      <c r="A66" s="4" t="s">
        <v>151</v>
      </c>
      <c r="B66" s="4">
        <v>-5</v>
      </c>
      <c r="C66" s="4">
        <v>4</v>
      </c>
      <c r="D66" s="4">
        <v>-2</v>
      </c>
      <c r="E66" s="4">
        <v>4</v>
      </c>
      <c r="F66" s="4">
        <v>-5</v>
      </c>
      <c r="G66" s="4">
        <v>0</v>
      </c>
      <c r="H66" s="4">
        <v>0</v>
      </c>
      <c r="I66" s="4">
        <v>7</v>
      </c>
      <c r="J66" s="4">
        <v>-1</v>
      </c>
      <c r="K66" s="4">
        <v>2</v>
      </c>
      <c r="L66" s="4">
        <v>4</v>
      </c>
      <c r="M66" s="4">
        <v>0</v>
      </c>
      <c r="N66" s="4">
        <v>-2</v>
      </c>
      <c r="O66" s="4">
        <v>-5</v>
      </c>
      <c r="P66" s="4">
        <v>1</v>
      </c>
      <c r="Q66" s="7" t="s">
        <v>152</v>
      </c>
      <c r="R66" s="7" t="s">
        <v>28</v>
      </c>
    </row>
    <row r="67" spans="1:18">
      <c r="A67" s="4" t="s">
        <v>153</v>
      </c>
      <c r="B67" s="4">
        <v>-6</v>
      </c>
      <c r="C67" s="4">
        <v>3.5</v>
      </c>
      <c r="D67" s="4">
        <v>-6</v>
      </c>
      <c r="E67" s="4">
        <v>-0.5</v>
      </c>
      <c r="F67" s="4">
        <v>0</v>
      </c>
      <c r="G67" s="4">
        <v>-1.5</v>
      </c>
      <c r="H67" s="4">
        <v>3.5</v>
      </c>
      <c r="I67" s="4">
        <v>6</v>
      </c>
      <c r="J67" s="4">
        <v>-4</v>
      </c>
      <c r="K67" s="4">
        <v>-4</v>
      </c>
      <c r="L67" s="4">
        <v>5</v>
      </c>
      <c r="M67" s="4">
        <v>-4</v>
      </c>
      <c r="N67" s="4">
        <v>1.5</v>
      </c>
      <c r="O67" s="4">
        <v>8</v>
      </c>
      <c r="P67" s="4">
        <v>0</v>
      </c>
      <c r="Q67" s="7" t="s">
        <v>154</v>
      </c>
      <c r="R67" s="7" t="s">
        <v>31</v>
      </c>
    </row>
    <row r="68" spans="1:18">
      <c r="A68" s="4" t="s">
        <v>155</v>
      </c>
      <c r="B68" s="4">
        <v>5</v>
      </c>
      <c r="C68" s="4">
        <v>-3</v>
      </c>
      <c r="D68" s="4">
        <v>4</v>
      </c>
      <c r="E68" s="4">
        <v>5</v>
      </c>
      <c r="F68" s="4">
        <v>2</v>
      </c>
      <c r="G68" s="4">
        <v>-1</v>
      </c>
      <c r="H68" s="4">
        <v>1</v>
      </c>
      <c r="I68" s="4">
        <v>-4</v>
      </c>
      <c r="J68" s="4">
        <v>2</v>
      </c>
      <c r="K68" s="4">
        <v>4.5</v>
      </c>
      <c r="L68" s="4">
        <v>-4</v>
      </c>
      <c r="M68" s="4">
        <v>-3</v>
      </c>
      <c r="N68" s="4">
        <v>1.5</v>
      </c>
      <c r="O68" s="4">
        <v>3</v>
      </c>
      <c r="P68" s="4">
        <v>0</v>
      </c>
      <c r="Q68" s="7" t="s">
        <v>156</v>
      </c>
      <c r="R68" s="7" t="s">
        <v>34</v>
      </c>
    </row>
    <row r="69" spans="1:18">
      <c r="A69" s="4" t="s">
        <v>157</v>
      </c>
      <c r="B69" s="4">
        <v>-3</v>
      </c>
      <c r="C69" s="4">
        <v>1</v>
      </c>
      <c r="D69" s="4">
        <v>3</v>
      </c>
      <c r="E69" s="4">
        <v>-3</v>
      </c>
      <c r="F69" s="4">
        <v>-3</v>
      </c>
      <c r="G69" s="4">
        <v>0</v>
      </c>
      <c r="H69" s="4">
        <v>4.5</v>
      </c>
      <c r="I69" s="4">
        <v>2</v>
      </c>
      <c r="J69" s="4">
        <v>-3</v>
      </c>
      <c r="K69" s="4">
        <v>-1</v>
      </c>
      <c r="L69" s="4">
        <v>1</v>
      </c>
      <c r="M69" s="4">
        <v>0</v>
      </c>
      <c r="N69" s="4">
        <v>-5</v>
      </c>
      <c r="O69" s="4">
        <v>9</v>
      </c>
      <c r="P69" s="4">
        <v>1</v>
      </c>
      <c r="Q69" s="7" t="s">
        <v>158</v>
      </c>
      <c r="R69" s="7" t="s">
        <v>37</v>
      </c>
    </row>
    <row r="70" spans="1:18">
      <c r="A70" s="4" t="s">
        <v>159</v>
      </c>
      <c r="B70" s="4">
        <v>2</v>
      </c>
      <c r="C70" s="4">
        <v>-3</v>
      </c>
      <c r="D70" s="4">
        <v>-2</v>
      </c>
      <c r="E70" s="4">
        <v>5</v>
      </c>
      <c r="F70" s="4">
        <v>5</v>
      </c>
      <c r="G70" s="4">
        <v>2</v>
      </c>
      <c r="H70" s="4">
        <v>0.5</v>
      </c>
      <c r="I70" s="4">
        <v>3</v>
      </c>
      <c r="J70" s="4">
        <v>3</v>
      </c>
      <c r="K70" s="4">
        <v>-3</v>
      </c>
      <c r="L70" s="4">
        <v>-4</v>
      </c>
      <c r="M70" s="4">
        <v>2</v>
      </c>
      <c r="N70" s="4">
        <v>0</v>
      </c>
      <c r="O70" s="4">
        <v>4</v>
      </c>
      <c r="P70" s="4">
        <v>0</v>
      </c>
      <c r="Q70" s="7" t="s">
        <v>160</v>
      </c>
      <c r="R70" s="7" t="s">
        <v>40</v>
      </c>
    </row>
    <row r="71" spans="1:18">
      <c r="A71" s="4" t="s">
        <v>161</v>
      </c>
      <c r="B71" s="4">
        <v>0</v>
      </c>
      <c r="C71" s="4">
        <v>-3</v>
      </c>
      <c r="D71" s="4">
        <v>3</v>
      </c>
      <c r="E71" s="4">
        <v>1.5</v>
      </c>
      <c r="F71" s="4">
        <v>-4</v>
      </c>
      <c r="G71" s="4">
        <v>-4</v>
      </c>
      <c r="H71" s="4">
        <v>0</v>
      </c>
      <c r="I71" s="4">
        <v>7.5</v>
      </c>
      <c r="J71" s="4">
        <v>-3</v>
      </c>
      <c r="K71" s="4">
        <v>2</v>
      </c>
      <c r="L71" s="4">
        <v>-2</v>
      </c>
      <c r="M71" s="4">
        <v>-5</v>
      </c>
      <c r="N71" s="4">
        <v>0</v>
      </c>
      <c r="O71" s="4">
        <v>-5</v>
      </c>
      <c r="P71" s="4">
        <v>0</v>
      </c>
      <c r="Q71" s="7" t="s">
        <v>162</v>
      </c>
      <c r="R71" s="7" t="s">
        <v>31</v>
      </c>
    </row>
    <row r="72" spans="1:18">
      <c r="A72" s="4" t="s">
        <v>163</v>
      </c>
      <c r="B72" s="4">
        <v>2</v>
      </c>
      <c r="C72" s="4">
        <v>2</v>
      </c>
      <c r="D72" s="4">
        <v>-1</v>
      </c>
      <c r="E72" s="4">
        <v>0</v>
      </c>
      <c r="F72" s="4">
        <v>8.5</v>
      </c>
      <c r="G72" s="4">
        <v>2</v>
      </c>
      <c r="H72" s="4">
        <v>1</v>
      </c>
      <c r="I72" s="4">
        <v>2</v>
      </c>
      <c r="J72" s="4">
        <v>5</v>
      </c>
      <c r="K72" s="4">
        <v>-1</v>
      </c>
      <c r="L72" s="4">
        <v>5</v>
      </c>
      <c r="M72" s="4">
        <v>-1</v>
      </c>
      <c r="N72" s="4">
        <v>-7</v>
      </c>
      <c r="O72" s="4">
        <v>3</v>
      </c>
      <c r="P72" s="4">
        <v>0</v>
      </c>
      <c r="Q72" s="7" t="s">
        <v>164</v>
      </c>
      <c r="R72" s="7" t="s">
        <v>16</v>
      </c>
    </row>
    <row r="73" spans="1:18">
      <c r="A73" s="4" t="s">
        <v>165</v>
      </c>
      <c r="B73" s="4">
        <v>2</v>
      </c>
      <c r="C73" s="4">
        <v>1</v>
      </c>
      <c r="D73" s="4">
        <v>0</v>
      </c>
      <c r="E73" s="4">
        <v>-2</v>
      </c>
      <c r="F73" s="4">
        <v>2.5</v>
      </c>
      <c r="G73" s="4">
        <v>-4</v>
      </c>
      <c r="H73" s="4">
        <v>1</v>
      </c>
      <c r="I73" s="4">
        <v>0</v>
      </c>
      <c r="J73" s="4">
        <v>2</v>
      </c>
      <c r="K73" s="4">
        <v>-2</v>
      </c>
      <c r="L73" s="4">
        <v>2</v>
      </c>
      <c r="M73" s="4">
        <v>1.5</v>
      </c>
      <c r="N73" s="4">
        <v>5.5</v>
      </c>
      <c r="O73" s="4">
        <v>0</v>
      </c>
      <c r="P73" s="4">
        <v>0</v>
      </c>
      <c r="Q73" s="7" t="s">
        <v>166</v>
      </c>
      <c r="R73" s="7" t="s">
        <v>19</v>
      </c>
    </row>
    <row r="74" spans="1:18">
      <c r="A74" s="4" t="s">
        <v>167</v>
      </c>
      <c r="B74" s="4">
        <v>-1</v>
      </c>
      <c r="C74" s="4">
        <v>1</v>
      </c>
      <c r="D74" s="4">
        <v>-5</v>
      </c>
      <c r="E74" s="4">
        <v>2.5</v>
      </c>
      <c r="F74" s="4">
        <v>-1</v>
      </c>
      <c r="G74" s="4">
        <v>1</v>
      </c>
      <c r="H74" s="4">
        <v>-1</v>
      </c>
      <c r="I74" s="4">
        <v>4</v>
      </c>
      <c r="J74" s="4">
        <v>-7</v>
      </c>
      <c r="K74" s="4">
        <v>-1</v>
      </c>
      <c r="L74" s="4">
        <v>-1.5</v>
      </c>
      <c r="M74" s="4">
        <v>-5</v>
      </c>
      <c r="N74" s="4">
        <v>-1.5</v>
      </c>
      <c r="O74" s="4">
        <v>2</v>
      </c>
      <c r="P74" s="4">
        <v>0</v>
      </c>
      <c r="Q74" s="7" t="s">
        <v>168</v>
      </c>
      <c r="R74" s="7" t="s">
        <v>22</v>
      </c>
    </row>
    <row r="75" spans="1:18">
      <c r="A75" s="4" t="s">
        <v>169</v>
      </c>
      <c r="B75" s="4">
        <v>3</v>
      </c>
      <c r="C75" s="4">
        <v>4</v>
      </c>
      <c r="D75" s="4">
        <v>-2</v>
      </c>
      <c r="E75" s="4">
        <v>-1</v>
      </c>
      <c r="F75" s="4">
        <v>4</v>
      </c>
      <c r="G75" s="4">
        <v>6</v>
      </c>
      <c r="H75" s="4">
        <v>-2.5</v>
      </c>
      <c r="I75" s="4">
        <v>5</v>
      </c>
      <c r="J75" s="4">
        <v>-2</v>
      </c>
      <c r="K75" s="4">
        <v>1.5</v>
      </c>
      <c r="L75" s="4">
        <v>3</v>
      </c>
      <c r="M75" s="4">
        <v>2</v>
      </c>
      <c r="N75" s="4">
        <v>5</v>
      </c>
      <c r="O75" s="4">
        <v>2</v>
      </c>
      <c r="P75" s="4">
        <v>0</v>
      </c>
      <c r="Q75" s="7" t="s">
        <v>170</v>
      </c>
      <c r="R75" s="7" t="s">
        <v>25</v>
      </c>
    </row>
    <row r="76" spans="1:18">
      <c r="A76" s="4" t="s">
        <v>171</v>
      </c>
      <c r="B76" s="4">
        <v>-5</v>
      </c>
      <c r="C76" s="4">
        <v>1.5</v>
      </c>
      <c r="D76" s="4">
        <v>-1</v>
      </c>
      <c r="E76" s="4">
        <v>1.5</v>
      </c>
      <c r="F76" s="4">
        <v>-9</v>
      </c>
      <c r="G76" s="4">
        <v>0</v>
      </c>
      <c r="H76" s="4">
        <v>0</v>
      </c>
      <c r="I76" s="4">
        <v>5</v>
      </c>
      <c r="J76" s="4">
        <v>-1</v>
      </c>
      <c r="K76" s="4">
        <v>1</v>
      </c>
      <c r="L76" s="4">
        <v>-3</v>
      </c>
      <c r="M76" s="4">
        <v>-5</v>
      </c>
      <c r="N76" s="4">
        <v>0</v>
      </c>
      <c r="O76" s="4">
        <v>-9</v>
      </c>
      <c r="P76" s="4">
        <v>0</v>
      </c>
      <c r="Q76" s="7" t="s">
        <v>172</v>
      </c>
      <c r="R76" s="7" t="s">
        <v>28</v>
      </c>
    </row>
    <row r="77" spans="1:18">
      <c r="A77" s="4" t="s">
        <v>173</v>
      </c>
      <c r="B77" s="4">
        <v>-1</v>
      </c>
      <c r="C77" s="4">
        <v>0</v>
      </c>
      <c r="D77" s="4">
        <v>-5</v>
      </c>
      <c r="E77" s="4">
        <v>4</v>
      </c>
      <c r="F77" s="4">
        <v>5</v>
      </c>
      <c r="G77" s="4">
        <v>0</v>
      </c>
      <c r="H77" s="4">
        <v>0</v>
      </c>
      <c r="I77" s="4">
        <v>0</v>
      </c>
      <c r="J77" s="4">
        <v>1</v>
      </c>
      <c r="K77" s="4">
        <v>0.5</v>
      </c>
      <c r="L77" s="4">
        <v>0</v>
      </c>
      <c r="M77" s="4">
        <v>-2</v>
      </c>
      <c r="N77" s="4">
        <v>-1</v>
      </c>
      <c r="O77" s="4">
        <v>1</v>
      </c>
      <c r="P77" s="4">
        <v>0</v>
      </c>
      <c r="Q77" s="7" t="s">
        <v>174</v>
      </c>
      <c r="R77" s="7" t="s">
        <v>16</v>
      </c>
    </row>
    <row r="78" spans="1:18">
      <c r="A78" s="4" t="s">
        <v>175</v>
      </c>
      <c r="B78" s="4">
        <v>7</v>
      </c>
      <c r="C78" s="4">
        <v>2</v>
      </c>
      <c r="D78" s="4">
        <v>1</v>
      </c>
      <c r="E78" s="4">
        <v>-2</v>
      </c>
      <c r="F78" s="4">
        <v>0</v>
      </c>
      <c r="G78" s="4">
        <v>-3</v>
      </c>
      <c r="H78" s="4">
        <v>-4</v>
      </c>
      <c r="I78" s="4">
        <v>4</v>
      </c>
      <c r="J78" s="4">
        <v>5</v>
      </c>
      <c r="K78" s="4">
        <v>3</v>
      </c>
      <c r="L78" s="4">
        <v>-4</v>
      </c>
      <c r="M78" s="4">
        <v>2</v>
      </c>
      <c r="N78" s="4">
        <v>0</v>
      </c>
      <c r="O78" s="4">
        <v>7</v>
      </c>
      <c r="P78" s="4">
        <v>0</v>
      </c>
      <c r="Q78" s="7" t="s">
        <v>176</v>
      </c>
      <c r="R78" s="7" t="s">
        <v>34</v>
      </c>
    </row>
    <row r="79" spans="1:18">
      <c r="A79" s="4" t="s">
        <v>177</v>
      </c>
      <c r="B79" s="4">
        <v>-2</v>
      </c>
      <c r="C79" s="4">
        <v>6.5</v>
      </c>
      <c r="D79" s="4">
        <v>-2</v>
      </c>
      <c r="E79" s="4">
        <v>4</v>
      </c>
      <c r="F79" s="4">
        <v>-7</v>
      </c>
      <c r="G79" s="4">
        <v>-2</v>
      </c>
      <c r="H79" s="4">
        <v>-4</v>
      </c>
      <c r="I79" s="4">
        <v>0</v>
      </c>
      <c r="J79" s="4">
        <v>-2</v>
      </c>
      <c r="K79" s="4">
        <v>4</v>
      </c>
      <c r="L79" s="4">
        <v>6.5</v>
      </c>
      <c r="M79" s="4">
        <v>-1</v>
      </c>
      <c r="N79" s="4">
        <v>0.5</v>
      </c>
      <c r="O79" s="4">
        <v>7</v>
      </c>
      <c r="P79" s="4">
        <v>0</v>
      </c>
      <c r="Q79" s="7" t="s">
        <v>178</v>
      </c>
      <c r="R79" s="7" t="s">
        <v>37</v>
      </c>
    </row>
    <row r="80" spans="1:18">
      <c r="A80" s="4" t="s">
        <v>179</v>
      </c>
      <c r="B80" s="4">
        <v>4</v>
      </c>
      <c r="C80" s="4">
        <v>2</v>
      </c>
      <c r="D80" s="4">
        <v>7</v>
      </c>
      <c r="E80" s="4">
        <v>4</v>
      </c>
      <c r="F80" s="4">
        <v>0</v>
      </c>
      <c r="G80" s="4">
        <v>3</v>
      </c>
      <c r="H80" s="4">
        <v>-2</v>
      </c>
      <c r="I80" s="4">
        <v>3</v>
      </c>
      <c r="J80" s="4">
        <v>2</v>
      </c>
      <c r="K80" s="4">
        <v>2</v>
      </c>
      <c r="L80" s="4">
        <v>-2</v>
      </c>
      <c r="M80" s="4">
        <v>4</v>
      </c>
      <c r="N80" s="4">
        <v>2</v>
      </c>
      <c r="O80" s="4">
        <v>0</v>
      </c>
      <c r="P80" s="4">
        <v>0</v>
      </c>
      <c r="Q80" s="7" t="s">
        <v>180</v>
      </c>
      <c r="R80" s="7" t="s">
        <v>40</v>
      </c>
    </row>
    <row r="81" spans="1:18">
      <c r="A81" s="4" t="s">
        <v>181</v>
      </c>
      <c r="B81" s="4">
        <v>-0.5</v>
      </c>
      <c r="C81" s="4">
        <v>0.5</v>
      </c>
      <c r="D81" s="4">
        <v>4</v>
      </c>
      <c r="E81" s="4">
        <v>1</v>
      </c>
      <c r="F81" s="4">
        <v>-0.5</v>
      </c>
      <c r="G81" s="4">
        <v>-1</v>
      </c>
      <c r="H81" s="4">
        <v>1.5</v>
      </c>
      <c r="I81" s="4">
        <v>4.5</v>
      </c>
      <c r="J81" s="4">
        <v>0.5</v>
      </c>
      <c r="K81" s="4">
        <v>2.5</v>
      </c>
      <c r="L81" s="4">
        <v>3.5</v>
      </c>
      <c r="M81" s="4">
        <v>2</v>
      </c>
      <c r="N81" s="4">
        <v>3.5</v>
      </c>
      <c r="O81" s="4">
        <v>0.5</v>
      </c>
      <c r="P81" s="4">
        <v>1</v>
      </c>
      <c r="Q81" s="7" t="s">
        <v>182</v>
      </c>
      <c r="R81" s="7" t="s">
        <v>31</v>
      </c>
    </row>
    <row r="82" spans="1:18">
      <c r="A82" s="4" t="s">
        <v>183</v>
      </c>
      <c r="B82" s="4">
        <v>6</v>
      </c>
      <c r="C82" s="4">
        <v>2</v>
      </c>
      <c r="D82" s="4">
        <v>-5</v>
      </c>
      <c r="E82" s="4">
        <v>-2</v>
      </c>
      <c r="F82" s="4">
        <v>5</v>
      </c>
      <c r="G82" s="4">
        <v>6</v>
      </c>
      <c r="H82" s="4">
        <v>0</v>
      </c>
      <c r="I82" s="4">
        <v>2</v>
      </c>
      <c r="J82" s="4">
        <v>5</v>
      </c>
      <c r="K82" s="4">
        <v>0</v>
      </c>
      <c r="L82" s="4">
        <v>7.5</v>
      </c>
      <c r="M82" s="4">
        <v>-3</v>
      </c>
      <c r="N82" s="4">
        <v>-6</v>
      </c>
      <c r="O82" s="4">
        <v>5.5</v>
      </c>
      <c r="P82" s="4">
        <v>0</v>
      </c>
      <c r="Q82" s="7" t="s">
        <v>184</v>
      </c>
      <c r="R82" s="7" t="s">
        <v>16</v>
      </c>
    </row>
    <row r="83" spans="1:18">
      <c r="A83" s="4" t="s">
        <v>185</v>
      </c>
      <c r="B83" s="4">
        <v>0</v>
      </c>
      <c r="C83" s="4">
        <v>0</v>
      </c>
      <c r="D83" s="4">
        <v>6</v>
      </c>
      <c r="E83" s="4">
        <v>3.5</v>
      </c>
      <c r="F83" s="4">
        <v>2</v>
      </c>
      <c r="G83" s="4">
        <v>-9</v>
      </c>
      <c r="H83" s="4">
        <v>0</v>
      </c>
      <c r="I83" s="4">
        <v>6.5</v>
      </c>
      <c r="J83" s="4">
        <v>6</v>
      </c>
      <c r="K83" s="4">
        <v>2</v>
      </c>
      <c r="L83" s="4">
        <v>3</v>
      </c>
      <c r="M83" s="4">
        <v>0</v>
      </c>
      <c r="N83" s="4">
        <v>4</v>
      </c>
      <c r="O83" s="4">
        <v>1</v>
      </c>
      <c r="P83" s="4">
        <v>1</v>
      </c>
      <c r="Q83" s="7" t="s">
        <v>186</v>
      </c>
      <c r="R83" s="7" t="s">
        <v>19</v>
      </c>
    </row>
    <row r="84" spans="1:18">
      <c r="A84" s="4" t="s">
        <v>187</v>
      </c>
      <c r="B84" s="4">
        <v>7.5</v>
      </c>
      <c r="C84" s="4">
        <v>-3</v>
      </c>
      <c r="D84" s="4">
        <v>5</v>
      </c>
      <c r="E84" s="4">
        <v>0</v>
      </c>
      <c r="F84" s="4">
        <v>2</v>
      </c>
      <c r="G84" s="4">
        <v>-3</v>
      </c>
      <c r="H84" s="4">
        <v>3</v>
      </c>
      <c r="I84" s="4">
        <v>7.5</v>
      </c>
      <c r="J84" s="4">
        <v>-6</v>
      </c>
      <c r="K84" s="4">
        <v>2</v>
      </c>
      <c r="L84" s="4">
        <v>-5</v>
      </c>
      <c r="M84" s="4">
        <v>-1</v>
      </c>
      <c r="N84" s="4">
        <v>2.5</v>
      </c>
      <c r="O84" s="4">
        <v>4.5</v>
      </c>
      <c r="P84" s="4">
        <v>0</v>
      </c>
      <c r="Q84" s="7" t="s">
        <v>188</v>
      </c>
      <c r="R84" s="7" t="s">
        <v>22</v>
      </c>
    </row>
    <row r="85" spans="1:18">
      <c r="A85" s="4" t="s">
        <v>189</v>
      </c>
      <c r="B85" s="4">
        <v>5</v>
      </c>
      <c r="C85" s="4">
        <v>1.5</v>
      </c>
      <c r="D85" s="4">
        <v>-5</v>
      </c>
      <c r="E85" s="4">
        <v>4</v>
      </c>
      <c r="F85" s="4">
        <v>1.5</v>
      </c>
      <c r="G85" s="4">
        <v>0.5</v>
      </c>
      <c r="H85" s="4">
        <v>-4</v>
      </c>
      <c r="I85" s="4">
        <v>3</v>
      </c>
      <c r="J85" s="4">
        <v>5</v>
      </c>
      <c r="K85" s="4">
        <v>1</v>
      </c>
      <c r="L85" s="4">
        <v>4.5</v>
      </c>
      <c r="M85" s="4">
        <v>6</v>
      </c>
      <c r="N85" s="4">
        <v>3</v>
      </c>
      <c r="O85" s="4">
        <v>1</v>
      </c>
      <c r="P85" s="4">
        <v>1</v>
      </c>
      <c r="Q85" s="7" t="s">
        <v>190</v>
      </c>
      <c r="R85" s="7" t="s">
        <v>25</v>
      </c>
    </row>
    <row r="86" spans="1:18">
      <c r="A86" s="4" t="s">
        <v>191</v>
      </c>
      <c r="B86" s="4">
        <v>1</v>
      </c>
      <c r="C86" s="4">
        <v>4</v>
      </c>
      <c r="D86" s="4">
        <v>-2</v>
      </c>
      <c r="E86" s="4">
        <v>4</v>
      </c>
      <c r="F86" s="4">
        <v>-3</v>
      </c>
      <c r="G86" s="4">
        <v>-2</v>
      </c>
      <c r="H86" s="4">
        <v>3</v>
      </c>
      <c r="I86" s="4">
        <v>0.5</v>
      </c>
      <c r="J86" s="4">
        <v>2</v>
      </c>
      <c r="K86" s="4">
        <v>1</v>
      </c>
      <c r="L86" s="4">
        <v>4.5</v>
      </c>
      <c r="M86" s="4">
        <v>-4</v>
      </c>
      <c r="N86" s="4">
        <v>-2</v>
      </c>
      <c r="O86" s="4">
        <v>-2</v>
      </c>
      <c r="P86" s="4">
        <v>0</v>
      </c>
      <c r="Q86" s="7" t="s">
        <v>192</v>
      </c>
      <c r="R86" s="7" t="s">
        <v>28</v>
      </c>
    </row>
    <row r="87" spans="1:18">
      <c r="A87" s="4" t="s">
        <v>193</v>
      </c>
      <c r="B87" s="4">
        <v>-1</v>
      </c>
      <c r="C87" s="4">
        <v>-1</v>
      </c>
      <c r="D87" s="4">
        <v>-6</v>
      </c>
      <c r="E87" s="4">
        <v>5</v>
      </c>
      <c r="F87" s="4">
        <v>3</v>
      </c>
      <c r="G87" s="4">
        <v>-7</v>
      </c>
      <c r="H87" s="4">
        <v>-1</v>
      </c>
      <c r="I87" s="4">
        <v>3</v>
      </c>
      <c r="J87" s="4">
        <v>-1</v>
      </c>
      <c r="K87" s="4">
        <v>0</v>
      </c>
      <c r="L87" s="4">
        <v>-1</v>
      </c>
      <c r="M87" s="4">
        <v>3</v>
      </c>
      <c r="N87" s="4">
        <v>-4</v>
      </c>
      <c r="O87" s="4">
        <v>8.5</v>
      </c>
      <c r="P87" s="4">
        <v>0</v>
      </c>
      <c r="Q87" s="7" t="s">
        <v>194</v>
      </c>
      <c r="R87" s="7" t="s">
        <v>19</v>
      </c>
    </row>
    <row r="88" spans="1:18">
      <c r="A88" s="4" t="s">
        <v>195</v>
      </c>
      <c r="B88" s="4">
        <v>0</v>
      </c>
      <c r="C88" s="4">
        <v>0</v>
      </c>
      <c r="D88" s="4">
        <v>3</v>
      </c>
      <c r="E88" s="4">
        <v>5</v>
      </c>
      <c r="F88" s="4">
        <v>2</v>
      </c>
      <c r="G88" s="4">
        <v>-6</v>
      </c>
      <c r="H88" s="4">
        <v>-5</v>
      </c>
      <c r="I88" s="4">
        <v>-1</v>
      </c>
      <c r="J88" s="4">
        <v>-3</v>
      </c>
      <c r="K88" s="4">
        <v>-3</v>
      </c>
      <c r="L88" s="4">
        <v>3.5</v>
      </c>
      <c r="M88" s="4">
        <v>0</v>
      </c>
      <c r="N88" s="4">
        <v>5</v>
      </c>
      <c r="O88" s="4">
        <v>8</v>
      </c>
      <c r="P88" s="4">
        <v>0</v>
      </c>
      <c r="Q88" s="7" t="s">
        <v>196</v>
      </c>
      <c r="R88" s="7" t="s">
        <v>34</v>
      </c>
    </row>
    <row r="89" spans="1:18">
      <c r="A89" s="4" t="s">
        <v>197</v>
      </c>
      <c r="B89" s="4">
        <v>-3</v>
      </c>
      <c r="C89" s="4">
        <v>5</v>
      </c>
      <c r="D89" s="4">
        <v>-2</v>
      </c>
      <c r="E89" s="4">
        <v>2</v>
      </c>
      <c r="F89" s="4">
        <v>-1</v>
      </c>
      <c r="G89" s="4">
        <v>3</v>
      </c>
      <c r="H89" s="4">
        <v>3</v>
      </c>
      <c r="I89" s="4">
        <v>4.5</v>
      </c>
      <c r="J89" s="4">
        <v>-5</v>
      </c>
      <c r="K89" s="4">
        <v>8</v>
      </c>
      <c r="L89" s="4">
        <v>5</v>
      </c>
      <c r="M89" s="4">
        <v>-1</v>
      </c>
      <c r="N89" s="4">
        <v>-3</v>
      </c>
      <c r="O89" s="4">
        <v>0</v>
      </c>
      <c r="P89" s="4">
        <v>0</v>
      </c>
      <c r="Q89" s="7" t="s">
        <v>198</v>
      </c>
      <c r="R89" s="7" t="s">
        <v>37</v>
      </c>
    </row>
    <row r="90" spans="1:18">
      <c r="A90" s="4" t="s">
        <v>199</v>
      </c>
      <c r="B90" s="4">
        <v>5</v>
      </c>
      <c r="C90" s="4">
        <v>3</v>
      </c>
      <c r="D90" s="4">
        <v>-1</v>
      </c>
      <c r="E90" s="4">
        <v>1</v>
      </c>
      <c r="F90" s="4">
        <v>7.5</v>
      </c>
      <c r="G90" s="4">
        <v>-7</v>
      </c>
      <c r="H90" s="4">
        <v>-8</v>
      </c>
      <c r="I90" s="4">
        <v>7</v>
      </c>
      <c r="J90" s="4">
        <v>2</v>
      </c>
      <c r="K90" s="4">
        <v>3</v>
      </c>
      <c r="L90" s="4">
        <v>4</v>
      </c>
      <c r="M90" s="4">
        <v>-6</v>
      </c>
      <c r="N90" s="4">
        <v>-4</v>
      </c>
      <c r="O90" s="4">
        <v>5</v>
      </c>
      <c r="P90" s="4">
        <v>1</v>
      </c>
      <c r="Q90" s="7" t="s">
        <v>200</v>
      </c>
      <c r="R90" s="7" t="s">
        <v>40</v>
      </c>
    </row>
    <row r="91" spans="1:18">
      <c r="A91" s="4" t="s">
        <v>201</v>
      </c>
      <c r="B91" s="4">
        <v>2</v>
      </c>
      <c r="C91" s="4">
        <v>10.5</v>
      </c>
      <c r="D91" s="4">
        <v>2</v>
      </c>
      <c r="E91" s="4">
        <v>-6</v>
      </c>
      <c r="F91" s="4">
        <v>2.5</v>
      </c>
      <c r="G91" s="4">
        <v>1</v>
      </c>
      <c r="H91" s="4">
        <v>6.5</v>
      </c>
      <c r="I91" s="4">
        <v>0</v>
      </c>
      <c r="J91" s="4">
        <v>10.5</v>
      </c>
      <c r="K91" s="4">
        <v>8</v>
      </c>
      <c r="L91" s="4">
        <v>4.5</v>
      </c>
      <c r="M91" s="4">
        <v>7</v>
      </c>
      <c r="N91" s="4">
        <v>7.5</v>
      </c>
      <c r="O91" s="4">
        <v>3.5</v>
      </c>
      <c r="P91" s="4">
        <v>1</v>
      </c>
      <c r="Q91" s="7" t="s">
        <v>202</v>
      </c>
      <c r="R91" s="7" t="s">
        <v>31</v>
      </c>
    </row>
    <row r="92" spans="1:18">
      <c r="A92" s="4" t="s">
        <v>203</v>
      </c>
      <c r="B92" s="4">
        <v>0</v>
      </c>
      <c r="C92" s="4">
        <v>2</v>
      </c>
      <c r="D92" s="4">
        <v>-2</v>
      </c>
      <c r="E92" s="4">
        <v>0</v>
      </c>
      <c r="F92" s="4">
        <v>2</v>
      </c>
      <c r="G92" s="4">
        <v>4</v>
      </c>
      <c r="H92" s="4">
        <v>-5</v>
      </c>
      <c r="I92" s="4">
        <v>2</v>
      </c>
      <c r="J92" s="4">
        <v>-1</v>
      </c>
      <c r="K92" s="4">
        <v>1</v>
      </c>
      <c r="L92" s="4">
        <v>3.5</v>
      </c>
      <c r="M92" s="4">
        <v>1</v>
      </c>
      <c r="N92" s="4">
        <v>-1</v>
      </c>
      <c r="O92" s="4">
        <v>3</v>
      </c>
      <c r="P92" s="4">
        <v>0</v>
      </c>
      <c r="Q92" s="7" t="s">
        <v>204</v>
      </c>
      <c r="R92" s="7" t="s">
        <v>16</v>
      </c>
    </row>
    <row r="93" spans="1:18">
      <c r="A93" s="4" t="s">
        <v>205</v>
      </c>
      <c r="B93" s="4">
        <v>2.5</v>
      </c>
      <c r="C93" s="4">
        <v>3</v>
      </c>
      <c r="D93" s="4">
        <v>1</v>
      </c>
      <c r="E93" s="4">
        <v>5</v>
      </c>
      <c r="F93" s="4">
        <v>2.5</v>
      </c>
      <c r="G93" s="4">
        <v>-1</v>
      </c>
      <c r="H93" s="4">
        <v>3</v>
      </c>
      <c r="I93" s="4">
        <v>3</v>
      </c>
      <c r="J93" s="4">
        <v>0.5</v>
      </c>
      <c r="K93" s="4">
        <v>1</v>
      </c>
      <c r="L93" s="4">
        <v>-2</v>
      </c>
      <c r="M93" s="4">
        <v>3</v>
      </c>
      <c r="N93" s="4">
        <v>5</v>
      </c>
      <c r="O93" s="4">
        <v>4.5</v>
      </c>
      <c r="P93" s="4">
        <v>0</v>
      </c>
      <c r="Q93" s="7" t="s">
        <v>206</v>
      </c>
      <c r="R93" s="7" t="s">
        <v>19</v>
      </c>
    </row>
    <row r="94" spans="1:18">
      <c r="A94" s="4" t="s">
        <v>207</v>
      </c>
      <c r="B94" s="4">
        <v>-4</v>
      </c>
      <c r="C94" s="4">
        <v>-4</v>
      </c>
      <c r="D94" s="4">
        <v>1</v>
      </c>
      <c r="E94" s="4">
        <v>1</v>
      </c>
      <c r="F94" s="4">
        <v>2</v>
      </c>
      <c r="G94" s="4">
        <v>-4</v>
      </c>
      <c r="H94" s="4">
        <v>-3</v>
      </c>
      <c r="I94" s="4">
        <v>4</v>
      </c>
      <c r="J94" s="4">
        <v>-3</v>
      </c>
      <c r="K94" s="4">
        <v>3</v>
      </c>
      <c r="L94" s="4">
        <v>3</v>
      </c>
      <c r="M94" s="4">
        <v>-1</v>
      </c>
      <c r="N94" s="4">
        <v>4</v>
      </c>
      <c r="O94" s="4">
        <v>-2</v>
      </c>
      <c r="P94" s="4">
        <v>0</v>
      </c>
      <c r="Q94" s="7" t="s">
        <v>208</v>
      </c>
      <c r="R94" s="7" t="s">
        <v>22</v>
      </c>
    </row>
    <row r="95" spans="1:18">
      <c r="A95" s="4" t="s">
        <v>209</v>
      </c>
      <c r="B95" s="4">
        <v>-10</v>
      </c>
      <c r="C95" s="4">
        <v>2</v>
      </c>
      <c r="D95" s="4">
        <v>-2</v>
      </c>
      <c r="E95" s="4">
        <v>0</v>
      </c>
      <c r="F95" s="4">
        <v>2</v>
      </c>
      <c r="G95" s="4">
        <v>2</v>
      </c>
      <c r="H95" s="4">
        <v>-10</v>
      </c>
      <c r="I95" s="4">
        <v>2.5</v>
      </c>
      <c r="J95" s="4">
        <v>5</v>
      </c>
      <c r="K95" s="4">
        <v>4</v>
      </c>
      <c r="L95" s="4">
        <v>5</v>
      </c>
      <c r="M95" s="4">
        <v>1</v>
      </c>
      <c r="N95" s="4">
        <v>0.5</v>
      </c>
      <c r="O95" s="4">
        <v>5.5</v>
      </c>
      <c r="P95" s="4">
        <v>0</v>
      </c>
      <c r="Q95" s="7" t="s">
        <v>210</v>
      </c>
      <c r="R95" s="7" t="s">
        <v>25</v>
      </c>
    </row>
    <row r="96" spans="1:18">
      <c r="A96" s="4" t="s">
        <v>211</v>
      </c>
      <c r="B96" s="4">
        <v>-1</v>
      </c>
      <c r="C96" s="4">
        <v>2.5</v>
      </c>
      <c r="D96" s="4">
        <v>-1</v>
      </c>
      <c r="E96" s="4">
        <v>2.5</v>
      </c>
      <c r="F96" s="4">
        <v>-2</v>
      </c>
      <c r="G96" s="4">
        <v>0</v>
      </c>
      <c r="H96" s="4">
        <v>2</v>
      </c>
      <c r="I96" s="4">
        <v>-1</v>
      </c>
      <c r="J96" s="4">
        <v>6</v>
      </c>
      <c r="K96" s="4">
        <v>4</v>
      </c>
      <c r="L96" s="4">
        <v>5</v>
      </c>
      <c r="M96" s="4">
        <v>2</v>
      </c>
      <c r="N96" s="4">
        <v>3</v>
      </c>
      <c r="O96" s="4">
        <v>-2</v>
      </c>
      <c r="P96" s="4">
        <v>1</v>
      </c>
      <c r="Q96" s="7" t="s">
        <v>212</v>
      </c>
      <c r="R96" s="7" t="s">
        <v>28</v>
      </c>
    </row>
    <row r="97" spans="1:18">
      <c r="A97" s="4" t="s">
        <v>213</v>
      </c>
      <c r="B97" s="4">
        <v>3</v>
      </c>
      <c r="C97" s="4">
        <v>-0.5</v>
      </c>
      <c r="D97" s="4">
        <v>-1</v>
      </c>
      <c r="E97" s="4">
        <v>3</v>
      </c>
      <c r="F97" s="4">
        <v>3.5</v>
      </c>
      <c r="G97" s="4">
        <v>2</v>
      </c>
      <c r="H97" s="4">
        <v>-1</v>
      </c>
      <c r="I97" s="4">
        <v>0</v>
      </c>
      <c r="J97" s="4">
        <v>3</v>
      </c>
      <c r="K97" s="4">
        <v>-0.5</v>
      </c>
      <c r="L97" s="4">
        <v>2</v>
      </c>
      <c r="M97" s="4">
        <v>0</v>
      </c>
      <c r="N97" s="4">
        <v>-5.5</v>
      </c>
      <c r="O97" s="4">
        <v>0</v>
      </c>
      <c r="P97" s="4">
        <v>0</v>
      </c>
      <c r="Q97" s="7" t="s">
        <v>214</v>
      </c>
      <c r="R97" s="7" t="s">
        <v>22</v>
      </c>
    </row>
    <row r="98" spans="1:18">
      <c r="A98" s="4" t="s">
        <v>215</v>
      </c>
      <c r="B98" s="4">
        <v>-1</v>
      </c>
      <c r="C98" s="4">
        <v>-2</v>
      </c>
      <c r="D98" s="4">
        <v>-1</v>
      </c>
      <c r="E98" s="4">
        <v>-6</v>
      </c>
      <c r="F98" s="4">
        <v>-1</v>
      </c>
      <c r="G98" s="4">
        <v>0</v>
      </c>
      <c r="H98" s="4">
        <v>-9</v>
      </c>
      <c r="I98" s="4">
        <v>3</v>
      </c>
      <c r="J98" s="4">
        <v>3</v>
      </c>
      <c r="K98" s="4">
        <v>-1</v>
      </c>
      <c r="L98" s="4">
        <v>-4</v>
      </c>
      <c r="M98" s="4">
        <v>-2</v>
      </c>
      <c r="N98" s="4">
        <v>-6</v>
      </c>
      <c r="O98" s="4">
        <v>0</v>
      </c>
      <c r="P98" s="4">
        <v>1</v>
      </c>
      <c r="Q98" s="7" t="s">
        <v>216</v>
      </c>
      <c r="R98" s="7" t="s">
        <v>34</v>
      </c>
    </row>
    <row r="99" spans="1:18">
      <c r="A99" s="4" t="s">
        <v>217</v>
      </c>
      <c r="B99" s="4">
        <v>0</v>
      </c>
      <c r="C99" s="4">
        <v>0</v>
      </c>
      <c r="D99" s="4">
        <v>1</v>
      </c>
      <c r="E99" s="4">
        <v>-1</v>
      </c>
      <c r="F99" s="4">
        <v>-2</v>
      </c>
      <c r="G99" s="4">
        <v>3</v>
      </c>
      <c r="H99" s="4">
        <v>-12</v>
      </c>
      <c r="I99" s="4">
        <v>5</v>
      </c>
      <c r="J99" s="4">
        <v>-5</v>
      </c>
      <c r="K99" s="4">
        <v>-1.5</v>
      </c>
      <c r="L99" s="4">
        <v>0</v>
      </c>
      <c r="M99" s="4">
        <v>-3</v>
      </c>
      <c r="N99" s="4">
        <v>-5.5</v>
      </c>
      <c r="O99" s="4">
        <v>2</v>
      </c>
      <c r="P99" s="4">
        <v>1</v>
      </c>
      <c r="Q99" s="7" t="s">
        <v>218</v>
      </c>
      <c r="R99" s="7" t="s">
        <v>37</v>
      </c>
    </row>
    <row r="100" spans="1:18">
      <c r="A100" s="4" t="s">
        <v>219</v>
      </c>
      <c r="B100" s="4">
        <v>3</v>
      </c>
      <c r="C100" s="4">
        <v>-4</v>
      </c>
      <c r="D100" s="4">
        <v>5</v>
      </c>
      <c r="E100" s="4">
        <v>-3.5</v>
      </c>
      <c r="F100" s="4">
        <v>-5</v>
      </c>
      <c r="G100" s="4">
        <v>-3</v>
      </c>
      <c r="H100" s="4">
        <v>-4</v>
      </c>
      <c r="I100" s="4">
        <v>-5</v>
      </c>
      <c r="J100" s="4">
        <v>3</v>
      </c>
      <c r="K100" s="4">
        <v>-4</v>
      </c>
      <c r="L100" s="4">
        <v>-2</v>
      </c>
      <c r="M100" s="4">
        <v>3</v>
      </c>
      <c r="N100" s="4">
        <v>-6</v>
      </c>
      <c r="O100" s="4">
        <v>1</v>
      </c>
      <c r="P100" s="4">
        <v>0</v>
      </c>
      <c r="Q100" s="7" t="s">
        <v>220</v>
      </c>
      <c r="R100" s="7" t="s">
        <v>40</v>
      </c>
    </row>
    <row r="101" spans="1:18">
      <c r="A101" s="4" t="s">
        <v>221</v>
      </c>
      <c r="B101" s="4">
        <v>-1</v>
      </c>
      <c r="C101" s="4">
        <v>4</v>
      </c>
      <c r="D101" s="4">
        <v>-5</v>
      </c>
      <c r="E101" s="4">
        <v>0</v>
      </c>
      <c r="F101" s="4">
        <v>-2</v>
      </c>
      <c r="G101" s="4">
        <v>0</v>
      </c>
      <c r="H101" s="4">
        <v>1</v>
      </c>
      <c r="I101" s="4">
        <v>2</v>
      </c>
      <c r="J101" s="4">
        <v>4</v>
      </c>
      <c r="K101" s="4">
        <v>6</v>
      </c>
      <c r="L101" s="4">
        <v>5</v>
      </c>
      <c r="M101" s="4">
        <v>3</v>
      </c>
      <c r="N101" s="4">
        <v>-1</v>
      </c>
      <c r="O101" s="4">
        <v>-2</v>
      </c>
      <c r="P101" s="4">
        <v>1</v>
      </c>
      <c r="Q101" s="7" t="s">
        <v>222</v>
      </c>
      <c r="R101" s="7" t="s">
        <v>31</v>
      </c>
    </row>
    <row r="102" spans="1:18">
      <c r="A102" s="4" t="s">
        <v>223</v>
      </c>
      <c r="B102" s="4">
        <v>0</v>
      </c>
      <c r="C102" s="4">
        <v>0</v>
      </c>
      <c r="D102" s="4">
        <v>-1</v>
      </c>
      <c r="E102" s="4">
        <v>2.5</v>
      </c>
      <c r="F102" s="4">
        <v>2</v>
      </c>
      <c r="G102" s="4">
        <v>5</v>
      </c>
      <c r="H102" s="4">
        <v>3</v>
      </c>
      <c r="I102" s="4">
        <v>0</v>
      </c>
      <c r="J102" s="4">
        <v>-4</v>
      </c>
      <c r="K102" s="4">
        <v>-5</v>
      </c>
      <c r="L102" s="4">
        <v>4</v>
      </c>
      <c r="M102" s="4">
        <v>-2</v>
      </c>
      <c r="N102" s="4">
        <v>-4</v>
      </c>
      <c r="O102" s="4">
        <v>0</v>
      </c>
      <c r="P102" s="4">
        <v>0</v>
      </c>
      <c r="Q102" s="7" t="s">
        <v>224</v>
      </c>
      <c r="R102" s="7" t="s">
        <v>16</v>
      </c>
    </row>
    <row r="103" spans="1:18">
      <c r="A103" s="4" t="s">
        <v>225</v>
      </c>
      <c r="B103" s="4">
        <v>6</v>
      </c>
      <c r="C103" s="4">
        <v>0</v>
      </c>
      <c r="D103" s="4">
        <v>6</v>
      </c>
      <c r="E103" s="4">
        <v>5</v>
      </c>
      <c r="F103" s="4">
        <v>-1</v>
      </c>
      <c r="G103" s="4">
        <v>-1</v>
      </c>
      <c r="H103" s="4">
        <v>0</v>
      </c>
      <c r="I103" s="4">
        <v>-4</v>
      </c>
      <c r="J103" s="4">
        <v>0</v>
      </c>
      <c r="K103" s="4">
        <v>-1.5</v>
      </c>
      <c r="L103" s="4">
        <v>3</v>
      </c>
      <c r="M103" s="4">
        <v>3</v>
      </c>
      <c r="N103" s="4">
        <v>3.5</v>
      </c>
      <c r="O103" s="4">
        <v>0</v>
      </c>
      <c r="P103" s="4">
        <v>1</v>
      </c>
      <c r="Q103" s="7" t="s">
        <v>226</v>
      </c>
      <c r="R103" s="7" t="s">
        <v>19</v>
      </c>
    </row>
    <row r="104" spans="1:18">
      <c r="A104" s="4" t="s">
        <v>227</v>
      </c>
      <c r="B104" s="4">
        <v>-4</v>
      </c>
      <c r="C104" s="4">
        <v>2</v>
      </c>
      <c r="D104" s="4">
        <v>-1</v>
      </c>
      <c r="E104" s="4">
        <v>-4</v>
      </c>
      <c r="F104" s="4">
        <v>-3</v>
      </c>
      <c r="G104" s="4">
        <v>2</v>
      </c>
      <c r="H104" s="4">
        <v>2.5</v>
      </c>
      <c r="I104" s="4">
        <v>3.5</v>
      </c>
      <c r="J104" s="4">
        <v>0</v>
      </c>
      <c r="K104" s="4">
        <v>5</v>
      </c>
      <c r="L104" s="4">
        <v>-1</v>
      </c>
      <c r="M104" s="4">
        <v>1</v>
      </c>
      <c r="N104" s="4">
        <v>-2</v>
      </c>
      <c r="O104" s="4">
        <v>3</v>
      </c>
      <c r="P104" s="4">
        <v>1</v>
      </c>
      <c r="Q104" s="7" t="s">
        <v>228</v>
      </c>
      <c r="R104" s="7" t="s">
        <v>22</v>
      </c>
    </row>
    <row r="105" spans="1:18">
      <c r="A105" s="4" t="s">
        <v>229</v>
      </c>
      <c r="B105" s="4">
        <v>4</v>
      </c>
      <c r="C105" s="4">
        <v>4</v>
      </c>
      <c r="D105" s="4">
        <v>-3</v>
      </c>
      <c r="E105" s="4">
        <v>1.5</v>
      </c>
      <c r="F105" s="4">
        <v>4</v>
      </c>
      <c r="G105" s="4">
        <v>3</v>
      </c>
      <c r="H105" s="4">
        <v>-5</v>
      </c>
      <c r="I105" s="4">
        <v>-3</v>
      </c>
      <c r="J105" s="4">
        <v>-2</v>
      </c>
      <c r="K105" s="4">
        <v>-4</v>
      </c>
      <c r="L105" s="4">
        <v>-7</v>
      </c>
      <c r="M105" s="4">
        <v>0</v>
      </c>
      <c r="N105" s="4">
        <v>-3</v>
      </c>
      <c r="O105" s="4">
        <v>2</v>
      </c>
      <c r="P105" s="4">
        <v>1</v>
      </c>
      <c r="Q105" s="7" t="s">
        <v>230</v>
      </c>
      <c r="R105" s="7" t="s">
        <v>25</v>
      </c>
    </row>
    <row r="106" spans="1:18">
      <c r="A106" s="4" t="s">
        <v>231</v>
      </c>
      <c r="B106" s="4">
        <v>-6</v>
      </c>
      <c r="C106" s="4">
        <v>-2.5</v>
      </c>
      <c r="D106" s="4">
        <v>-1</v>
      </c>
      <c r="E106" s="4">
        <v>-2.5</v>
      </c>
      <c r="F106" s="4">
        <v>-4</v>
      </c>
      <c r="G106" s="4">
        <v>-6</v>
      </c>
      <c r="H106" s="4">
        <v>1</v>
      </c>
      <c r="I106" s="4">
        <v>2</v>
      </c>
      <c r="J106" s="4">
        <v>-1</v>
      </c>
      <c r="K106" s="4">
        <v>2</v>
      </c>
      <c r="L106" s="4">
        <v>4</v>
      </c>
      <c r="M106" s="4">
        <v>1</v>
      </c>
      <c r="N106" s="4">
        <v>-2</v>
      </c>
      <c r="O106" s="4">
        <v>-5</v>
      </c>
      <c r="P106" s="4">
        <v>1</v>
      </c>
      <c r="Q106" s="7" t="s">
        <v>232</v>
      </c>
      <c r="R106" s="7" t="s">
        <v>28</v>
      </c>
    </row>
    <row r="107" spans="1:18">
      <c r="A107" s="4" t="s">
        <v>233</v>
      </c>
      <c r="B107" s="4">
        <v>-5</v>
      </c>
      <c r="C107" s="4">
        <v>-5</v>
      </c>
      <c r="D107" s="4">
        <v>-3</v>
      </c>
      <c r="E107" s="4">
        <v>-7</v>
      </c>
      <c r="F107" s="4">
        <v>2.5</v>
      </c>
      <c r="G107" s="4">
        <v>2</v>
      </c>
      <c r="H107" s="4">
        <v>-5</v>
      </c>
      <c r="I107" s="4">
        <v>2</v>
      </c>
      <c r="J107" s="4">
        <v>-1</v>
      </c>
      <c r="K107" s="4">
        <v>-3</v>
      </c>
      <c r="L107" s="4">
        <v>-5</v>
      </c>
      <c r="M107" s="4">
        <v>-6</v>
      </c>
      <c r="N107" s="4">
        <v>-10</v>
      </c>
      <c r="O107" s="4">
        <v>-2</v>
      </c>
      <c r="P107" s="4">
        <v>1</v>
      </c>
      <c r="Q107" s="7" t="s">
        <v>234</v>
      </c>
      <c r="R107" s="7" t="s">
        <v>25</v>
      </c>
    </row>
    <row r="108" spans="1:18">
      <c r="A108" s="4" t="s">
        <v>235</v>
      </c>
      <c r="B108" s="4">
        <v>-8</v>
      </c>
      <c r="C108" s="4">
        <v>4.5</v>
      </c>
      <c r="D108" s="4">
        <v>-1</v>
      </c>
      <c r="E108" s="4">
        <v>-4</v>
      </c>
      <c r="F108" s="4">
        <v>0.5</v>
      </c>
      <c r="G108" s="4">
        <v>-7</v>
      </c>
      <c r="H108" s="4">
        <v>3</v>
      </c>
      <c r="I108" s="4">
        <v>-8</v>
      </c>
      <c r="J108" s="4">
        <v>2</v>
      </c>
      <c r="K108" s="4">
        <v>-7</v>
      </c>
      <c r="L108" s="4">
        <v>-2</v>
      </c>
      <c r="M108" s="4">
        <v>4.5</v>
      </c>
      <c r="N108" s="4">
        <v>6.5</v>
      </c>
      <c r="O108" s="4">
        <v>-1</v>
      </c>
      <c r="P108" s="4">
        <v>0</v>
      </c>
      <c r="Q108" s="7" t="s">
        <v>236</v>
      </c>
      <c r="R108" s="7" t="s">
        <v>34</v>
      </c>
    </row>
    <row r="109" spans="1:18">
      <c r="A109" s="4" t="s">
        <v>237</v>
      </c>
      <c r="B109" s="4">
        <v>-2</v>
      </c>
      <c r="C109" s="4">
        <v>0.5</v>
      </c>
      <c r="D109" s="4">
        <v>-2</v>
      </c>
      <c r="E109" s="4">
        <v>-0.5</v>
      </c>
      <c r="F109" s="4">
        <v>3</v>
      </c>
      <c r="G109" s="4">
        <v>2</v>
      </c>
      <c r="H109" s="4">
        <v>-1</v>
      </c>
      <c r="I109" s="4">
        <v>2</v>
      </c>
      <c r="J109" s="4">
        <v>-2</v>
      </c>
      <c r="K109" s="4">
        <v>-2</v>
      </c>
      <c r="L109" s="4">
        <v>0.5</v>
      </c>
      <c r="M109" s="4">
        <v>0</v>
      </c>
      <c r="N109" s="4">
        <v>-1.5</v>
      </c>
      <c r="O109" s="4">
        <v>-4</v>
      </c>
      <c r="P109" s="4">
        <v>1</v>
      </c>
      <c r="Q109" s="7" t="s">
        <v>238</v>
      </c>
      <c r="R109" s="7" t="s">
        <v>37</v>
      </c>
    </row>
    <row r="110" spans="1:18">
      <c r="A110" s="4" t="s">
        <v>239</v>
      </c>
      <c r="B110" s="4">
        <v>-2.5</v>
      </c>
      <c r="C110" s="4">
        <v>-2.5</v>
      </c>
      <c r="D110" s="4">
        <v>-3</v>
      </c>
      <c r="E110" s="4">
        <v>-1</v>
      </c>
      <c r="F110" s="4">
        <v>4</v>
      </c>
      <c r="G110" s="4">
        <v>2</v>
      </c>
      <c r="H110" s="4">
        <v>-4.5</v>
      </c>
      <c r="I110" s="4">
        <v>2</v>
      </c>
      <c r="J110" s="4">
        <v>-4</v>
      </c>
      <c r="K110" s="4">
        <v>-2.5</v>
      </c>
      <c r="L110" s="4">
        <v>0</v>
      </c>
      <c r="M110" s="4">
        <v>4</v>
      </c>
      <c r="N110" s="4">
        <v>8</v>
      </c>
      <c r="O110" s="4">
        <v>-2</v>
      </c>
      <c r="P110" s="4">
        <v>0</v>
      </c>
      <c r="Q110" s="7" t="s">
        <v>240</v>
      </c>
      <c r="R110" s="7" t="s">
        <v>40</v>
      </c>
    </row>
    <row r="111" spans="1:18">
      <c r="A111" s="4" t="s">
        <v>241</v>
      </c>
      <c r="B111" s="4">
        <v>3</v>
      </c>
      <c r="C111" s="4">
        <v>5</v>
      </c>
      <c r="D111" s="4">
        <v>0</v>
      </c>
      <c r="E111" s="4">
        <v>4</v>
      </c>
      <c r="F111" s="4">
        <v>-3</v>
      </c>
      <c r="G111" s="4">
        <v>3</v>
      </c>
      <c r="H111" s="4">
        <v>5</v>
      </c>
      <c r="I111" s="4">
        <v>5</v>
      </c>
      <c r="J111" s="4">
        <v>5</v>
      </c>
      <c r="K111" s="4">
        <v>1</v>
      </c>
      <c r="L111" s="4">
        <v>3</v>
      </c>
      <c r="M111" s="4">
        <v>4</v>
      </c>
      <c r="N111" s="4">
        <v>-1</v>
      </c>
      <c r="O111" s="4">
        <v>-4</v>
      </c>
      <c r="P111" s="4">
        <v>0</v>
      </c>
      <c r="Q111" s="7" t="s">
        <v>242</v>
      </c>
      <c r="R111" s="7" t="s">
        <v>31</v>
      </c>
    </row>
    <row r="112" spans="1:18">
      <c r="A112" s="4" t="s">
        <v>243</v>
      </c>
      <c r="B112" s="4">
        <v>-2.5</v>
      </c>
      <c r="C112" s="4">
        <v>4</v>
      </c>
      <c r="D112" s="4">
        <v>-8.5</v>
      </c>
      <c r="E112" s="4">
        <v>-6</v>
      </c>
      <c r="F112" s="4">
        <v>-6</v>
      </c>
      <c r="G112" s="4">
        <v>-7</v>
      </c>
      <c r="H112" s="4">
        <v>-1</v>
      </c>
      <c r="I112" s="4">
        <v>4</v>
      </c>
      <c r="J112" s="4">
        <v>0</v>
      </c>
      <c r="K112" s="4">
        <v>6</v>
      </c>
      <c r="L112" s="4">
        <v>2</v>
      </c>
      <c r="M112" s="4">
        <v>-2.5</v>
      </c>
      <c r="N112" s="4">
        <v>-4</v>
      </c>
      <c r="O112" s="4">
        <v>6</v>
      </c>
      <c r="P112" s="4">
        <v>1</v>
      </c>
      <c r="Q112" s="7" t="s">
        <v>244</v>
      </c>
      <c r="R112" s="7" t="s">
        <v>16</v>
      </c>
    </row>
    <row r="113" spans="1:18">
      <c r="A113" s="4" t="s">
        <v>245</v>
      </c>
      <c r="B113" s="4">
        <v>0</v>
      </c>
      <c r="C113" s="4">
        <v>0</v>
      </c>
      <c r="D113" s="4">
        <v>-8</v>
      </c>
      <c r="E113" s="4">
        <v>-2</v>
      </c>
      <c r="F113" s="4">
        <v>2</v>
      </c>
      <c r="G113" s="4">
        <v>-6</v>
      </c>
      <c r="H113" s="4">
        <v>0</v>
      </c>
      <c r="I113" s="4">
        <v>-1</v>
      </c>
      <c r="J113" s="4">
        <v>-1</v>
      </c>
      <c r="K113" s="4">
        <v>-10</v>
      </c>
      <c r="L113" s="4">
        <v>-1</v>
      </c>
      <c r="M113" s="4">
        <v>-4</v>
      </c>
      <c r="N113" s="4">
        <v>0</v>
      </c>
      <c r="O113" s="4">
        <v>-1</v>
      </c>
      <c r="P113" s="4">
        <v>1</v>
      </c>
      <c r="Q113" s="7" t="s">
        <v>246</v>
      </c>
      <c r="R113" s="7" t="s">
        <v>19</v>
      </c>
    </row>
    <row r="114" spans="1:18">
      <c r="A114" s="4" t="s">
        <v>247</v>
      </c>
      <c r="B114" s="4">
        <v>1</v>
      </c>
      <c r="C114" s="4">
        <v>-3.5</v>
      </c>
      <c r="D114" s="4">
        <v>-1</v>
      </c>
      <c r="E114" s="4">
        <v>-1</v>
      </c>
      <c r="F114" s="4">
        <v>-3</v>
      </c>
      <c r="G114" s="4">
        <v>-3.5</v>
      </c>
      <c r="H114" s="4">
        <v>-4</v>
      </c>
      <c r="I114" s="4">
        <v>-5</v>
      </c>
      <c r="J114" s="4">
        <v>-11</v>
      </c>
      <c r="K114" s="4">
        <v>-5</v>
      </c>
      <c r="L114" s="4">
        <v>0</v>
      </c>
      <c r="M114" s="4">
        <v>-9</v>
      </c>
      <c r="N114" s="4">
        <v>7</v>
      </c>
      <c r="O114" s="4">
        <v>1</v>
      </c>
      <c r="P114" s="4">
        <v>0</v>
      </c>
      <c r="Q114" s="7" t="s">
        <v>248</v>
      </c>
      <c r="R114" s="7" t="s">
        <v>22</v>
      </c>
    </row>
    <row r="115" spans="1:18">
      <c r="A115" s="4" t="s">
        <v>249</v>
      </c>
      <c r="B115" s="4">
        <v>0</v>
      </c>
      <c r="C115" s="4">
        <v>-1</v>
      </c>
      <c r="D115" s="4">
        <v>0</v>
      </c>
      <c r="E115" s="4">
        <v>-8</v>
      </c>
      <c r="F115" s="4">
        <v>-1</v>
      </c>
      <c r="G115" s="4">
        <v>1</v>
      </c>
      <c r="H115" s="4">
        <v>-3</v>
      </c>
      <c r="I115" s="4">
        <v>2</v>
      </c>
      <c r="J115" s="4">
        <v>-7</v>
      </c>
      <c r="K115" s="4">
        <v>4</v>
      </c>
      <c r="L115" s="4">
        <v>-5</v>
      </c>
      <c r="M115" s="4">
        <v>-10.5</v>
      </c>
      <c r="N115" s="4">
        <v>-0.5</v>
      </c>
      <c r="O115" s="4">
        <v>-1</v>
      </c>
      <c r="P115" s="4">
        <v>0</v>
      </c>
      <c r="Q115" s="7" t="s">
        <v>250</v>
      </c>
      <c r="R115" s="7" t="s">
        <v>25</v>
      </c>
    </row>
    <row r="116" spans="1:18">
      <c r="A116" s="4" t="s">
        <v>251</v>
      </c>
      <c r="B116" s="4">
        <v>0</v>
      </c>
      <c r="C116" s="4">
        <v>0</v>
      </c>
      <c r="D116" s="4">
        <v>-1</v>
      </c>
      <c r="E116" s="4">
        <v>0</v>
      </c>
      <c r="F116" s="4">
        <v>-2</v>
      </c>
      <c r="G116" s="4">
        <v>-5.5</v>
      </c>
      <c r="H116" s="4">
        <v>1</v>
      </c>
      <c r="I116" s="4">
        <v>1</v>
      </c>
      <c r="J116" s="4">
        <v>5</v>
      </c>
      <c r="K116" s="4">
        <v>2</v>
      </c>
      <c r="L116" s="4">
        <v>5</v>
      </c>
      <c r="M116" s="4">
        <v>5</v>
      </c>
      <c r="N116" s="4">
        <v>3</v>
      </c>
      <c r="O116" s="4">
        <v>-2</v>
      </c>
      <c r="P116" s="4">
        <v>1</v>
      </c>
      <c r="Q116" s="7" t="s">
        <v>252</v>
      </c>
      <c r="R116" s="7" t="s">
        <v>28</v>
      </c>
    </row>
    <row r="117" spans="1:18">
      <c r="A117" s="4" t="s">
        <v>253</v>
      </c>
      <c r="B117" s="4">
        <v>4</v>
      </c>
      <c r="C117" s="4">
        <v>-1.5</v>
      </c>
      <c r="D117" s="4">
        <v>-7</v>
      </c>
      <c r="E117" s="4">
        <v>3</v>
      </c>
      <c r="F117" s="4">
        <v>4</v>
      </c>
      <c r="G117" s="4">
        <v>-4.5</v>
      </c>
      <c r="H117" s="4">
        <v>-1</v>
      </c>
      <c r="I117" s="4">
        <v>-1</v>
      </c>
      <c r="J117" s="4">
        <v>-4</v>
      </c>
      <c r="K117" s="4">
        <v>-1</v>
      </c>
      <c r="L117" s="4">
        <v>3</v>
      </c>
      <c r="M117" s="4">
        <v>-1.5</v>
      </c>
      <c r="N117" s="4">
        <v>-1</v>
      </c>
      <c r="O117" s="4">
        <v>7.5</v>
      </c>
      <c r="P117" s="4">
        <v>1</v>
      </c>
      <c r="Q117" s="7" t="s">
        <v>254</v>
      </c>
      <c r="R117" s="7" t="s">
        <v>28</v>
      </c>
    </row>
    <row r="118" spans="1:18">
      <c r="A118" s="4" t="s">
        <v>255</v>
      </c>
      <c r="B118" s="4">
        <v>-3</v>
      </c>
      <c r="C118" s="4">
        <v>4</v>
      </c>
      <c r="D118" s="4">
        <v>3</v>
      </c>
      <c r="E118" s="4">
        <v>1</v>
      </c>
      <c r="F118" s="4">
        <v>6</v>
      </c>
      <c r="G118" s="4">
        <v>-3</v>
      </c>
      <c r="H118" s="4">
        <v>5</v>
      </c>
      <c r="I118" s="4">
        <v>5.5</v>
      </c>
      <c r="J118" s="4">
        <v>0</v>
      </c>
      <c r="K118" s="4">
        <v>2</v>
      </c>
      <c r="L118" s="4">
        <v>-2</v>
      </c>
      <c r="M118" s="4">
        <v>4</v>
      </c>
      <c r="N118" s="4">
        <v>6</v>
      </c>
      <c r="O118" s="4">
        <v>5</v>
      </c>
      <c r="P118" s="4">
        <v>1</v>
      </c>
      <c r="Q118" s="7" t="s">
        <v>256</v>
      </c>
      <c r="R118" s="7" t="s">
        <v>34</v>
      </c>
    </row>
    <row r="119" spans="1:18">
      <c r="A119" s="4" t="s">
        <v>257</v>
      </c>
      <c r="B119" s="4">
        <v>3</v>
      </c>
      <c r="C119" s="4">
        <v>-1</v>
      </c>
      <c r="D119" s="4">
        <v>7</v>
      </c>
      <c r="E119" s="4">
        <v>2</v>
      </c>
      <c r="F119" s="4">
        <v>-2</v>
      </c>
      <c r="G119" s="4">
        <v>8</v>
      </c>
      <c r="H119" s="4">
        <v>3</v>
      </c>
      <c r="I119" s="4">
        <v>0</v>
      </c>
      <c r="J119" s="4">
        <v>-7</v>
      </c>
      <c r="K119" s="4">
        <v>-1</v>
      </c>
      <c r="L119" s="4">
        <v>-1</v>
      </c>
      <c r="M119" s="4">
        <v>-6</v>
      </c>
      <c r="N119" s="4">
        <v>-4</v>
      </c>
      <c r="O119" s="4">
        <v>3</v>
      </c>
      <c r="P119" s="4">
        <v>0</v>
      </c>
      <c r="Q119" s="7" t="s">
        <v>258</v>
      </c>
      <c r="R119" s="7" t="s">
        <v>37</v>
      </c>
    </row>
    <row r="120" spans="1:18">
      <c r="A120" s="4" t="s">
        <v>259</v>
      </c>
      <c r="B120" s="4">
        <v>-0.5</v>
      </c>
      <c r="C120" s="4">
        <v>0</v>
      </c>
      <c r="D120" s="4">
        <v>1</v>
      </c>
      <c r="E120" s="4">
        <v>-1</v>
      </c>
      <c r="F120" s="4">
        <v>4</v>
      </c>
      <c r="G120" s="4">
        <v>-5.5</v>
      </c>
      <c r="H120" s="4">
        <v>-3</v>
      </c>
      <c r="I120" s="4">
        <v>-0.5</v>
      </c>
      <c r="J120" s="4">
        <v>-4</v>
      </c>
      <c r="K120" s="4">
        <v>0</v>
      </c>
      <c r="L120" s="4">
        <v>1</v>
      </c>
      <c r="M120" s="4">
        <v>-3.5</v>
      </c>
      <c r="N120" s="4">
        <v>3</v>
      </c>
      <c r="O120" s="4">
        <v>3</v>
      </c>
      <c r="P120" s="4">
        <v>1</v>
      </c>
      <c r="Q120" s="7" t="s">
        <v>260</v>
      </c>
      <c r="R120" s="7" t="s">
        <v>40</v>
      </c>
    </row>
    <row r="121" spans="1:18">
      <c r="A121" s="4" t="s">
        <v>261</v>
      </c>
      <c r="B121" s="4">
        <v>2</v>
      </c>
      <c r="C121" s="4">
        <v>2</v>
      </c>
      <c r="D121" s="4">
        <v>-7.5</v>
      </c>
      <c r="E121" s="4">
        <v>-2</v>
      </c>
      <c r="F121" s="4">
        <v>-3</v>
      </c>
      <c r="G121" s="4">
        <v>0</v>
      </c>
      <c r="H121" s="4">
        <v>4</v>
      </c>
      <c r="I121" s="4">
        <v>1</v>
      </c>
      <c r="J121" s="4">
        <v>2</v>
      </c>
      <c r="K121" s="4">
        <v>3</v>
      </c>
      <c r="L121" s="4">
        <v>3</v>
      </c>
      <c r="M121" s="4">
        <v>0</v>
      </c>
      <c r="N121" s="4">
        <v>-2</v>
      </c>
      <c r="O121" s="4">
        <v>-3</v>
      </c>
      <c r="P121" s="4">
        <v>0</v>
      </c>
      <c r="Q121" s="7" t="s">
        <v>262</v>
      </c>
      <c r="R121" s="7" t="s">
        <v>31</v>
      </c>
    </row>
    <row r="122" spans="1:18">
      <c r="A122" s="4" t="s">
        <v>263</v>
      </c>
      <c r="B122" s="4">
        <v>1</v>
      </c>
      <c r="C122" s="4">
        <v>2</v>
      </c>
      <c r="D122" s="4">
        <v>-11</v>
      </c>
      <c r="E122" s="4">
        <v>-3</v>
      </c>
      <c r="F122" s="4">
        <v>4</v>
      </c>
      <c r="G122" s="4">
        <v>-7.5</v>
      </c>
      <c r="H122" s="4">
        <v>1</v>
      </c>
      <c r="I122" s="4">
        <v>2</v>
      </c>
      <c r="J122" s="4">
        <v>-1.5</v>
      </c>
      <c r="K122" s="4">
        <v>1</v>
      </c>
      <c r="L122" s="4">
        <v>-4</v>
      </c>
      <c r="M122" s="4">
        <v>-8</v>
      </c>
      <c r="N122" s="4">
        <v>-9</v>
      </c>
      <c r="O122" s="4">
        <v>3</v>
      </c>
      <c r="P122" s="4">
        <v>0</v>
      </c>
      <c r="Q122" s="7" t="s">
        <v>264</v>
      </c>
      <c r="R122" s="7" t="s">
        <v>16</v>
      </c>
    </row>
    <row r="123" spans="1:18">
      <c r="A123" s="4" t="s">
        <v>265</v>
      </c>
      <c r="B123" s="4">
        <v>3</v>
      </c>
      <c r="C123" s="4">
        <v>0</v>
      </c>
      <c r="D123" s="4">
        <v>0</v>
      </c>
      <c r="E123" s="4">
        <v>2</v>
      </c>
      <c r="F123" s="4">
        <v>-1</v>
      </c>
      <c r="G123" s="4">
        <v>-4</v>
      </c>
      <c r="H123" s="4">
        <v>0</v>
      </c>
      <c r="I123" s="4">
        <v>-0.5</v>
      </c>
      <c r="J123" s="4">
        <v>1</v>
      </c>
      <c r="K123" s="4">
        <v>-1</v>
      </c>
      <c r="L123" s="4">
        <v>3</v>
      </c>
      <c r="M123" s="4">
        <v>0</v>
      </c>
      <c r="N123" s="4">
        <v>2</v>
      </c>
      <c r="O123" s="4">
        <v>-3</v>
      </c>
      <c r="P123" s="4">
        <v>1</v>
      </c>
      <c r="Q123" s="7" t="s">
        <v>266</v>
      </c>
      <c r="R123" s="7" t="s">
        <v>19</v>
      </c>
    </row>
    <row r="124" spans="1:18">
      <c r="A124" s="4" t="s">
        <v>267</v>
      </c>
      <c r="B124" s="4">
        <v>-8.5</v>
      </c>
      <c r="C124" s="4">
        <v>2</v>
      </c>
      <c r="D124" s="4">
        <v>-1.5</v>
      </c>
      <c r="E124" s="4">
        <v>2</v>
      </c>
      <c r="F124" s="4">
        <v>-4</v>
      </c>
      <c r="G124" s="4">
        <v>2</v>
      </c>
      <c r="H124" s="4">
        <v>8</v>
      </c>
      <c r="I124" s="4">
        <v>3</v>
      </c>
      <c r="J124" s="4">
        <v>-9.5</v>
      </c>
      <c r="K124" s="4">
        <v>3</v>
      </c>
      <c r="L124" s="4">
        <v>3</v>
      </c>
      <c r="M124" s="4">
        <v>-8.5</v>
      </c>
      <c r="N124" s="4">
        <v>-1</v>
      </c>
      <c r="O124" s="4">
        <v>-5</v>
      </c>
      <c r="P124" s="4">
        <v>1</v>
      </c>
      <c r="Q124" s="7" t="s">
        <v>268</v>
      </c>
      <c r="R124" s="7" t="s">
        <v>22</v>
      </c>
    </row>
    <row r="125" spans="1:18">
      <c r="A125" s="4" t="s">
        <v>269</v>
      </c>
      <c r="B125" s="4">
        <v>1</v>
      </c>
      <c r="C125" s="4">
        <v>4</v>
      </c>
      <c r="D125" s="4">
        <v>-2</v>
      </c>
      <c r="E125" s="4">
        <v>-7</v>
      </c>
      <c r="F125" s="4">
        <v>4</v>
      </c>
      <c r="G125" s="4">
        <v>-5</v>
      </c>
      <c r="H125" s="4">
        <v>-1</v>
      </c>
      <c r="I125" s="4">
        <v>-1</v>
      </c>
      <c r="J125" s="4">
        <v>-1</v>
      </c>
      <c r="K125" s="4">
        <v>-1</v>
      </c>
      <c r="L125" s="4">
        <v>-1</v>
      </c>
      <c r="M125" s="4">
        <v>0</v>
      </c>
      <c r="N125" s="4">
        <v>1</v>
      </c>
      <c r="O125" s="4">
        <v>4</v>
      </c>
      <c r="P125" s="4">
        <v>1</v>
      </c>
      <c r="Q125" s="7" t="s">
        <v>270</v>
      </c>
      <c r="R125" s="7" t="s">
        <v>25</v>
      </c>
    </row>
    <row r="126" spans="1:18">
      <c r="A126" s="4" t="s">
        <v>271</v>
      </c>
      <c r="B126" s="4">
        <v>-5</v>
      </c>
      <c r="C126" s="4">
        <v>4</v>
      </c>
      <c r="D126" s="4">
        <v>0</v>
      </c>
      <c r="E126" s="4">
        <v>4</v>
      </c>
      <c r="F126" s="4">
        <v>-4</v>
      </c>
      <c r="G126" s="4">
        <v>3</v>
      </c>
      <c r="H126" s="4">
        <v>4</v>
      </c>
      <c r="I126" s="4">
        <v>5</v>
      </c>
      <c r="J126" s="4">
        <v>4</v>
      </c>
      <c r="K126" s="4">
        <v>0</v>
      </c>
      <c r="L126" s="4">
        <v>5</v>
      </c>
      <c r="M126" s="4">
        <v>3</v>
      </c>
      <c r="N126" s="4">
        <v>-3</v>
      </c>
      <c r="O126" s="4">
        <v>-5</v>
      </c>
      <c r="P126" s="4">
        <v>0</v>
      </c>
      <c r="Q126" s="7" t="s">
        <v>272</v>
      </c>
      <c r="R126" s="7" t="s">
        <v>28</v>
      </c>
    </row>
    <row r="127" spans="1:18">
      <c r="A127" s="4" t="s">
        <v>273</v>
      </c>
      <c r="B127" s="4">
        <v>-7</v>
      </c>
      <c r="C127" s="4">
        <v>-1</v>
      </c>
      <c r="D127" s="4">
        <v>-7</v>
      </c>
      <c r="E127" s="4">
        <v>4</v>
      </c>
      <c r="F127" s="4">
        <v>7</v>
      </c>
      <c r="G127" s="4">
        <v>0</v>
      </c>
      <c r="H127" s="4">
        <v>-1</v>
      </c>
      <c r="I127" s="4">
        <v>1</v>
      </c>
      <c r="J127" s="4">
        <v>2</v>
      </c>
      <c r="K127" s="4">
        <v>0.5</v>
      </c>
      <c r="L127" s="4">
        <v>1</v>
      </c>
      <c r="M127" s="4">
        <v>-1</v>
      </c>
      <c r="N127" s="4">
        <v>-2</v>
      </c>
      <c r="O127" s="4">
        <v>4</v>
      </c>
      <c r="P127" s="4">
        <v>0</v>
      </c>
      <c r="Q127" s="7" t="s">
        <v>274</v>
      </c>
      <c r="R127" s="7" t="s">
        <v>31</v>
      </c>
    </row>
    <row r="128" spans="1:18">
      <c r="A128" s="4" t="s">
        <v>275</v>
      </c>
      <c r="B128" s="4">
        <v>-3</v>
      </c>
      <c r="C128" s="4">
        <v>2</v>
      </c>
      <c r="D128" s="4">
        <v>1</v>
      </c>
      <c r="E128" s="4">
        <v>-3</v>
      </c>
      <c r="F128" s="4">
        <v>-2</v>
      </c>
      <c r="G128" s="4">
        <v>-1</v>
      </c>
      <c r="H128" s="4">
        <v>-8</v>
      </c>
      <c r="I128" s="4">
        <v>6</v>
      </c>
      <c r="J128" s="4">
        <v>6</v>
      </c>
      <c r="K128" s="4">
        <v>1</v>
      </c>
      <c r="L128" s="4">
        <v>1</v>
      </c>
      <c r="M128" s="4">
        <v>2</v>
      </c>
      <c r="N128" s="4">
        <v>-1</v>
      </c>
      <c r="O128" s="4">
        <v>6</v>
      </c>
      <c r="P128" s="4">
        <v>1</v>
      </c>
      <c r="Q128" s="7" t="s">
        <v>276</v>
      </c>
      <c r="R128" s="7" t="s">
        <v>34</v>
      </c>
    </row>
    <row r="129" spans="1:18">
      <c r="A129" s="4" t="s">
        <v>277</v>
      </c>
      <c r="B129" s="4">
        <v>-4</v>
      </c>
      <c r="C129" s="4">
        <v>5.5</v>
      </c>
      <c r="D129" s="4">
        <v>1</v>
      </c>
      <c r="E129" s="4">
        <v>5</v>
      </c>
      <c r="F129" s="4">
        <v>-4</v>
      </c>
      <c r="G129" s="4">
        <v>1</v>
      </c>
      <c r="H129" s="4">
        <v>-8</v>
      </c>
      <c r="I129" s="4">
        <v>5</v>
      </c>
      <c r="J129" s="4">
        <v>-2</v>
      </c>
      <c r="K129" s="4">
        <v>3</v>
      </c>
      <c r="L129" s="4">
        <v>5.5</v>
      </c>
      <c r="M129" s="4">
        <v>0</v>
      </c>
      <c r="N129" s="4">
        <v>-0.5</v>
      </c>
      <c r="O129" s="4">
        <v>6</v>
      </c>
      <c r="P129" s="4">
        <v>1</v>
      </c>
      <c r="Q129" s="7" t="s">
        <v>278</v>
      </c>
      <c r="R129" s="7" t="s">
        <v>37</v>
      </c>
    </row>
    <row r="130" spans="1:18">
      <c r="A130" s="4" t="s">
        <v>279</v>
      </c>
      <c r="B130" s="4">
        <v>2</v>
      </c>
      <c r="C130" s="4">
        <v>-2</v>
      </c>
      <c r="D130" s="4">
        <v>8</v>
      </c>
      <c r="E130" s="4">
        <v>2</v>
      </c>
      <c r="F130" s="4">
        <v>1</v>
      </c>
      <c r="G130" s="4">
        <v>2</v>
      </c>
      <c r="H130" s="4">
        <v>-2</v>
      </c>
      <c r="I130" s="4">
        <v>-1</v>
      </c>
      <c r="J130" s="4">
        <v>2</v>
      </c>
      <c r="K130" s="4">
        <v>-2</v>
      </c>
      <c r="L130" s="4">
        <v>-1</v>
      </c>
      <c r="M130" s="4">
        <v>3</v>
      </c>
      <c r="N130" s="4">
        <v>-3</v>
      </c>
      <c r="O130" s="4">
        <v>1</v>
      </c>
      <c r="P130" s="4">
        <v>1</v>
      </c>
      <c r="Q130" s="7" t="s">
        <v>280</v>
      </c>
      <c r="R130" s="7" t="s">
        <v>40</v>
      </c>
    </row>
    <row r="131" spans="1:18">
      <c r="A131" s="4" t="s">
        <v>281</v>
      </c>
      <c r="B131" s="4">
        <v>1</v>
      </c>
      <c r="C131" s="4">
        <v>0</v>
      </c>
      <c r="D131" s="4">
        <v>-3</v>
      </c>
      <c r="E131" s="4">
        <v>2</v>
      </c>
      <c r="F131" s="4">
        <v>-4</v>
      </c>
      <c r="G131" s="4">
        <v>-2</v>
      </c>
      <c r="H131" s="4">
        <v>1</v>
      </c>
      <c r="I131" s="4">
        <v>7</v>
      </c>
      <c r="J131" s="4">
        <v>0</v>
      </c>
      <c r="K131" s="4">
        <v>6</v>
      </c>
      <c r="L131" s="4">
        <v>5</v>
      </c>
      <c r="M131" s="4">
        <v>1</v>
      </c>
      <c r="N131" s="4">
        <v>-2</v>
      </c>
      <c r="O131" s="4">
        <v>-4</v>
      </c>
      <c r="P131" s="4">
        <v>1</v>
      </c>
      <c r="Q131" s="7" t="s">
        <v>282</v>
      </c>
      <c r="R131" s="7" t="s">
        <v>31</v>
      </c>
    </row>
    <row r="132" spans="1:18">
      <c r="A132" s="4" t="s">
        <v>283</v>
      </c>
      <c r="B132" s="4">
        <v>8</v>
      </c>
      <c r="C132" s="4">
        <v>8</v>
      </c>
      <c r="D132" s="4">
        <v>-2</v>
      </c>
      <c r="E132" s="4">
        <v>1.5</v>
      </c>
      <c r="F132" s="4">
        <v>2</v>
      </c>
      <c r="G132" s="4">
        <v>3</v>
      </c>
      <c r="H132" s="4">
        <v>5</v>
      </c>
      <c r="I132" s="4">
        <v>8</v>
      </c>
      <c r="J132" s="4">
        <v>-1</v>
      </c>
      <c r="K132" s="4">
        <v>-4</v>
      </c>
      <c r="L132" s="4">
        <v>8</v>
      </c>
      <c r="M132" s="4">
        <v>-2</v>
      </c>
      <c r="N132" s="4">
        <v>0</v>
      </c>
      <c r="O132" s="4">
        <v>5</v>
      </c>
      <c r="P132" s="4">
        <v>1</v>
      </c>
      <c r="Q132" s="7" t="s">
        <v>284</v>
      </c>
      <c r="R132" s="7" t="s">
        <v>16</v>
      </c>
    </row>
    <row r="133" spans="1:18">
      <c r="A133" s="4" t="s">
        <v>285</v>
      </c>
      <c r="B133" s="4">
        <v>0</v>
      </c>
      <c r="C133" s="4">
        <v>2</v>
      </c>
      <c r="D133" s="4">
        <v>7</v>
      </c>
      <c r="E133" s="4">
        <v>7</v>
      </c>
      <c r="F133" s="4">
        <v>3</v>
      </c>
      <c r="G133" s="4">
        <v>-2</v>
      </c>
      <c r="H133" s="4">
        <v>2</v>
      </c>
      <c r="I133" s="4">
        <v>-5</v>
      </c>
      <c r="J133" s="4">
        <v>0</v>
      </c>
      <c r="K133" s="4">
        <v>1.5</v>
      </c>
      <c r="L133" s="4">
        <v>0</v>
      </c>
      <c r="M133" s="4">
        <v>0</v>
      </c>
      <c r="N133" s="4">
        <v>2.5</v>
      </c>
      <c r="O133" s="4">
        <v>3</v>
      </c>
      <c r="P133" s="4">
        <v>0</v>
      </c>
      <c r="Q133" s="7" t="s">
        <v>286</v>
      </c>
      <c r="R133" s="7" t="s">
        <v>19</v>
      </c>
    </row>
    <row r="134" spans="1:18">
      <c r="A134" s="4" t="s">
        <v>287</v>
      </c>
      <c r="B134" s="4">
        <v>1</v>
      </c>
      <c r="C134" s="4">
        <v>0</v>
      </c>
      <c r="D134" s="4">
        <v>-3</v>
      </c>
      <c r="E134" s="4">
        <v>-5</v>
      </c>
      <c r="F134" s="4">
        <v>-4</v>
      </c>
      <c r="G134" s="4">
        <v>0</v>
      </c>
      <c r="H134" s="4">
        <v>3.5</v>
      </c>
      <c r="I134" s="4">
        <v>0.5</v>
      </c>
      <c r="J134" s="4">
        <v>-3</v>
      </c>
      <c r="K134" s="4">
        <v>1</v>
      </c>
      <c r="L134" s="4">
        <v>0</v>
      </c>
      <c r="M134" s="4">
        <v>0</v>
      </c>
      <c r="N134" s="4">
        <v>-4</v>
      </c>
      <c r="O134" s="4">
        <v>7</v>
      </c>
      <c r="P134" s="4">
        <v>1</v>
      </c>
      <c r="Q134" s="7" t="s">
        <v>288</v>
      </c>
      <c r="R134" s="7" t="s">
        <v>22</v>
      </c>
    </row>
    <row r="135" spans="1:18">
      <c r="A135" s="4" t="s">
        <v>289</v>
      </c>
      <c r="B135" s="4">
        <v>-5</v>
      </c>
      <c r="C135" s="4">
        <v>4</v>
      </c>
      <c r="D135" s="4">
        <v>-4</v>
      </c>
      <c r="E135" s="4">
        <v>3.5</v>
      </c>
      <c r="F135" s="4">
        <v>4</v>
      </c>
      <c r="G135" s="4">
        <v>3</v>
      </c>
      <c r="H135" s="4">
        <v>-1</v>
      </c>
      <c r="I135" s="4">
        <v>1</v>
      </c>
      <c r="J135" s="4">
        <v>3</v>
      </c>
      <c r="K135" s="4">
        <v>-4</v>
      </c>
      <c r="L135" s="4">
        <v>-5</v>
      </c>
      <c r="M135" s="4">
        <v>0</v>
      </c>
      <c r="N135" s="4">
        <v>-2</v>
      </c>
      <c r="O135" s="4">
        <v>4</v>
      </c>
      <c r="P135" s="4">
        <v>1</v>
      </c>
      <c r="Q135" s="7" t="s">
        <v>290</v>
      </c>
      <c r="R135" s="7" t="s">
        <v>25</v>
      </c>
    </row>
    <row r="136" spans="1:18">
      <c r="A136" s="4" t="s">
        <v>291</v>
      </c>
      <c r="B136" s="4">
        <v>0</v>
      </c>
      <c r="C136" s="4">
        <v>0.5</v>
      </c>
      <c r="D136" s="4">
        <v>0</v>
      </c>
      <c r="E136" s="4">
        <v>0.5</v>
      </c>
      <c r="F136" s="4">
        <v>-1</v>
      </c>
      <c r="G136" s="4">
        <v>-3</v>
      </c>
      <c r="H136" s="4">
        <v>3</v>
      </c>
      <c r="I136" s="4">
        <v>6</v>
      </c>
      <c r="J136" s="4">
        <v>0</v>
      </c>
      <c r="K136" s="4">
        <v>5</v>
      </c>
      <c r="L136" s="4">
        <v>5</v>
      </c>
      <c r="M136" s="4">
        <v>0</v>
      </c>
      <c r="N136" s="4">
        <v>2</v>
      </c>
      <c r="O136" s="4">
        <v>-2</v>
      </c>
      <c r="P136" s="4">
        <v>1</v>
      </c>
      <c r="Q136" s="7" t="s">
        <v>292</v>
      </c>
      <c r="R136" s="7" t="s">
        <v>28</v>
      </c>
    </row>
    <row r="137" spans="1:18">
      <c r="A137" s="4" t="s">
        <v>293</v>
      </c>
      <c r="B137" s="4">
        <v>-10</v>
      </c>
      <c r="C137" s="4">
        <v>3</v>
      </c>
      <c r="D137" s="4">
        <v>-1</v>
      </c>
      <c r="E137" s="4">
        <v>-2</v>
      </c>
      <c r="F137" s="4">
        <v>9</v>
      </c>
      <c r="G137" s="4">
        <v>3</v>
      </c>
      <c r="H137" s="4">
        <v>2.5</v>
      </c>
      <c r="I137" s="4">
        <v>3</v>
      </c>
      <c r="J137" s="4">
        <v>5.5</v>
      </c>
      <c r="K137" s="4">
        <v>1</v>
      </c>
      <c r="L137" s="4">
        <v>3</v>
      </c>
      <c r="M137" s="4">
        <v>1</v>
      </c>
      <c r="N137" s="4">
        <v>-10</v>
      </c>
      <c r="O137" s="4">
        <v>0</v>
      </c>
      <c r="P137" s="4">
        <v>1</v>
      </c>
      <c r="Q137" s="7" t="s">
        <v>294</v>
      </c>
      <c r="R137" s="7" t="s">
        <v>16</v>
      </c>
    </row>
    <row r="138" spans="1:18">
      <c r="A138" s="4" t="s">
        <v>295</v>
      </c>
      <c r="B138" s="4">
        <v>0</v>
      </c>
      <c r="C138" s="4">
        <v>2</v>
      </c>
      <c r="D138" s="4">
        <v>0</v>
      </c>
      <c r="E138" s="4">
        <v>-2</v>
      </c>
      <c r="F138" s="4">
        <v>1</v>
      </c>
      <c r="G138" s="4">
        <v>-6</v>
      </c>
      <c r="H138" s="4">
        <v>3</v>
      </c>
      <c r="I138" s="4">
        <v>-4</v>
      </c>
      <c r="J138" s="4">
        <v>2</v>
      </c>
      <c r="K138" s="4">
        <v>-4</v>
      </c>
      <c r="L138" s="4">
        <v>-2</v>
      </c>
      <c r="M138" s="4">
        <v>2</v>
      </c>
      <c r="N138" s="4">
        <v>9.5</v>
      </c>
      <c r="O138" s="4">
        <v>0</v>
      </c>
      <c r="P138" s="4">
        <v>1</v>
      </c>
      <c r="Q138" s="7" t="s">
        <v>296</v>
      </c>
      <c r="R138" s="7" t="s">
        <v>34</v>
      </c>
    </row>
    <row r="139" spans="1:18">
      <c r="A139" s="4" t="s">
        <v>297</v>
      </c>
      <c r="B139" s="4">
        <v>-3</v>
      </c>
      <c r="C139" s="4">
        <v>1</v>
      </c>
      <c r="D139" s="4">
        <v>-3</v>
      </c>
      <c r="E139" s="4">
        <v>4.5</v>
      </c>
      <c r="F139" s="4">
        <v>0</v>
      </c>
      <c r="G139" s="4">
        <v>2</v>
      </c>
      <c r="H139" s="4">
        <v>1</v>
      </c>
      <c r="I139" s="4">
        <v>3</v>
      </c>
      <c r="J139" s="4">
        <v>-1</v>
      </c>
      <c r="K139" s="4">
        <v>-1</v>
      </c>
      <c r="L139" s="4">
        <v>1</v>
      </c>
      <c r="M139" s="4">
        <v>1</v>
      </c>
      <c r="N139" s="4">
        <v>2.5</v>
      </c>
      <c r="O139" s="4">
        <v>-2</v>
      </c>
      <c r="P139" s="4">
        <v>0</v>
      </c>
      <c r="Q139" s="7" t="s">
        <v>298</v>
      </c>
      <c r="R139" s="7" t="s">
        <v>37</v>
      </c>
    </row>
    <row r="140" spans="1:18">
      <c r="A140" s="4" t="s">
        <v>299</v>
      </c>
      <c r="B140" s="4">
        <v>-1</v>
      </c>
      <c r="C140" s="4">
        <v>0.5</v>
      </c>
      <c r="D140" s="4">
        <v>2</v>
      </c>
      <c r="E140" s="4">
        <v>-1</v>
      </c>
      <c r="F140" s="4">
        <v>7</v>
      </c>
      <c r="G140" s="4">
        <v>4</v>
      </c>
      <c r="H140" s="4">
        <v>0</v>
      </c>
      <c r="I140" s="4">
        <v>5</v>
      </c>
      <c r="J140" s="4">
        <v>-4</v>
      </c>
      <c r="K140" s="4">
        <v>0.5</v>
      </c>
      <c r="L140" s="4">
        <v>0</v>
      </c>
      <c r="M140" s="4">
        <v>6</v>
      </c>
      <c r="N140" s="4">
        <v>8</v>
      </c>
      <c r="O140" s="4">
        <v>-2</v>
      </c>
      <c r="P140" s="4">
        <v>1</v>
      </c>
      <c r="Q140" s="7" t="s">
        <v>300</v>
      </c>
      <c r="R140" s="7" t="s">
        <v>40</v>
      </c>
    </row>
    <row r="141" spans="1:18">
      <c r="A141" s="4" t="s">
        <v>301</v>
      </c>
      <c r="B141" s="4">
        <v>-6</v>
      </c>
      <c r="C141" s="4">
        <v>3</v>
      </c>
      <c r="D141" s="4">
        <v>1</v>
      </c>
      <c r="E141" s="4">
        <v>4.5</v>
      </c>
      <c r="F141" s="4">
        <v>-6</v>
      </c>
      <c r="G141" s="4">
        <v>-1</v>
      </c>
      <c r="H141" s="4">
        <v>2</v>
      </c>
      <c r="I141" s="4">
        <v>0</v>
      </c>
      <c r="J141" s="4">
        <v>3</v>
      </c>
      <c r="K141" s="4">
        <v>4</v>
      </c>
      <c r="L141" s="4">
        <v>-2</v>
      </c>
      <c r="M141" s="4">
        <v>-2</v>
      </c>
      <c r="N141" s="4">
        <v>4</v>
      </c>
      <c r="O141" s="4">
        <v>-6</v>
      </c>
      <c r="P141" s="4">
        <v>0</v>
      </c>
      <c r="Q141" s="7" t="s">
        <v>302</v>
      </c>
      <c r="R141" s="7" t="s">
        <v>31</v>
      </c>
    </row>
    <row r="142" spans="1:18">
      <c r="A142" s="4" t="s">
        <v>303</v>
      </c>
      <c r="B142" s="4">
        <v>-1</v>
      </c>
      <c r="C142" s="4">
        <v>6</v>
      </c>
      <c r="D142" s="4">
        <v>-4</v>
      </c>
      <c r="E142" s="4">
        <v>-1</v>
      </c>
      <c r="F142" s="4">
        <v>0</v>
      </c>
      <c r="G142" s="4">
        <v>-1</v>
      </c>
      <c r="H142" s="4">
        <v>2</v>
      </c>
      <c r="I142" s="4">
        <v>6</v>
      </c>
      <c r="J142" s="4">
        <v>4</v>
      </c>
      <c r="K142" s="4">
        <v>5</v>
      </c>
      <c r="L142" s="4">
        <v>5</v>
      </c>
      <c r="M142" s="4">
        <v>-1.5</v>
      </c>
      <c r="N142" s="4">
        <v>-3</v>
      </c>
      <c r="O142" s="4">
        <v>7</v>
      </c>
      <c r="P142" s="4">
        <v>0</v>
      </c>
      <c r="Q142" s="7" t="s">
        <v>304</v>
      </c>
      <c r="R142" s="7" t="s">
        <v>16</v>
      </c>
    </row>
    <row r="143" spans="1:18">
      <c r="A143" s="4" t="s">
        <v>305</v>
      </c>
      <c r="B143" s="4">
        <v>4</v>
      </c>
      <c r="C143" s="4">
        <v>4</v>
      </c>
      <c r="D143" s="4">
        <v>-1</v>
      </c>
      <c r="E143" s="4">
        <v>4</v>
      </c>
      <c r="F143" s="4">
        <v>4</v>
      </c>
      <c r="G143" s="4">
        <v>-1.5</v>
      </c>
      <c r="H143" s="4">
        <v>4</v>
      </c>
      <c r="I143" s="4">
        <v>7</v>
      </c>
      <c r="J143" s="4">
        <v>3</v>
      </c>
      <c r="K143" s="4">
        <v>-2</v>
      </c>
      <c r="L143" s="4">
        <v>3</v>
      </c>
      <c r="M143" s="4">
        <v>-1</v>
      </c>
      <c r="N143" s="4">
        <v>4</v>
      </c>
      <c r="O143" s="4">
        <v>2</v>
      </c>
      <c r="P143" s="4">
        <v>1</v>
      </c>
      <c r="Q143" s="7" t="s">
        <v>306</v>
      </c>
      <c r="R143" s="7" t="s">
        <v>19</v>
      </c>
    </row>
    <row r="144" spans="1:18">
      <c r="A144" s="4" t="s">
        <v>307</v>
      </c>
      <c r="B144" s="4">
        <v>-2</v>
      </c>
      <c r="C144" s="4">
        <v>0.5</v>
      </c>
      <c r="D144" s="4">
        <v>6</v>
      </c>
      <c r="E144" s="4">
        <v>1</v>
      </c>
      <c r="F144" s="4">
        <v>-2</v>
      </c>
      <c r="G144" s="4">
        <v>0.5</v>
      </c>
      <c r="H144" s="4">
        <v>-1</v>
      </c>
      <c r="I144" s="4">
        <v>-2</v>
      </c>
      <c r="J144" s="4">
        <v>-8</v>
      </c>
      <c r="K144" s="4">
        <v>-7</v>
      </c>
      <c r="L144" s="4">
        <v>0</v>
      </c>
      <c r="M144" s="4">
        <v>-3</v>
      </c>
      <c r="N144" s="4">
        <v>6</v>
      </c>
      <c r="O144" s="4">
        <v>2.5</v>
      </c>
      <c r="P144" s="4">
        <v>1</v>
      </c>
      <c r="Q144" s="7" t="s">
        <v>308</v>
      </c>
      <c r="R144" s="7" t="s">
        <v>22</v>
      </c>
    </row>
    <row r="145" spans="1:18">
      <c r="A145" s="4" t="s">
        <v>309</v>
      </c>
      <c r="B145" s="4">
        <v>-6</v>
      </c>
      <c r="C145" s="4">
        <v>1</v>
      </c>
      <c r="D145" s="4">
        <v>4</v>
      </c>
      <c r="E145" s="4">
        <v>-8</v>
      </c>
      <c r="F145" s="4">
        <v>1</v>
      </c>
      <c r="G145" s="4">
        <v>-2</v>
      </c>
      <c r="H145" s="4">
        <v>-5</v>
      </c>
      <c r="I145" s="4">
        <v>3</v>
      </c>
      <c r="J145" s="4">
        <v>-6</v>
      </c>
      <c r="K145" s="4">
        <v>4</v>
      </c>
      <c r="L145" s="4">
        <v>-5</v>
      </c>
      <c r="M145" s="4">
        <v>-9.5</v>
      </c>
      <c r="N145" s="4">
        <v>-1</v>
      </c>
      <c r="O145" s="4">
        <v>3</v>
      </c>
      <c r="P145" s="4">
        <v>1</v>
      </c>
      <c r="Q145" s="7" t="s">
        <v>310</v>
      </c>
      <c r="R145" s="7" t="s">
        <v>25</v>
      </c>
    </row>
    <row r="146" spans="1:18">
      <c r="A146" s="4" t="s">
        <v>311</v>
      </c>
      <c r="B146" s="4">
        <v>1</v>
      </c>
      <c r="C146" s="4">
        <v>3</v>
      </c>
      <c r="D146" s="4">
        <v>1</v>
      </c>
      <c r="E146" s="4">
        <v>3</v>
      </c>
      <c r="F146" s="4">
        <v>-3</v>
      </c>
      <c r="G146" s="4">
        <v>-1.5</v>
      </c>
      <c r="H146" s="4">
        <v>-1</v>
      </c>
      <c r="I146" s="4">
        <v>1</v>
      </c>
      <c r="J146" s="4">
        <v>7</v>
      </c>
      <c r="K146" s="4">
        <v>1</v>
      </c>
      <c r="L146" s="4">
        <v>5</v>
      </c>
      <c r="M146" s="4">
        <v>4</v>
      </c>
      <c r="N146" s="4">
        <v>-1</v>
      </c>
      <c r="O146" s="4">
        <v>-3</v>
      </c>
      <c r="P146" s="4">
        <v>1</v>
      </c>
      <c r="Q146" s="7" t="s">
        <v>312</v>
      </c>
      <c r="R146" s="7" t="s">
        <v>28</v>
      </c>
    </row>
    <row r="147" spans="1:18">
      <c r="A147" s="4" t="s">
        <v>313</v>
      </c>
      <c r="B147" s="4">
        <v>3</v>
      </c>
      <c r="C147" s="4">
        <v>-1</v>
      </c>
      <c r="D147" s="4">
        <v>-1</v>
      </c>
      <c r="E147" s="4">
        <v>6</v>
      </c>
      <c r="F147" s="4">
        <v>6</v>
      </c>
      <c r="G147" s="4">
        <v>0.5</v>
      </c>
      <c r="H147" s="4">
        <v>2</v>
      </c>
      <c r="I147" s="4">
        <v>1</v>
      </c>
      <c r="J147" s="4">
        <v>-1</v>
      </c>
      <c r="K147" s="4">
        <v>2</v>
      </c>
      <c r="L147" s="4">
        <v>3</v>
      </c>
      <c r="M147" s="4">
        <v>1.5</v>
      </c>
      <c r="N147" s="4">
        <v>-6</v>
      </c>
      <c r="O147" s="4">
        <v>5.5</v>
      </c>
      <c r="P147" s="4">
        <v>0</v>
      </c>
      <c r="Q147" s="7" t="s">
        <v>314</v>
      </c>
      <c r="R147" s="7" t="s">
        <v>19</v>
      </c>
    </row>
    <row r="148" spans="1:18">
      <c r="A148" s="4" t="s">
        <v>315</v>
      </c>
      <c r="B148" s="4">
        <v>4</v>
      </c>
      <c r="C148" s="4">
        <v>4</v>
      </c>
      <c r="D148" s="4">
        <v>5</v>
      </c>
      <c r="E148" s="4">
        <v>-2</v>
      </c>
      <c r="F148" s="4">
        <v>7</v>
      </c>
      <c r="G148" s="4">
        <v>-3</v>
      </c>
      <c r="H148" s="4">
        <v>5</v>
      </c>
      <c r="I148" s="4">
        <v>4.5</v>
      </c>
      <c r="J148" s="4">
        <v>0</v>
      </c>
      <c r="K148" s="4">
        <v>4</v>
      </c>
      <c r="L148" s="4">
        <v>-3</v>
      </c>
      <c r="M148" s="4">
        <v>4</v>
      </c>
      <c r="N148" s="4">
        <v>3</v>
      </c>
      <c r="O148" s="4">
        <v>0</v>
      </c>
      <c r="P148" s="4">
        <v>0</v>
      </c>
      <c r="Q148" s="7" t="s">
        <v>316</v>
      </c>
      <c r="R148" s="7" t="s">
        <v>34</v>
      </c>
    </row>
    <row r="149" spans="1:18">
      <c r="A149" s="4" t="s">
        <v>317</v>
      </c>
      <c r="B149" s="4">
        <v>-3</v>
      </c>
      <c r="C149" s="4">
        <v>0</v>
      </c>
      <c r="D149" s="4">
        <v>6</v>
      </c>
      <c r="E149" s="4">
        <v>1</v>
      </c>
      <c r="F149" s="4">
        <v>-6</v>
      </c>
      <c r="G149" s="4">
        <v>10</v>
      </c>
      <c r="H149" s="4">
        <v>0</v>
      </c>
      <c r="I149" s="4">
        <v>-3</v>
      </c>
      <c r="J149" s="4">
        <v>-1</v>
      </c>
      <c r="K149" s="4">
        <v>1</v>
      </c>
      <c r="L149" s="4">
        <v>0</v>
      </c>
      <c r="M149" s="4">
        <v>-3</v>
      </c>
      <c r="N149" s="4">
        <v>-3</v>
      </c>
      <c r="O149" s="4">
        <v>3</v>
      </c>
      <c r="P149" s="4">
        <v>0</v>
      </c>
      <c r="Q149" s="7" t="s">
        <v>318</v>
      </c>
      <c r="R149" s="7" t="s">
        <v>37</v>
      </c>
    </row>
    <row r="150" spans="1:18">
      <c r="A150" s="4" t="s">
        <v>319</v>
      </c>
      <c r="B150" s="4">
        <v>8</v>
      </c>
      <c r="C150" s="4">
        <v>2</v>
      </c>
      <c r="D150" s="4">
        <v>6</v>
      </c>
      <c r="E150" s="4">
        <v>-2</v>
      </c>
      <c r="F150" s="4">
        <v>4</v>
      </c>
      <c r="G150" s="4">
        <v>-2.5</v>
      </c>
      <c r="H150" s="4">
        <v>-2</v>
      </c>
      <c r="I150" s="4">
        <v>0.5</v>
      </c>
      <c r="J150" s="4">
        <v>-2</v>
      </c>
      <c r="K150" s="4">
        <v>2</v>
      </c>
      <c r="L150" s="4">
        <v>3</v>
      </c>
      <c r="M150" s="4">
        <v>0.5</v>
      </c>
      <c r="N150" s="4">
        <v>9</v>
      </c>
      <c r="O150" s="4">
        <v>8</v>
      </c>
      <c r="P150" s="4">
        <v>0</v>
      </c>
      <c r="Q150" s="7" t="s">
        <v>320</v>
      </c>
      <c r="R150" s="7" t="s">
        <v>40</v>
      </c>
    </row>
    <row r="151" spans="1:18">
      <c r="A151" s="4" t="s">
        <v>321</v>
      </c>
      <c r="B151" s="4">
        <v>-1.5</v>
      </c>
      <c r="C151" s="4">
        <v>6</v>
      </c>
      <c r="D151" s="4">
        <v>-1.5</v>
      </c>
      <c r="E151" s="4">
        <v>0</v>
      </c>
      <c r="F151" s="4">
        <v>-2</v>
      </c>
      <c r="G151" s="4">
        <v>2</v>
      </c>
      <c r="H151" s="4">
        <v>6</v>
      </c>
      <c r="I151" s="4">
        <v>5</v>
      </c>
      <c r="J151" s="4">
        <v>6</v>
      </c>
      <c r="K151" s="4">
        <v>4</v>
      </c>
      <c r="L151" s="4">
        <v>4</v>
      </c>
      <c r="M151" s="4">
        <v>5</v>
      </c>
      <c r="N151" s="4">
        <v>-1</v>
      </c>
      <c r="O151" s="4">
        <v>-2</v>
      </c>
      <c r="P151" s="4">
        <v>1</v>
      </c>
      <c r="Q151" s="7" t="s">
        <v>322</v>
      </c>
      <c r="R151" s="7" t="s">
        <v>31</v>
      </c>
    </row>
    <row r="152" spans="1:18">
      <c r="A152" s="4" t="s">
        <v>323</v>
      </c>
      <c r="B152" s="4">
        <v>-6</v>
      </c>
      <c r="C152" s="4">
        <v>4</v>
      </c>
      <c r="D152" s="4">
        <v>-10</v>
      </c>
      <c r="E152" s="4">
        <v>-6</v>
      </c>
      <c r="F152" s="4">
        <v>0</v>
      </c>
      <c r="G152" s="4">
        <v>-3.5</v>
      </c>
      <c r="H152" s="4">
        <v>-2</v>
      </c>
      <c r="I152" s="4">
        <v>4</v>
      </c>
      <c r="J152" s="4">
        <v>-1.5</v>
      </c>
      <c r="K152" s="4">
        <v>1</v>
      </c>
      <c r="L152" s="4">
        <v>-3.5</v>
      </c>
      <c r="M152" s="4">
        <v>-9</v>
      </c>
      <c r="N152" s="4">
        <v>-10</v>
      </c>
      <c r="O152" s="4">
        <v>0</v>
      </c>
      <c r="P152" s="4">
        <v>0</v>
      </c>
      <c r="Q152" s="7" t="s">
        <v>324</v>
      </c>
      <c r="R152" s="7" t="s">
        <v>16</v>
      </c>
    </row>
    <row r="153" spans="1:18">
      <c r="A153" s="4" t="s">
        <v>325</v>
      </c>
      <c r="B153" s="4">
        <v>1</v>
      </c>
      <c r="C153" s="4">
        <v>3</v>
      </c>
      <c r="D153" s="4">
        <v>2</v>
      </c>
      <c r="E153" s="4">
        <v>1</v>
      </c>
      <c r="F153" s="4">
        <v>1</v>
      </c>
      <c r="G153" s="4">
        <v>-2.5</v>
      </c>
      <c r="H153" s="4">
        <v>3</v>
      </c>
      <c r="I153" s="4">
        <v>0</v>
      </c>
      <c r="J153" s="4">
        <v>3</v>
      </c>
      <c r="K153" s="4">
        <v>0.5</v>
      </c>
      <c r="L153" s="4">
        <v>3</v>
      </c>
      <c r="M153" s="4">
        <v>4</v>
      </c>
      <c r="N153" s="4">
        <v>1</v>
      </c>
      <c r="O153" s="4">
        <v>-4</v>
      </c>
      <c r="P153" s="4">
        <v>0</v>
      </c>
      <c r="Q153" s="7" t="s">
        <v>326</v>
      </c>
      <c r="R153" s="7" t="s">
        <v>19</v>
      </c>
    </row>
    <row r="154" spans="1:18">
      <c r="A154" s="4" t="s">
        <v>327</v>
      </c>
      <c r="B154" s="4">
        <v>3</v>
      </c>
      <c r="C154" s="4">
        <v>3</v>
      </c>
      <c r="D154" s="4">
        <v>2.5</v>
      </c>
      <c r="E154" s="4">
        <v>1</v>
      </c>
      <c r="F154" s="4">
        <v>-5</v>
      </c>
      <c r="G154" s="4">
        <v>3</v>
      </c>
      <c r="H154" s="4">
        <v>11</v>
      </c>
      <c r="I154" s="4">
        <v>2.5</v>
      </c>
      <c r="J154" s="4">
        <v>-4</v>
      </c>
      <c r="K154" s="4">
        <v>6</v>
      </c>
      <c r="L154" s="4">
        <v>6</v>
      </c>
      <c r="M154" s="4">
        <v>-3</v>
      </c>
      <c r="N154" s="4">
        <v>0</v>
      </c>
      <c r="O154" s="4">
        <v>-3</v>
      </c>
      <c r="P154" s="4">
        <v>1</v>
      </c>
      <c r="Q154" s="7" t="s">
        <v>328</v>
      </c>
      <c r="R154" s="7" t="s">
        <v>22</v>
      </c>
    </row>
    <row r="155" spans="1:18">
      <c r="A155" s="4" t="s">
        <v>329</v>
      </c>
      <c r="B155" s="4">
        <v>-6</v>
      </c>
      <c r="C155" s="4">
        <v>4</v>
      </c>
      <c r="D155" s="4">
        <v>-4</v>
      </c>
      <c r="E155" s="4">
        <v>-3</v>
      </c>
      <c r="F155" s="4">
        <v>4</v>
      </c>
      <c r="G155" s="4">
        <v>-2</v>
      </c>
      <c r="H155" s="4">
        <v>-6</v>
      </c>
      <c r="I155" s="4">
        <v>-4</v>
      </c>
      <c r="J155" s="4">
        <v>4</v>
      </c>
      <c r="K155" s="4">
        <v>-1</v>
      </c>
      <c r="L155" s="4">
        <v>-2</v>
      </c>
      <c r="M155" s="4">
        <v>-2</v>
      </c>
      <c r="N155" s="4">
        <v>3</v>
      </c>
      <c r="O155" s="4">
        <v>2.5</v>
      </c>
      <c r="P155" s="4">
        <v>0</v>
      </c>
      <c r="Q155" s="7" t="s">
        <v>330</v>
      </c>
      <c r="R155" s="7" t="s">
        <v>25</v>
      </c>
    </row>
    <row r="156" spans="1:18">
      <c r="A156" s="4" t="s">
        <v>331</v>
      </c>
      <c r="B156" s="4">
        <v>2</v>
      </c>
      <c r="C156" s="4">
        <v>6</v>
      </c>
      <c r="D156" s="4">
        <v>0.5</v>
      </c>
      <c r="E156" s="4">
        <v>6</v>
      </c>
      <c r="F156" s="4">
        <v>-7</v>
      </c>
      <c r="G156" s="4">
        <v>6</v>
      </c>
      <c r="H156" s="4">
        <v>1</v>
      </c>
      <c r="I156" s="4">
        <v>2</v>
      </c>
      <c r="J156" s="4">
        <v>1</v>
      </c>
      <c r="K156" s="4">
        <v>-2</v>
      </c>
      <c r="L156" s="4">
        <v>1</v>
      </c>
      <c r="M156" s="4">
        <v>4</v>
      </c>
      <c r="N156" s="4">
        <v>-6</v>
      </c>
      <c r="O156" s="4">
        <v>-8</v>
      </c>
      <c r="P156" s="4">
        <v>1</v>
      </c>
      <c r="Q156" s="7" t="s">
        <v>332</v>
      </c>
      <c r="R156" s="7" t="s">
        <v>28</v>
      </c>
    </row>
    <row r="157" spans="1:18">
      <c r="A157" s="4" t="s">
        <v>333</v>
      </c>
      <c r="B157" s="4">
        <v>3</v>
      </c>
      <c r="C157" s="4">
        <v>5</v>
      </c>
      <c r="D157" s="4">
        <v>-5</v>
      </c>
      <c r="E157" s="4">
        <v>-2</v>
      </c>
      <c r="F157" s="4">
        <v>-2</v>
      </c>
      <c r="G157" s="4">
        <v>-2</v>
      </c>
      <c r="H157" s="4">
        <v>2</v>
      </c>
      <c r="I157" s="4">
        <v>6</v>
      </c>
      <c r="J157" s="4">
        <v>3</v>
      </c>
      <c r="K157" s="4">
        <v>5</v>
      </c>
      <c r="L157" s="4">
        <v>7</v>
      </c>
      <c r="M157" s="4">
        <v>-2.5</v>
      </c>
      <c r="N157" s="4">
        <v>-2</v>
      </c>
      <c r="O157" s="4">
        <v>6</v>
      </c>
      <c r="P157" s="4">
        <v>0</v>
      </c>
      <c r="Q157" s="7" t="s">
        <v>334</v>
      </c>
      <c r="R157" s="7" t="s">
        <v>22</v>
      </c>
    </row>
    <row r="158" spans="1:18">
      <c r="A158" s="4" t="s">
        <v>335</v>
      </c>
      <c r="B158" s="4">
        <v>-1</v>
      </c>
      <c r="C158" s="4">
        <v>1</v>
      </c>
      <c r="D158" s="4">
        <v>-2</v>
      </c>
      <c r="E158" s="4">
        <v>3</v>
      </c>
      <c r="F158" s="4">
        <v>-0.5</v>
      </c>
      <c r="G158" s="4">
        <v>-1</v>
      </c>
      <c r="H158" s="4">
        <v>6</v>
      </c>
      <c r="I158" s="4">
        <v>-2</v>
      </c>
      <c r="J158" s="4">
        <v>0.5</v>
      </c>
      <c r="K158" s="4">
        <v>-1</v>
      </c>
      <c r="L158" s="4">
        <v>-7</v>
      </c>
      <c r="M158" s="4">
        <v>1</v>
      </c>
      <c r="N158" s="4">
        <v>2</v>
      </c>
      <c r="O158" s="4">
        <v>2.5</v>
      </c>
      <c r="P158" s="4">
        <v>1</v>
      </c>
      <c r="Q158" s="7" t="s">
        <v>336</v>
      </c>
      <c r="R158" s="7" t="s">
        <v>34</v>
      </c>
    </row>
    <row r="159" spans="1:18">
      <c r="A159" s="4" t="s">
        <v>337</v>
      </c>
      <c r="B159" s="4">
        <v>0</v>
      </c>
      <c r="C159" s="4">
        <v>0</v>
      </c>
      <c r="D159" s="4">
        <v>1</v>
      </c>
      <c r="E159" s="4">
        <v>0</v>
      </c>
      <c r="F159" s="4">
        <v>0</v>
      </c>
      <c r="G159" s="4">
        <v>-4</v>
      </c>
      <c r="H159" s="4">
        <v>-9</v>
      </c>
      <c r="I159" s="4">
        <v>3</v>
      </c>
      <c r="J159" s="4">
        <v>-5</v>
      </c>
      <c r="K159" s="4">
        <v>2</v>
      </c>
      <c r="L159" s="4">
        <v>0</v>
      </c>
      <c r="M159" s="4">
        <v>-2</v>
      </c>
      <c r="N159" s="4">
        <v>10</v>
      </c>
      <c r="O159" s="4">
        <v>-4</v>
      </c>
      <c r="P159" s="4">
        <v>0</v>
      </c>
      <c r="Q159" s="7" t="s">
        <v>338</v>
      </c>
      <c r="R159" s="7" t="s">
        <v>37</v>
      </c>
    </row>
    <row r="160" spans="1:18">
      <c r="A160" s="4" t="s">
        <v>339</v>
      </c>
      <c r="B160" s="4">
        <v>3</v>
      </c>
      <c r="C160" s="4">
        <v>8</v>
      </c>
      <c r="D160" s="4">
        <v>-5</v>
      </c>
      <c r="E160" s="4">
        <v>-2</v>
      </c>
      <c r="F160" s="4">
        <v>3</v>
      </c>
      <c r="G160" s="4">
        <v>1</v>
      </c>
      <c r="H160" s="4">
        <v>-4</v>
      </c>
      <c r="I160" s="4">
        <v>5.5</v>
      </c>
      <c r="J160" s="4">
        <v>3</v>
      </c>
      <c r="K160" s="4">
        <v>8</v>
      </c>
      <c r="L160" s="4">
        <v>3</v>
      </c>
      <c r="M160" s="4">
        <v>3</v>
      </c>
      <c r="N160" s="4">
        <v>2.5</v>
      </c>
      <c r="O160" s="4">
        <v>7.5</v>
      </c>
      <c r="P160" s="4">
        <v>1</v>
      </c>
      <c r="Q160" s="7" t="s">
        <v>340</v>
      </c>
      <c r="R160" s="7" t="s">
        <v>40</v>
      </c>
    </row>
    <row r="161" spans="1:18">
      <c r="A161" s="4" t="s">
        <v>341</v>
      </c>
      <c r="B161" s="4">
        <v>2.5</v>
      </c>
      <c r="C161" s="4">
        <v>-0.5</v>
      </c>
      <c r="D161" s="4">
        <v>4</v>
      </c>
      <c r="E161" s="4">
        <v>2</v>
      </c>
      <c r="F161" s="4">
        <v>-2.5</v>
      </c>
      <c r="G161" s="4">
        <v>-4</v>
      </c>
      <c r="H161" s="4">
        <v>2.5</v>
      </c>
      <c r="I161" s="4">
        <v>5.5</v>
      </c>
      <c r="J161" s="4">
        <v>-0.5</v>
      </c>
      <c r="K161" s="4">
        <v>0.5</v>
      </c>
      <c r="L161" s="4">
        <v>2.5</v>
      </c>
      <c r="M161" s="4">
        <v>1</v>
      </c>
      <c r="N161" s="4">
        <v>2.5</v>
      </c>
      <c r="O161" s="4">
        <v>-1.5</v>
      </c>
      <c r="P161" s="4">
        <v>1</v>
      </c>
      <c r="Q161" s="7" t="s">
        <v>342</v>
      </c>
      <c r="R161" s="7" t="s">
        <v>31</v>
      </c>
    </row>
    <row r="162" spans="1:18">
      <c r="A162" s="4" t="s">
        <v>343</v>
      </c>
      <c r="B162" s="4">
        <v>2.5</v>
      </c>
      <c r="C162" s="4">
        <v>1</v>
      </c>
      <c r="D162" s="4">
        <v>-6</v>
      </c>
      <c r="E162" s="4">
        <v>-1</v>
      </c>
      <c r="F162" s="4">
        <v>6</v>
      </c>
      <c r="G162" s="4">
        <v>6.5</v>
      </c>
      <c r="H162" s="4">
        <v>1</v>
      </c>
      <c r="I162" s="4">
        <v>1</v>
      </c>
      <c r="J162" s="4">
        <v>7</v>
      </c>
      <c r="K162" s="4">
        <v>-1</v>
      </c>
      <c r="L162" s="4">
        <v>8.5</v>
      </c>
      <c r="M162" s="4">
        <v>-1</v>
      </c>
      <c r="N162" s="4">
        <v>-6</v>
      </c>
      <c r="O162" s="4">
        <v>2.5</v>
      </c>
      <c r="P162" s="4">
        <v>1</v>
      </c>
      <c r="Q162" s="7" t="s">
        <v>344</v>
      </c>
      <c r="R162" s="7" t="s">
        <v>16</v>
      </c>
    </row>
    <row r="163" spans="1:18">
      <c r="A163" s="4" t="s">
        <v>345</v>
      </c>
      <c r="B163" s="4">
        <v>2</v>
      </c>
      <c r="C163" s="4">
        <v>0</v>
      </c>
      <c r="D163" s="4">
        <v>2</v>
      </c>
      <c r="E163" s="4">
        <v>3</v>
      </c>
      <c r="F163" s="4">
        <v>-2</v>
      </c>
      <c r="G163" s="4">
        <v>-11</v>
      </c>
      <c r="H163" s="4">
        <v>0</v>
      </c>
      <c r="I163" s="4">
        <v>2.5</v>
      </c>
      <c r="J163" s="4">
        <v>4</v>
      </c>
      <c r="K163" s="4">
        <v>2.5</v>
      </c>
      <c r="L163" s="4">
        <v>0.5</v>
      </c>
      <c r="M163" s="4">
        <v>-4</v>
      </c>
      <c r="N163" s="4">
        <v>-3</v>
      </c>
      <c r="O163" s="4">
        <v>-2</v>
      </c>
      <c r="P163" s="4">
        <v>0</v>
      </c>
      <c r="Q163" s="7" t="s">
        <v>346</v>
      </c>
      <c r="R163" s="7" t="s">
        <v>19</v>
      </c>
    </row>
    <row r="164" spans="1:18">
      <c r="A164" s="4" t="s">
        <v>347</v>
      </c>
      <c r="B164" s="4">
        <v>-3</v>
      </c>
      <c r="C164" s="4">
        <v>-4</v>
      </c>
      <c r="D164" s="4">
        <v>3</v>
      </c>
      <c r="E164" s="4">
        <v>-3</v>
      </c>
      <c r="F164" s="4">
        <v>-0.5</v>
      </c>
      <c r="G164" s="4">
        <v>-4</v>
      </c>
      <c r="H164" s="4">
        <v>2</v>
      </c>
      <c r="I164" s="4">
        <v>5.5</v>
      </c>
      <c r="J164" s="4">
        <v>-4</v>
      </c>
      <c r="K164" s="4">
        <v>2</v>
      </c>
      <c r="L164" s="4">
        <v>-4</v>
      </c>
      <c r="M164" s="4">
        <v>1</v>
      </c>
      <c r="N164" s="4">
        <v>2</v>
      </c>
      <c r="O164" s="4">
        <v>5.5</v>
      </c>
      <c r="P164" s="4">
        <v>0</v>
      </c>
      <c r="Q164" s="7" t="s">
        <v>348</v>
      </c>
      <c r="R164" s="7" t="s">
        <v>22</v>
      </c>
    </row>
    <row r="165" spans="1:18">
      <c r="A165" s="4" t="s">
        <v>349</v>
      </c>
      <c r="B165" s="4">
        <v>4.5</v>
      </c>
      <c r="C165" s="4">
        <v>4.5</v>
      </c>
      <c r="D165" s="4">
        <v>-3</v>
      </c>
      <c r="E165" s="4">
        <v>5</v>
      </c>
      <c r="F165" s="4">
        <v>4.5</v>
      </c>
      <c r="G165" s="4">
        <v>0</v>
      </c>
      <c r="H165" s="4">
        <v>-4</v>
      </c>
      <c r="I165" s="4">
        <v>1</v>
      </c>
      <c r="J165" s="4">
        <v>4</v>
      </c>
      <c r="K165" s="4">
        <v>-1</v>
      </c>
      <c r="L165" s="4">
        <v>6.5</v>
      </c>
      <c r="M165" s="4">
        <v>11.5</v>
      </c>
      <c r="N165" s="4">
        <v>6</v>
      </c>
      <c r="O165" s="4">
        <v>-2</v>
      </c>
      <c r="P165" s="4">
        <v>0</v>
      </c>
      <c r="Q165" s="7" t="s">
        <v>350</v>
      </c>
      <c r="R165" s="7" t="s">
        <v>25</v>
      </c>
    </row>
    <row r="166" spans="1:18">
      <c r="A166" s="4" t="s">
        <v>351</v>
      </c>
      <c r="B166" s="4">
        <v>-3</v>
      </c>
      <c r="C166" s="4">
        <v>3</v>
      </c>
      <c r="D166" s="4">
        <v>-1</v>
      </c>
      <c r="E166" s="4">
        <v>3</v>
      </c>
      <c r="F166" s="4">
        <v>-4</v>
      </c>
      <c r="G166" s="4">
        <v>-3</v>
      </c>
      <c r="H166" s="4">
        <v>2</v>
      </c>
      <c r="I166" s="4">
        <v>-2.5</v>
      </c>
      <c r="J166" s="4">
        <v>1</v>
      </c>
      <c r="K166" s="4">
        <v>2</v>
      </c>
      <c r="L166" s="4">
        <v>2.5</v>
      </c>
      <c r="M166" s="4">
        <v>-5</v>
      </c>
      <c r="N166" s="4">
        <v>-4</v>
      </c>
      <c r="O166" s="4">
        <v>-3</v>
      </c>
      <c r="P166" s="4">
        <v>1</v>
      </c>
      <c r="Q166" s="7" t="s">
        <v>352</v>
      </c>
      <c r="R166" s="7" t="s">
        <v>28</v>
      </c>
    </row>
    <row r="167" spans="1:18">
      <c r="A167" s="4" t="s">
        <v>353</v>
      </c>
      <c r="B167" s="4">
        <v>-1</v>
      </c>
      <c r="C167" s="4">
        <v>-2</v>
      </c>
      <c r="D167" s="4">
        <v>-11</v>
      </c>
      <c r="E167" s="4">
        <v>5</v>
      </c>
      <c r="F167" s="4">
        <v>2</v>
      </c>
      <c r="G167" s="4">
        <v>-2</v>
      </c>
      <c r="H167" s="4">
        <v>-1</v>
      </c>
      <c r="I167" s="4">
        <v>6</v>
      </c>
      <c r="J167" s="4">
        <v>-1</v>
      </c>
      <c r="K167" s="4">
        <v>-2</v>
      </c>
      <c r="L167" s="4">
        <v>-2</v>
      </c>
      <c r="M167" s="4">
        <v>2</v>
      </c>
      <c r="N167" s="4">
        <v>-2</v>
      </c>
      <c r="O167" s="4">
        <v>7.5</v>
      </c>
      <c r="P167" s="4">
        <v>1</v>
      </c>
      <c r="Q167" s="7" t="s">
        <v>354</v>
      </c>
      <c r="R167" s="7" t="s">
        <v>25</v>
      </c>
    </row>
    <row r="168" spans="1:18">
      <c r="A168" s="4" t="s">
        <v>355</v>
      </c>
      <c r="B168" s="4">
        <v>3</v>
      </c>
      <c r="C168" s="4">
        <v>2</v>
      </c>
      <c r="D168" s="4">
        <v>7</v>
      </c>
      <c r="E168" s="4">
        <v>5</v>
      </c>
      <c r="F168" s="4">
        <v>4</v>
      </c>
      <c r="G168" s="4">
        <v>-3</v>
      </c>
      <c r="H168" s="4">
        <v>-1</v>
      </c>
      <c r="I168" s="4">
        <v>3</v>
      </c>
      <c r="J168" s="4">
        <v>0</v>
      </c>
      <c r="K168" s="4">
        <v>2</v>
      </c>
      <c r="L168" s="4">
        <v>1</v>
      </c>
      <c r="M168" s="4">
        <v>2</v>
      </c>
      <c r="N168" s="4">
        <v>4</v>
      </c>
      <c r="O168" s="4">
        <v>4</v>
      </c>
      <c r="P168" s="4">
        <v>0</v>
      </c>
      <c r="Q168" s="7" t="s">
        <v>356</v>
      </c>
      <c r="R168" s="7" t="s">
        <v>34</v>
      </c>
    </row>
    <row r="169" spans="1:18">
      <c r="A169" s="4" t="s">
        <v>357</v>
      </c>
      <c r="B169" s="4">
        <v>-3</v>
      </c>
      <c r="C169" s="4">
        <v>6</v>
      </c>
      <c r="D169" s="4">
        <v>-5</v>
      </c>
      <c r="E169" s="4">
        <v>-1</v>
      </c>
      <c r="F169" s="4">
        <v>-1</v>
      </c>
      <c r="G169" s="4">
        <v>0</v>
      </c>
      <c r="H169" s="4">
        <v>2</v>
      </c>
      <c r="I169" s="4">
        <v>2</v>
      </c>
      <c r="J169" s="4">
        <v>-3</v>
      </c>
      <c r="K169" s="4">
        <v>7</v>
      </c>
      <c r="L169" s="4">
        <v>6</v>
      </c>
      <c r="M169" s="4">
        <v>0</v>
      </c>
      <c r="N169" s="4">
        <v>-2</v>
      </c>
      <c r="O169" s="4">
        <v>5</v>
      </c>
      <c r="P169" s="4">
        <v>0</v>
      </c>
      <c r="Q169" s="7" t="s">
        <v>358</v>
      </c>
      <c r="R169" s="7" t="s">
        <v>37</v>
      </c>
    </row>
    <row r="170" spans="1:18">
      <c r="A170" s="4" t="s">
        <v>359</v>
      </c>
      <c r="B170" s="4">
        <v>3</v>
      </c>
      <c r="C170" s="4">
        <v>3</v>
      </c>
      <c r="D170" s="4">
        <v>-1</v>
      </c>
      <c r="E170" s="4">
        <v>0</v>
      </c>
      <c r="F170" s="4">
        <v>7.5</v>
      </c>
      <c r="G170" s="4">
        <v>-2</v>
      </c>
      <c r="H170" s="4">
        <v>-7</v>
      </c>
      <c r="I170" s="4">
        <v>6</v>
      </c>
      <c r="J170" s="4">
        <v>0</v>
      </c>
      <c r="K170" s="4">
        <v>3</v>
      </c>
      <c r="L170" s="4">
        <v>4</v>
      </c>
      <c r="M170" s="4">
        <v>-7</v>
      </c>
      <c r="N170" s="4">
        <v>-3</v>
      </c>
      <c r="O170" s="4">
        <v>5</v>
      </c>
      <c r="P170" s="4">
        <v>1</v>
      </c>
      <c r="Q170" s="7" t="s">
        <v>360</v>
      </c>
      <c r="R170" s="7" t="s">
        <v>40</v>
      </c>
    </row>
    <row r="171" spans="1:18">
      <c r="A171" s="4" t="s">
        <v>361</v>
      </c>
      <c r="B171" s="4">
        <v>2</v>
      </c>
      <c r="C171" s="4">
        <v>10</v>
      </c>
      <c r="D171" s="4">
        <v>3</v>
      </c>
      <c r="E171" s="4">
        <v>-7</v>
      </c>
      <c r="F171" s="4">
        <v>0</v>
      </c>
      <c r="G171" s="4">
        <v>-2</v>
      </c>
      <c r="H171" s="4">
        <v>5</v>
      </c>
      <c r="I171" s="4">
        <v>-1</v>
      </c>
      <c r="J171" s="4">
        <v>10</v>
      </c>
      <c r="K171" s="4">
        <v>6.5</v>
      </c>
      <c r="L171" s="4">
        <v>2</v>
      </c>
      <c r="M171" s="4">
        <v>6.5</v>
      </c>
      <c r="N171" s="4">
        <v>6</v>
      </c>
      <c r="O171" s="4">
        <v>1</v>
      </c>
      <c r="P171" s="4">
        <v>0</v>
      </c>
      <c r="Q171" s="7" t="s">
        <v>362</v>
      </c>
      <c r="R171" s="7" t="s">
        <v>31</v>
      </c>
    </row>
    <row r="172" spans="1:18">
      <c r="A172" s="4" t="s">
        <v>363</v>
      </c>
      <c r="B172" s="4">
        <v>6</v>
      </c>
      <c r="C172" s="4">
        <v>2</v>
      </c>
      <c r="D172" s="4">
        <v>-2</v>
      </c>
      <c r="E172" s="4">
        <v>2</v>
      </c>
      <c r="F172" s="4">
        <v>5</v>
      </c>
      <c r="G172" s="4">
        <v>4</v>
      </c>
      <c r="H172" s="4">
        <v>-1</v>
      </c>
      <c r="I172" s="4">
        <v>2</v>
      </c>
      <c r="J172" s="4">
        <v>4</v>
      </c>
      <c r="K172" s="4">
        <v>2</v>
      </c>
      <c r="L172" s="4">
        <v>4.5</v>
      </c>
      <c r="M172" s="4">
        <v>6</v>
      </c>
      <c r="N172" s="4">
        <v>-3</v>
      </c>
      <c r="O172" s="4">
        <v>6</v>
      </c>
      <c r="P172" s="4">
        <v>0</v>
      </c>
      <c r="Q172" s="7" t="s">
        <v>364</v>
      </c>
      <c r="R172" s="7" t="s">
        <v>16</v>
      </c>
    </row>
    <row r="173" spans="1:18">
      <c r="A173" s="4" t="s">
        <v>365</v>
      </c>
      <c r="B173" s="4">
        <v>4.5</v>
      </c>
      <c r="C173" s="4">
        <v>-4.5</v>
      </c>
      <c r="D173" s="4">
        <v>-4</v>
      </c>
      <c r="E173" s="4">
        <v>-4</v>
      </c>
      <c r="F173" s="4">
        <v>-5</v>
      </c>
      <c r="G173" s="4">
        <v>-4</v>
      </c>
      <c r="H173" s="4">
        <v>-4.5</v>
      </c>
      <c r="I173" s="4">
        <v>-3</v>
      </c>
      <c r="J173" s="4">
        <v>-7</v>
      </c>
      <c r="K173" s="4">
        <v>-2</v>
      </c>
      <c r="L173" s="4">
        <v>1</v>
      </c>
      <c r="M173" s="4">
        <v>1</v>
      </c>
      <c r="N173" s="4">
        <v>4.5</v>
      </c>
      <c r="O173" s="4">
        <v>7</v>
      </c>
      <c r="P173" s="4">
        <v>0</v>
      </c>
      <c r="Q173" s="7" t="s">
        <v>366</v>
      </c>
      <c r="R173" s="7" t="s">
        <v>19</v>
      </c>
    </row>
    <row r="174" spans="1:18">
      <c r="A174" s="4" t="s">
        <v>367</v>
      </c>
      <c r="B174" s="4">
        <v>4</v>
      </c>
      <c r="C174" s="4">
        <v>4</v>
      </c>
      <c r="D174" s="4">
        <v>4</v>
      </c>
      <c r="E174" s="4">
        <v>2</v>
      </c>
      <c r="F174" s="4">
        <v>-1</v>
      </c>
      <c r="G174" s="4">
        <v>4</v>
      </c>
      <c r="H174" s="4">
        <v>4</v>
      </c>
      <c r="I174" s="4">
        <v>3</v>
      </c>
      <c r="J174" s="4">
        <v>-4</v>
      </c>
      <c r="K174" s="4">
        <v>-2</v>
      </c>
      <c r="L174" s="4">
        <v>7</v>
      </c>
      <c r="M174" s="4">
        <v>2</v>
      </c>
      <c r="N174" s="4">
        <v>0.5</v>
      </c>
      <c r="O174" s="4">
        <v>4</v>
      </c>
      <c r="P174" s="4">
        <v>1</v>
      </c>
      <c r="Q174" s="7" t="s">
        <v>368</v>
      </c>
      <c r="R174" s="7" t="s">
        <v>22</v>
      </c>
    </row>
    <row r="175" spans="1:18">
      <c r="A175" s="4" t="s">
        <v>369</v>
      </c>
      <c r="B175" s="4">
        <v>2</v>
      </c>
      <c r="C175" s="4">
        <v>3</v>
      </c>
      <c r="D175" s="4">
        <v>2</v>
      </c>
      <c r="E175" s="4">
        <v>-3</v>
      </c>
      <c r="F175" s="4">
        <v>3</v>
      </c>
      <c r="G175" s="4">
        <v>-3</v>
      </c>
      <c r="H175" s="4">
        <v>-3</v>
      </c>
      <c r="I175" s="4">
        <v>0</v>
      </c>
      <c r="J175" s="4">
        <v>-1</v>
      </c>
      <c r="K175" s="4">
        <v>1.5</v>
      </c>
      <c r="L175" s="4">
        <v>1</v>
      </c>
      <c r="M175" s="4">
        <v>3</v>
      </c>
      <c r="N175" s="4">
        <v>6</v>
      </c>
      <c r="O175" s="4">
        <v>-1</v>
      </c>
      <c r="P175" s="4">
        <v>1</v>
      </c>
      <c r="Q175" s="7" t="s">
        <v>370</v>
      </c>
      <c r="R175" s="7" t="s">
        <v>25</v>
      </c>
    </row>
    <row r="176" spans="1:18">
      <c r="A176" s="4" t="s">
        <v>371</v>
      </c>
      <c r="B176" s="4">
        <v>-2.5</v>
      </c>
      <c r="C176" s="4">
        <v>-2.5</v>
      </c>
      <c r="D176" s="4">
        <v>-5</v>
      </c>
      <c r="E176" s="4">
        <v>-2.5</v>
      </c>
      <c r="F176" s="4">
        <v>-8</v>
      </c>
      <c r="G176" s="4">
        <v>0</v>
      </c>
      <c r="H176" s="4">
        <v>1</v>
      </c>
      <c r="I176" s="4">
        <v>4</v>
      </c>
      <c r="J176" s="4">
        <v>-4</v>
      </c>
      <c r="K176" s="4">
        <v>2</v>
      </c>
      <c r="L176" s="4">
        <v>2</v>
      </c>
      <c r="M176" s="4">
        <v>-3</v>
      </c>
      <c r="N176" s="4">
        <v>3</v>
      </c>
      <c r="O176" s="4">
        <v>-9</v>
      </c>
      <c r="P176" s="4">
        <v>1</v>
      </c>
      <c r="Q176" s="7" t="s">
        <v>372</v>
      </c>
      <c r="R176" s="7" t="s">
        <v>28</v>
      </c>
    </row>
    <row r="177" spans="1:18">
      <c r="A177" s="4" t="s">
        <v>373</v>
      </c>
      <c r="B177" s="4">
        <v>5.5</v>
      </c>
      <c r="C177" s="4">
        <v>4</v>
      </c>
      <c r="D177" s="4">
        <v>-6</v>
      </c>
      <c r="E177" s="4">
        <v>4</v>
      </c>
      <c r="F177" s="4">
        <v>5.5</v>
      </c>
      <c r="G177" s="4">
        <v>-2</v>
      </c>
      <c r="H177" s="4">
        <v>1</v>
      </c>
      <c r="I177" s="4">
        <v>1</v>
      </c>
      <c r="J177" s="4">
        <v>5</v>
      </c>
      <c r="K177" s="4">
        <v>1.5</v>
      </c>
      <c r="L177" s="4">
        <v>6</v>
      </c>
      <c r="M177" s="4">
        <v>4</v>
      </c>
      <c r="N177" s="4">
        <v>-5</v>
      </c>
      <c r="O177" s="4">
        <v>5</v>
      </c>
      <c r="P177" s="4">
        <v>1</v>
      </c>
      <c r="Q177" s="7" t="s">
        <v>374</v>
      </c>
      <c r="R177" s="7" t="s">
        <v>28</v>
      </c>
    </row>
    <row r="178" spans="1:18">
      <c r="A178" s="4" t="s">
        <v>375</v>
      </c>
      <c r="B178" s="4">
        <v>-7</v>
      </c>
      <c r="C178" s="4">
        <v>8</v>
      </c>
      <c r="D178" s="4">
        <v>-1</v>
      </c>
      <c r="E178" s="4">
        <v>-6</v>
      </c>
      <c r="F178" s="4">
        <v>0</v>
      </c>
      <c r="G178" s="4">
        <v>-7</v>
      </c>
      <c r="H178" s="4">
        <v>-8</v>
      </c>
      <c r="I178" s="4">
        <v>2</v>
      </c>
      <c r="J178" s="4">
        <v>8</v>
      </c>
      <c r="K178" s="4">
        <v>0</v>
      </c>
      <c r="L178" s="4">
        <v>0</v>
      </c>
      <c r="M178" s="4">
        <v>8</v>
      </c>
      <c r="N178" s="4">
        <v>3</v>
      </c>
      <c r="O178" s="4">
        <v>1</v>
      </c>
      <c r="P178" s="4">
        <v>0</v>
      </c>
      <c r="Q178" s="7" t="s">
        <v>376</v>
      </c>
      <c r="R178" s="7" t="s">
        <v>34</v>
      </c>
    </row>
    <row r="179" spans="1:18">
      <c r="A179" s="4" t="s">
        <v>377</v>
      </c>
      <c r="B179" s="4">
        <v>5</v>
      </c>
      <c r="C179" s="4">
        <v>-0.5</v>
      </c>
      <c r="D179" s="4">
        <v>-3</v>
      </c>
      <c r="E179" s="4">
        <v>11</v>
      </c>
      <c r="F179" s="4">
        <v>-6</v>
      </c>
      <c r="G179" s="4">
        <v>2</v>
      </c>
      <c r="H179" s="4">
        <v>5</v>
      </c>
      <c r="I179" s="4">
        <v>4</v>
      </c>
      <c r="J179" s="4">
        <v>-5</v>
      </c>
      <c r="K179" s="4">
        <v>-2</v>
      </c>
      <c r="L179" s="4">
        <v>-0.5</v>
      </c>
      <c r="M179" s="4">
        <v>-1</v>
      </c>
      <c r="N179" s="4">
        <v>-3.5</v>
      </c>
      <c r="O179" s="4">
        <v>4</v>
      </c>
      <c r="P179" s="4">
        <v>1</v>
      </c>
      <c r="Q179" s="7" t="s">
        <v>378</v>
      </c>
      <c r="R179" s="7" t="s">
        <v>37</v>
      </c>
    </row>
    <row r="180" spans="1:18">
      <c r="A180" s="4" t="s">
        <v>379</v>
      </c>
      <c r="B180" s="4">
        <v>-2</v>
      </c>
      <c r="C180" s="4">
        <v>-5.5</v>
      </c>
      <c r="D180" s="4">
        <v>4</v>
      </c>
      <c r="E180" s="4">
        <v>-2.5</v>
      </c>
      <c r="F180" s="4">
        <v>4</v>
      </c>
      <c r="G180" s="4">
        <v>1</v>
      </c>
      <c r="H180" s="4">
        <v>-2</v>
      </c>
      <c r="I180" s="4">
        <v>-2</v>
      </c>
      <c r="J180" s="4">
        <v>-5</v>
      </c>
      <c r="K180" s="4">
        <v>-5.5</v>
      </c>
      <c r="L180" s="4">
        <v>0</v>
      </c>
      <c r="M180" s="4">
        <v>3</v>
      </c>
      <c r="N180" s="4">
        <v>1</v>
      </c>
      <c r="O180" s="4">
        <v>4</v>
      </c>
      <c r="P180" s="4">
        <v>1</v>
      </c>
      <c r="Q180" s="7" t="s">
        <v>380</v>
      </c>
      <c r="R180" s="7" t="s">
        <v>40</v>
      </c>
    </row>
    <row r="181" spans="1:18">
      <c r="A181" s="4" t="s">
        <v>381</v>
      </c>
      <c r="B181" s="4">
        <v>3</v>
      </c>
      <c r="C181" s="4">
        <v>3</v>
      </c>
      <c r="D181" s="4">
        <v>-2</v>
      </c>
      <c r="E181" s="4">
        <v>-1</v>
      </c>
      <c r="F181" s="4">
        <v>-3</v>
      </c>
      <c r="G181" s="4">
        <v>-3</v>
      </c>
      <c r="H181" s="4">
        <v>2</v>
      </c>
      <c r="I181" s="4">
        <v>6</v>
      </c>
      <c r="J181" s="4">
        <v>3</v>
      </c>
      <c r="K181" s="4">
        <v>5</v>
      </c>
      <c r="L181" s="4">
        <v>2</v>
      </c>
      <c r="M181" s="4">
        <v>2</v>
      </c>
      <c r="N181" s="4">
        <v>2</v>
      </c>
      <c r="O181" s="4">
        <v>-3</v>
      </c>
      <c r="P181" s="4">
        <v>0</v>
      </c>
      <c r="Q181" s="7" t="s">
        <v>382</v>
      </c>
      <c r="R181" s="7" t="s">
        <v>31</v>
      </c>
    </row>
    <row r="182" spans="1:18">
      <c r="A182" s="4" t="s">
        <v>383</v>
      </c>
      <c r="B182" s="4">
        <v>-1</v>
      </c>
      <c r="C182" s="4">
        <v>4</v>
      </c>
      <c r="D182" s="4">
        <v>-2</v>
      </c>
      <c r="E182" s="4">
        <v>2</v>
      </c>
      <c r="F182" s="4">
        <v>5</v>
      </c>
      <c r="G182" s="4">
        <v>5.5</v>
      </c>
      <c r="H182" s="4">
        <v>1.5</v>
      </c>
      <c r="I182" s="4">
        <v>4</v>
      </c>
      <c r="J182" s="4">
        <v>9</v>
      </c>
      <c r="K182" s="4">
        <v>-1</v>
      </c>
      <c r="L182" s="4">
        <v>0</v>
      </c>
      <c r="M182" s="4">
        <v>2</v>
      </c>
      <c r="N182" s="4">
        <v>-2</v>
      </c>
      <c r="O182" s="4">
        <v>2</v>
      </c>
      <c r="P182" s="4">
        <v>0</v>
      </c>
      <c r="Q182" s="7" t="s">
        <v>384</v>
      </c>
      <c r="R182" s="7" t="s">
        <v>16</v>
      </c>
    </row>
    <row r="183" spans="1:18">
      <c r="A183" s="4" t="s">
        <v>385</v>
      </c>
      <c r="B183" s="4">
        <v>-1</v>
      </c>
      <c r="C183" s="4">
        <v>-2</v>
      </c>
      <c r="D183" s="4">
        <v>4</v>
      </c>
      <c r="E183" s="4">
        <v>6</v>
      </c>
      <c r="F183" s="4">
        <v>1</v>
      </c>
      <c r="G183" s="4">
        <v>-10</v>
      </c>
      <c r="H183" s="4">
        <v>-2</v>
      </c>
      <c r="I183" s="4">
        <v>-3</v>
      </c>
      <c r="J183" s="4">
        <v>-6</v>
      </c>
      <c r="K183" s="4">
        <v>3.5</v>
      </c>
      <c r="L183" s="4">
        <v>-1</v>
      </c>
      <c r="M183" s="4">
        <v>3</v>
      </c>
      <c r="N183" s="4">
        <v>4</v>
      </c>
      <c r="O183" s="4">
        <v>3</v>
      </c>
      <c r="P183" s="4">
        <v>1</v>
      </c>
      <c r="Q183" s="7" t="s">
        <v>386</v>
      </c>
      <c r="R183" s="7" t="s">
        <v>19</v>
      </c>
    </row>
    <row r="184" spans="1:18">
      <c r="A184" s="4" t="s">
        <v>387</v>
      </c>
      <c r="B184" s="4">
        <v>-4</v>
      </c>
      <c r="C184" s="4">
        <v>2</v>
      </c>
      <c r="D184" s="4">
        <v>4</v>
      </c>
      <c r="E184" s="4">
        <v>-1</v>
      </c>
      <c r="F184" s="4">
        <v>-1</v>
      </c>
      <c r="G184" s="4">
        <v>2</v>
      </c>
      <c r="H184" s="4">
        <v>4.5</v>
      </c>
      <c r="I184" s="4">
        <v>-1</v>
      </c>
      <c r="J184" s="4">
        <v>-5</v>
      </c>
      <c r="K184" s="4">
        <v>1.5</v>
      </c>
      <c r="L184" s="4">
        <v>1</v>
      </c>
      <c r="M184" s="4">
        <v>-4</v>
      </c>
      <c r="N184" s="4">
        <v>-5</v>
      </c>
      <c r="O184" s="4">
        <v>4</v>
      </c>
      <c r="P184" s="4">
        <v>1</v>
      </c>
      <c r="Q184" s="7" t="s">
        <v>388</v>
      </c>
      <c r="R184" s="7" t="s">
        <v>22</v>
      </c>
    </row>
    <row r="185" spans="1:18">
      <c r="A185" s="4" t="s">
        <v>389</v>
      </c>
      <c r="B185" s="4">
        <v>-8</v>
      </c>
      <c r="C185" s="4">
        <v>8</v>
      </c>
      <c r="D185" s="4">
        <v>1</v>
      </c>
      <c r="E185" s="4">
        <v>5.5</v>
      </c>
      <c r="F185" s="4">
        <v>8</v>
      </c>
      <c r="G185" s="4">
        <v>0</v>
      </c>
      <c r="H185" s="4">
        <v>-3</v>
      </c>
      <c r="I185" s="4">
        <v>3</v>
      </c>
      <c r="J185" s="4">
        <v>3</v>
      </c>
      <c r="K185" s="4">
        <v>4</v>
      </c>
      <c r="L185" s="4">
        <v>-4</v>
      </c>
      <c r="M185" s="4">
        <v>-7</v>
      </c>
      <c r="N185" s="4">
        <v>-8</v>
      </c>
      <c r="O185" s="4">
        <v>1</v>
      </c>
      <c r="P185" s="4">
        <v>1</v>
      </c>
      <c r="Q185" s="7" t="s">
        <v>390</v>
      </c>
      <c r="R185" s="7" t="s">
        <v>25</v>
      </c>
    </row>
    <row r="186" spans="1:18">
      <c r="A186" s="4" t="s">
        <v>391</v>
      </c>
      <c r="B186" s="4">
        <v>-3</v>
      </c>
      <c r="C186" s="4">
        <v>0.5</v>
      </c>
      <c r="D186" s="4">
        <v>-1</v>
      </c>
      <c r="E186" s="4">
        <v>0.5</v>
      </c>
      <c r="F186" s="4">
        <v>-3</v>
      </c>
      <c r="G186" s="4">
        <v>-1</v>
      </c>
      <c r="H186" s="4">
        <v>5</v>
      </c>
      <c r="I186" s="4">
        <v>0</v>
      </c>
      <c r="J186" s="4">
        <v>1</v>
      </c>
      <c r="K186" s="4">
        <v>6</v>
      </c>
      <c r="L186" s="4">
        <v>0</v>
      </c>
      <c r="M186" s="4">
        <v>-4</v>
      </c>
      <c r="N186" s="4">
        <v>5</v>
      </c>
      <c r="O186" s="4">
        <v>-3</v>
      </c>
      <c r="P186" s="4">
        <v>1</v>
      </c>
      <c r="Q186" s="7" t="s">
        <v>392</v>
      </c>
      <c r="R186" s="7" t="s">
        <v>28</v>
      </c>
    </row>
    <row r="187" spans="1:18">
      <c r="A187" s="4" t="s">
        <v>393</v>
      </c>
      <c r="B187" s="4">
        <v>-12</v>
      </c>
      <c r="C187" s="4">
        <v>0.5</v>
      </c>
      <c r="D187" s="4">
        <v>-12</v>
      </c>
      <c r="E187" s="4">
        <v>4</v>
      </c>
      <c r="F187" s="4">
        <v>3</v>
      </c>
      <c r="G187" s="4">
        <v>3</v>
      </c>
      <c r="H187" s="4">
        <v>0.5</v>
      </c>
      <c r="I187" s="4">
        <v>7</v>
      </c>
      <c r="J187" s="4">
        <v>0</v>
      </c>
      <c r="K187" s="4">
        <v>-5</v>
      </c>
      <c r="L187" s="4">
        <v>5</v>
      </c>
      <c r="M187" s="4">
        <v>0.5</v>
      </c>
      <c r="N187" s="4">
        <v>-10</v>
      </c>
      <c r="O187" s="4">
        <v>-2</v>
      </c>
      <c r="P187" s="4">
        <v>0</v>
      </c>
      <c r="Q187" s="7" t="s">
        <v>394</v>
      </c>
      <c r="R187" s="7" t="s">
        <v>31</v>
      </c>
    </row>
    <row r="188" spans="1:18">
      <c r="A188" s="4" t="s">
        <v>395</v>
      </c>
      <c r="B188" s="4">
        <v>-4</v>
      </c>
      <c r="C188" s="4">
        <v>3</v>
      </c>
      <c r="D188" s="4">
        <v>-2</v>
      </c>
      <c r="E188" s="4">
        <v>-4</v>
      </c>
      <c r="F188" s="4">
        <v>-6</v>
      </c>
      <c r="G188" s="4">
        <v>-5</v>
      </c>
      <c r="H188" s="4">
        <v>-5.5</v>
      </c>
      <c r="I188" s="4">
        <v>-3</v>
      </c>
      <c r="J188" s="4">
        <v>-8</v>
      </c>
      <c r="K188" s="4">
        <v>-3</v>
      </c>
      <c r="L188" s="4">
        <v>-2</v>
      </c>
      <c r="M188" s="4">
        <v>3</v>
      </c>
      <c r="N188" s="4">
        <v>5.5</v>
      </c>
      <c r="O188" s="4">
        <v>7</v>
      </c>
      <c r="P188" s="4">
        <v>1</v>
      </c>
      <c r="Q188" s="7" t="s">
        <v>396</v>
      </c>
      <c r="R188" s="7" t="s">
        <v>34</v>
      </c>
    </row>
    <row r="189" spans="1:18">
      <c r="A189" s="4" t="s">
        <v>397</v>
      </c>
      <c r="B189" s="4">
        <v>-2</v>
      </c>
      <c r="C189" s="4">
        <v>6</v>
      </c>
      <c r="D189" s="4">
        <v>-2</v>
      </c>
      <c r="E189" s="4">
        <v>-7</v>
      </c>
      <c r="F189" s="4">
        <v>-2</v>
      </c>
      <c r="G189" s="4">
        <v>-2</v>
      </c>
      <c r="H189" s="4">
        <v>0</v>
      </c>
      <c r="I189" s="4">
        <v>5</v>
      </c>
      <c r="J189" s="4">
        <v>-8.5</v>
      </c>
      <c r="K189" s="4">
        <v>1</v>
      </c>
      <c r="L189" s="4">
        <v>6</v>
      </c>
      <c r="M189" s="4">
        <v>-7.5</v>
      </c>
      <c r="N189" s="4">
        <v>1</v>
      </c>
      <c r="O189" s="4">
        <v>4</v>
      </c>
      <c r="P189" s="4">
        <v>0</v>
      </c>
      <c r="Q189" s="7" t="s">
        <v>398</v>
      </c>
      <c r="R189" s="7" t="s">
        <v>37</v>
      </c>
    </row>
    <row r="190" spans="1:18">
      <c r="A190" s="4" t="s">
        <v>399</v>
      </c>
      <c r="B190" s="4">
        <v>-1</v>
      </c>
      <c r="C190" s="4">
        <v>3</v>
      </c>
      <c r="D190" s="4">
        <v>-5</v>
      </c>
      <c r="E190" s="4">
        <v>-6</v>
      </c>
      <c r="F190" s="4">
        <v>-1</v>
      </c>
      <c r="G190" s="4">
        <v>-1</v>
      </c>
      <c r="H190" s="4">
        <v>-2</v>
      </c>
      <c r="I190" s="4">
        <v>6</v>
      </c>
      <c r="J190" s="4">
        <v>-1</v>
      </c>
      <c r="K190" s="4">
        <v>3</v>
      </c>
      <c r="L190" s="4">
        <v>3</v>
      </c>
      <c r="M190" s="4">
        <v>0</v>
      </c>
      <c r="N190" s="4">
        <v>3</v>
      </c>
      <c r="O190" s="4">
        <v>-0.5</v>
      </c>
      <c r="P190" s="4">
        <v>1</v>
      </c>
      <c r="Q190" s="7" t="s">
        <v>400</v>
      </c>
      <c r="R190" s="7" t="s">
        <v>40</v>
      </c>
    </row>
    <row r="191" spans="1:18">
      <c r="A191" s="4" t="s">
        <v>401</v>
      </c>
      <c r="B191" s="4">
        <v>5</v>
      </c>
      <c r="C191" s="4">
        <v>4</v>
      </c>
      <c r="D191" s="4">
        <v>-4</v>
      </c>
      <c r="E191" s="4">
        <v>-2</v>
      </c>
      <c r="F191" s="4">
        <v>-1</v>
      </c>
      <c r="G191" s="4">
        <v>3</v>
      </c>
      <c r="H191" s="4">
        <v>5</v>
      </c>
      <c r="I191" s="4">
        <v>1</v>
      </c>
      <c r="J191" s="4">
        <v>4</v>
      </c>
      <c r="K191" s="4">
        <v>7</v>
      </c>
      <c r="L191" s="4">
        <v>9</v>
      </c>
      <c r="M191" s="4">
        <v>3</v>
      </c>
      <c r="N191" s="4">
        <v>0</v>
      </c>
      <c r="O191" s="4">
        <v>-1</v>
      </c>
      <c r="P191" s="4">
        <v>0</v>
      </c>
      <c r="Q191" s="7" t="s">
        <v>402</v>
      </c>
      <c r="R191" s="7" t="s">
        <v>31</v>
      </c>
    </row>
    <row r="192" spans="1:18">
      <c r="A192" s="4" t="s">
        <v>403</v>
      </c>
      <c r="B192" s="4">
        <v>4</v>
      </c>
      <c r="C192" s="4">
        <v>4</v>
      </c>
      <c r="D192" s="4">
        <v>-8.5</v>
      </c>
      <c r="E192" s="4">
        <v>-1</v>
      </c>
      <c r="F192" s="4">
        <v>3</v>
      </c>
      <c r="G192" s="4">
        <v>-8</v>
      </c>
      <c r="H192" s="4">
        <v>-3</v>
      </c>
      <c r="I192" s="4">
        <v>4</v>
      </c>
      <c r="J192" s="4">
        <v>1</v>
      </c>
      <c r="K192" s="4">
        <v>5</v>
      </c>
      <c r="L192" s="4">
        <v>3</v>
      </c>
      <c r="M192" s="4">
        <v>-5.5</v>
      </c>
      <c r="N192" s="4">
        <v>-1</v>
      </c>
      <c r="O192" s="4">
        <v>3</v>
      </c>
      <c r="P192" s="4">
        <v>0</v>
      </c>
      <c r="Q192" s="7" t="s">
        <v>404</v>
      </c>
      <c r="R192" s="7" t="s">
        <v>16</v>
      </c>
    </row>
    <row r="193" spans="1:18">
      <c r="A193" s="4" t="s">
        <v>405</v>
      </c>
      <c r="B193" s="4">
        <v>3</v>
      </c>
      <c r="C193" s="4">
        <v>2</v>
      </c>
      <c r="D193" s="4">
        <v>-1</v>
      </c>
      <c r="E193" s="4">
        <v>0</v>
      </c>
      <c r="F193" s="4">
        <v>-2</v>
      </c>
      <c r="G193" s="4">
        <v>2.5</v>
      </c>
      <c r="H193" s="4">
        <v>2</v>
      </c>
      <c r="I193" s="4">
        <v>1</v>
      </c>
      <c r="J193" s="4">
        <v>3</v>
      </c>
      <c r="K193" s="4">
        <v>-4</v>
      </c>
      <c r="L193" s="4">
        <v>0</v>
      </c>
      <c r="M193" s="4">
        <v>-4</v>
      </c>
      <c r="N193" s="4">
        <v>4</v>
      </c>
      <c r="O193" s="4">
        <v>2</v>
      </c>
      <c r="P193" s="4">
        <v>1</v>
      </c>
      <c r="Q193" s="7" t="s">
        <v>406</v>
      </c>
      <c r="R193" s="7" t="s">
        <v>19</v>
      </c>
    </row>
    <row r="194" spans="1:18">
      <c r="A194" s="4" t="s">
        <v>407</v>
      </c>
      <c r="B194" s="4">
        <v>-2.5</v>
      </c>
      <c r="C194" s="4">
        <v>-8</v>
      </c>
      <c r="D194" s="4">
        <v>0</v>
      </c>
      <c r="E194" s="4">
        <v>1</v>
      </c>
      <c r="F194" s="4">
        <v>-4</v>
      </c>
      <c r="G194" s="4">
        <v>-8</v>
      </c>
      <c r="H194" s="4">
        <v>5</v>
      </c>
      <c r="I194" s="4">
        <v>2</v>
      </c>
      <c r="J194" s="4">
        <v>-12</v>
      </c>
      <c r="K194" s="4">
        <v>-2.5</v>
      </c>
      <c r="L194" s="4">
        <v>1.5</v>
      </c>
      <c r="M194" s="4">
        <v>-9</v>
      </c>
      <c r="N194" s="4">
        <v>5</v>
      </c>
      <c r="O194" s="4">
        <v>-4</v>
      </c>
      <c r="P194" s="4">
        <v>0</v>
      </c>
      <c r="Q194" s="7" t="s">
        <v>408</v>
      </c>
      <c r="R194" s="7" t="s">
        <v>22</v>
      </c>
    </row>
    <row r="195" spans="1:18">
      <c r="A195" s="4" t="s">
        <v>409</v>
      </c>
      <c r="B195" s="4">
        <v>-1</v>
      </c>
      <c r="C195" s="4">
        <v>4</v>
      </c>
      <c r="D195" s="4">
        <v>-2.5</v>
      </c>
      <c r="E195" s="4">
        <v>-1</v>
      </c>
      <c r="F195" s="4">
        <v>4</v>
      </c>
      <c r="G195" s="4">
        <v>-1</v>
      </c>
      <c r="H195" s="4">
        <v>-4</v>
      </c>
      <c r="I195" s="4">
        <v>7</v>
      </c>
      <c r="J195" s="4">
        <v>-11</v>
      </c>
      <c r="K195" s="4">
        <v>4</v>
      </c>
      <c r="L195" s="4">
        <v>-1</v>
      </c>
      <c r="M195" s="4">
        <v>-5.5</v>
      </c>
      <c r="N195" s="4">
        <v>-1</v>
      </c>
      <c r="O195" s="4">
        <v>1</v>
      </c>
      <c r="P195" s="4">
        <v>1</v>
      </c>
      <c r="Q195" s="7" t="s">
        <v>410</v>
      </c>
      <c r="R195" s="7" t="s">
        <v>25</v>
      </c>
    </row>
    <row r="196" spans="1:18">
      <c r="A196" s="4" t="s">
        <v>411</v>
      </c>
      <c r="B196" s="4">
        <v>0</v>
      </c>
      <c r="C196" s="4">
        <v>-1.5</v>
      </c>
      <c r="D196" s="4">
        <v>-5</v>
      </c>
      <c r="E196" s="4">
        <v>-1.5</v>
      </c>
      <c r="F196" s="4">
        <v>-2</v>
      </c>
      <c r="G196" s="4">
        <v>-2.5</v>
      </c>
      <c r="H196" s="4">
        <v>2</v>
      </c>
      <c r="I196" s="4">
        <v>0</v>
      </c>
      <c r="J196" s="4">
        <v>1</v>
      </c>
      <c r="K196" s="4">
        <v>-1</v>
      </c>
      <c r="L196" s="4">
        <v>5</v>
      </c>
      <c r="M196" s="4">
        <v>0</v>
      </c>
      <c r="N196" s="4">
        <v>-3</v>
      </c>
      <c r="O196" s="4">
        <v>-3</v>
      </c>
      <c r="P196" s="4">
        <v>0</v>
      </c>
      <c r="Q196" s="7" t="s">
        <v>412</v>
      </c>
      <c r="R196" s="7" t="s">
        <v>28</v>
      </c>
    </row>
    <row r="197" spans="1:18">
      <c r="A197" s="4" t="s">
        <v>413</v>
      </c>
      <c r="B197" s="4">
        <v>-3</v>
      </c>
      <c r="C197" s="4">
        <v>1</v>
      </c>
      <c r="D197" s="4">
        <v>-6</v>
      </c>
      <c r="E197" s="4">
        <v>-1</v>
      </c>
      <c r="F197" s="4">
        <v>1</v>
      </c>
      <c r="G197" s="4">
        <v>-3.5</v>
      </c>
      <c r="H197" s="4">
        <v>1</v>
      </c>
      <c r="I197" s="4">
        <v>1</v>
      </c>
      <c r="J197" s="4">
        <v>3</v>
      </c>
      <c r="K197" s="4">
        <v>0</v>
      </c>
      <c r="L197" s="4">
        <v>5</v>
      </c>
      <c r="M197" s="4">
        <v>-0.5</v>
      </c>
      <c r="N197" s="4">
        <v>-3</v>
      </c>
      <c r="O197" s="4">
        <v>2</v>
      </c>
      <c r="P197" s="4">
        <v>1</v>
      </c>
      <c r="Q197" s="7" t="s">
        <v>414</v>
      </c>
      <c r="R197" s="7" t="s">
        <v>16</v>
      </c>
    </row>
    <row r="198" spans="1:18">
      <c r="A198" s="4" t="s">
        <v>415</v>
      </c>
      <c r="B198" s="4">
        <v>5.5</v>
      </c>
      <c r="C198" s="4">
        <v>6</v>
      </c>
      <c r="D198" s="4">
        <v>4</v>
      </c>
      <c r="E198" s="4">
        <v>3</v>
      </c>
      <c r="F198" s="4">
        <v>5</v>
      </c>
      <c r="G198" s="4">
        <v>-4</v>
      </c>
      <c r="H198" s="4">
        <v>-1</v>
      </c>
      <c r="I198" s="4">
        <v>-0.5</v>
      </c>
      <c r="J198" s="4">
        <v>7</v>
      </c>
      <c r="K198" s="4">
        <v>3</v>
      </c>
      <c r="L198" s="4">
        <v>0</v>
      </c>
      <c r="M198" s="4">
        <v>6</v>
      </c>
      <c r="N198" s="4">
        <v>0</v>
      </c>
      <c r="O198" s="4">
        <v>5.5</v>
      </c>
      <c r="P198" s="4">
        <v>0</v>
      </c>
      <c r="Q198" s="7" t="s">
        <v>416</v>
      </c>
      <c r="R198" s="7" t="s">
        <v>34</v>
      </c>
    </row>
    <row r="199" spans="1:18">
      <c r="A199" s="4" t="s">
        <v>417</v>
      </c>
      <c r="B199" s="4">
        <v>-2</v>
      </c>
      <c r="C199" s="4">
        <v>-4</v>
      </c>
      <c r="D199" s="4">
        <v>-2</v>
      </c>
      <c r="E199" s="4">
        <v>2.5</v>
      </c>
      <c r="F199" s="4">
        <v>3</v>
      </c>
      <c r="G199" s="4">
        <v>6</v>
      </c>
      <c r="H199" s="4">
        <v>4</v>
      </c>
      <c r="I199" s="4">
        <v>3</v>
      </c>
      <c r="J199" s="4">
        <v>-6</v>
      </c>
      <c r="K199" s="4">
        <v>0</v>
      </c>
      <c r="L199" s="4">
        <v>-4</v>
      </c>
      <c r="M199" s="4">
        <v>-7</v>
      </c>
      <c r="N199" s="4">
        <v>-2</v>
      </c>
      <c r="O199" s="4">
        <v>-5</v>
      </c>
      <c r="P199" s="4">
        <v>0</v>
      </c>
      <c r="Q199" s="7" t="s">
        <v>418</v>
      </c>
      <c r="R199" s="7" t="s">
        <v>37</v>
      </c>
    </row>
    <row r="200" spans="1:18">
      <c r="A200" s="4" t="s">
        <v>419</v>
      </c>
      <c r="B200" s="4">
        <v>-1</v>
      </c>
      <c r="C200" s="4">
        <v>1</v>
      </c>
      <c r="D200" s="4">
        <v>8</v>
      </c>
      <c r="E200" s="4">
        <v>-1</v>
      </c>
      <c r="F200" s="4">
        <v>2</v>
      </c>
      <c r="G200" s="4">
        <v>-3.5</v>
      </c>
      <c r="H200" s="4">
        <v>-2</v>
      </c>
      <c r="I200" s="4">
        <v>4</v>
      </c>
      <c r="J200" s="4">
        <v>-1</v>
      </c>
      <c r="K200" s="4">
        <v>1</v>
      </c>
      <c r="L200" s="4">
        <v>-4</v>
      </c>
      <c r="M200" s="4">
        <v>2</v>
      </c>
      <c r="N200" s="4">
        <v>-1</v>
      </c>
      <c r="O200" s="4">
        <v>6</v>
      </c>
      <c r="P200" s="4">
        <v>1</v>
      </c>
      <c r="Q200" s="7" t="s">
        <v>420</v>
      </c>
      <c r="R200" s="7" t="s">
        <v>40</v>
      </c>
    </row>
    <row r="201" spans="1:18">
      <c r="A201" s="4" t="s">
        <v>421</v>
      </c>
      <c r="B201" s="4">
        <v>-3</v>
      </c>
      <c r="C201" s="4">
        <v>5</v>
      </c>
      <c r="D201" s="4">
        <v>2.5</v>
      </c>
      <c r="E201" s="4">
        <v>-4</v>
      </c>
      <c r="F201" s="4">
        <v>-3</v>
      </c>
      <c r="G201" s="4">
        <v>-8</v>
      </c>
      <c r="H201" s="4">
        <v>5</v>
      </c>
      <c r="I201" s="4">
        <v>-2</v>
      </c>
      <c r="J201" s="4">
        <v>5</v>
      </c>
      <c r="K201" s="4">
        <v>0</v>
      </c>
      <c r="L201" s="4">
        <v>1</v>
      </c>
      <c r="M201" s="4">
        <v>2</v>
      </c>
      <c r="N201" s="4">
        <v>2</v>
      </c>
      <c r="O201" s="4">
        <v>-3</v>
      </c>
      <c r="P201" s="4">
        <v>0</v>
      </c>
      <c r="Q201" s="7" t="s">
        <v>422</v>
      </c>
      <c r="R201" s="7" t="s">
        <v>31</v>
      </c>
    </row>
    <row r="202" spans="1:18">
      <c r="A202" s="4" t="s">
        <v>423</v>
      </c>
      <c r="B202" s="4">
        <v>-6.5</v>
      </c>
      <c r="C202" s="4">
        <v>-0.5</v>
      </c>
      <c r="D202" s="4">
        <v>-12</v>
      </c>
      <c r="E202" s="4">
        <v>0</v>
      </c>
      <c r="F202" s="4">
        <v>5</v>
      </c>
      <c r="G202" s="4">
        <v>-6.5</v>
      </c>
      <c r="H202" s="4">
        <v>0</v>
      </c>
      <c r="I202" s="4">
        <v>-0.5</v>
      </c>
      <c r="J202" s="4">
        <v>-6</v>
      </c>
      <c r="K202" s="4">
        <v>-1</v>
      </c>
      <c r="L202" s="4">
        <v>0</v>
      </c>
      <c r="M202" s="4">
        <v>-8</v>
      </c>
      <c r="N202" s="4">
        <v>-2</v>
      </c>
      <c r="O202" s="4">
        <v>1</v>
      </c>
      <c r="P202" s="4">
        <v>1</v>
      </c>
      <c r="Q202" s="7" t="s">
        <v>424</v>
      </c>
      <c r="R202" s="7" t="s">
        <v>16</v>
      </c>
    </row>
    <row r="203" spans="1:18">
      <c r="A203" s="4" t="s">
        <v>425</v>
      </c>
      <c r="B203" s="4">
        <v>-3</v>
      </c>
      <c r="C203" s="4">
        <v>-3</v>
      </c>
      <c r="D203" s="4">
        <v>2</v>
      </c>
      <c r="E203" s="4">
        <v>0</v>
      </c>
      <c r="F203" s="4">
        <v>3</v>
      </c>
      <c r="G203" s="4">
        <v>-4</v>
      </c>
      <c r="H203" s="4">
        <v>-3</v>
      </c>
      <c r="I203" s="4">
        <v>-2.5</v>
      </c>
      <c r="J203" s="4">
        <v>-3</v>
      </c>
      <c r="K203" s="4">
        <v>-4</v>
      </c>
      <c r="L203" s="4">
        <v>-1</v>
      </c>
      <c r="M203" s="4">
        <v>-3</v>
      </c>
      <c r="N203" s="4">
        <v>0</v>
      </c>
      <c r="O203" s="4">
        <v>2</v>
      </c>
      <c r="P203" s="4">
        <v>0</v>
      </c>
      <c r="Q203" s="7" t="s">
        <v>426</v>
      </c>
      <c r="R203" s="7" t="s">
        <v>19</v>
      </c>
    </row>
    <row r="204" spans="1:18">
      <c r="A204" s="4" t="s">
        <v>427</v>
      </c>
      <c r="B204" s="4">
        <v>3</v>
      </c>
      <c r="C204" s="4">
        <v>-2</v>
      </c>
      <c r="D204" s="4">
        <v>-1</v>
      </c>
      <c r="E204" s="4">
        <v>-7</v>
      </c>
      <c r="F204" s="4">
        <v>-2</v>
      </c>
      <c r="G204" s="4">
        <v>-2</v>
      </c>
      <c r="H204" s="4">
        <v>1</v>
      </c>
      <c r="I204" s="4">
        <v>3</v>
      </c>
      <c r="J204" s="4">
        <v>-8.5</v>
      </c>
      <c r="K204" s="4">
        <v>1</v>
      </c>
      <c r="L204" s="4">
        <v>6</v>
      </c>
      <c r="M204" s="4">
        <v>-7.5</v>
      </c>
      <c r="N204" s="4">
        <v>1</v>
      </c>
      <c r="O204" s="4">
        <v>4</v>
      </c>
      <c r="P204" s="4">
        <v>0</v>
      </c>
      <c r="Q204" s="7" t="s">
        <v>428</v>
      </c>
      <c r="R204" s="7" t="s">
        <v>22</v>
      </c>
    </row>
    <row r="205" spans="1:18">
      <c r="A205" s="4" t="s">
        <v>429</v>
      </c>
      <c r="B205" s="4">
        <v>0</v>
      </c>
      <c r="C205" s="4">
        <v>7.5</v>
      </c>
      <c r="D205" s="4">
        <v>-2</v>
      </c>
      <c r="E205" s="4">
        <v>-1</v>
      </c>
      <c r="F205" s="4">
        <v>7.5</v>
      </c>
      <c r="G205" s="4">
        <v>4</v>
      </c>
      <c r="H205" s="4">
        <v>-1</v>
      </c>
      <c r="I205" s="4">
        <v>8.5</v>
      </c>
      <c r="J205" s="4">
        <v>0</v>
      </c>
      <c r="K205" s="4">
        <v>-5</v>
      </c>
      <c r="L205" s="4">
        <v>7</v>
      </c>
      <c r="M205" s="4">
        <v>6</v>
      </c>
      <c r="N205" s="4">
        <v>1</v>
      </c>
      <c r="O205" s="4">
        <v>8</v>
      </c>
      <c r="P205" s="4">
        <v>0</v>
      </c>
      <c r="Q205" s="7" t="s">
        <v>430</v>
      </c>
      <c r="R205" s="7" t="s">
        <v>25</v>
      </c>
    </row>
    <row r="206" spans="1:18">
      <c r="A206" s="4" t="s">
        <v>431</v>
      </c>
      <c r="B206" s="4">
        <v>0</v>
      </c>
      <c r="C206" s="4">
        <v>4</v>
      </c>
      <c r="D206" s="4">
        <v>0</v>
      </c>
      <c r="E206" s="4">
        <v>4</v>
      </c>
      <c r="F206" s="4">
        <v>-3</v>
      </c>
      <c r="G206" s="4">
        <v>2</v>
      </c>
      <c r="H206" s="4">
        <v>5</v>
      </c>
      <c r="I206" s="4">
        <v>-5</v>
      </c>
      <c r="J206" s="4">
        <v>3</v>
      </c>
      <c r="K206" s="4">
        <v>0</v>
      </c>
      <c r="L206" s="4">
        <v>-1</v>
      </c>
      <c r="M206" s="4">
        <v>2.5</v>
      </c>
      <c r="N206" s="4">
        <v>4</v>
      </c>
      <c r="O206" s="4">
        <v>-2</v>
      </c>
      <c r="P206" s="4">
        <v>1</v>
      </c>
      <c r="Q206" s="7" t="s">
        <v>432</v>
      </c>
      <c r="R206" s="7" t="s">
        <v>28</v>
      </c>
    </row>
    <row r="207" spans="1:18">
      <c r="A207" s="4" t="s">
        <v>433</v>
      </c>
      <c r="B207" s="4">
        <v>3.5</v>
      </c>
      <c r="C207" s="4">
        <v>-2</v>
      </c>
      <c r="D207" s="4">
        <v>-1</v>
      </c>
      <c r="E207" s="4">
        <v>6</v>
      </c>
      <c r="F207" s="4">
        <v>3</v>
      </c>
      <c r="G207" s="4">
        <v>4</v>
      </c>
      <c r="H207" s="4">
        <v>2</v>
      </c>
      <c r="I207" s="4">
        <v>2.5</v>
      </c>
      <c r="J207" s="4">
        <v>-2</v>
      </c>
      <c r="K207" s="4">
        <v>3</v>
      </c>
      <c r="L207" s="4">
        <v>3.5</v>
      </c>
      <c r="M207" s="4">
        <v>0</v>
      </c>
      <c r="N207" s="4">
        <v>-8</v>
      </c>
      <c r="O207" s="4">
        <v>-1</v>
      </c>
      <c r="P207" s="4">
        <v>0</v>
      </c>
      <c r="Q207" s="7" t="s">
        <v>434</v>
      </c>
      <c r="R207" s="7" t="s">
        <v>19</v>
      </c>
    </row>
    <row r="208" spans="1:18">
      <c r="A208" s="4" t="s">
        <v>435</v>
      </c>
      <c r="B208" s="4">
        <v>-1</v>
      </c>
      <c r="C208" s="4">
        <v>-1</v>
      </c>
      <c r="D208" s="4">
        <v>0</v>
      </c>
      <c r="E208" s="4">
        <v>-5</v>
      </c>
      <c r="F208" s="4">
        <v>6.5</v>
      </c>
      <c r="G208" s="4">
        <v>-8</v>
      </c>
      <c r="H208" s="4">
        <v>-2.5</v>
      </c>
      <c r="I208" s="4">
        <v>-3</v>
      </c>
      <c r="J208" s="4">
        <v>-0.5</v>
      </c>
      <c r="K208" s="4">
        <v>-4</v>
      </c>
      <c r="L208" s="4">
        <v>-10</v>
      </c>
      <c r="M208" s="4">
        <v>-1</v>
      </c>
      <c r="N208" s="4">
        <v>-5</v>
      </c>
      <c r="O208" s="4">
        <v>-2</v>
      </c>
      <c r="P208" s="4">
        <v>0</v>
      </c>
      <c r="Q208" s="7" t="s">
        <v>436</v>
      </c>
      <c r="R208" s="7" t="s">
        <v>34</v>
      </c>
    </row>
    <row r="209" spans="1:18">
      <c r="A209" s="4" t="s">
        <v>437</v>
      </c>
      <c r="B209" s="4">
        <v>-5</v>
      </c>
      <c r="C209" s="4">
        <v>3.5</v>
      </c>
      <c r="D209" s="4">
        <v>-4</v>
      </c>
      <c r="E209" s="4">
        <v>3</v>
      </c>
      <c r="F209" s="4">
        <v>-2.5</v>
      </c>
      <c r="G209" s="4">
        <v>-1</v>
      </c>
      <c r="H209" s="4">
        <v>-2</v>
      </c>
      <c r="I209" s="4">
        <v>-0.5</v>
      </c>
      <c r="J209" s="4">
        <v>-5</v>
      </c>
      <c r="K209" s="4">
        <v>-6</v>
      </c>
      <c r="L209" s="4">
        <v>3.5</v>
      </c>
      <c r="M209" s="4">
        <v>1</v>
      </c>
      <c r="N209" s="4">
        <v>-5</v>
      </c>
      <c r="O209" s="4">
        <v>-1.5</v>
      </c>
      <c r="P209" s="4">
        <v>1</v>
      </c>
      <c r="Q209" s="7" t="s">
        <v>438</v>
      </c>
      <c r="R209" s="7" t="s">
        <v>37</v>
      </c>
    </row>
    <row r="210" spans="1:18">
      <c r="A210" s="4" t="s">
        <v>439</v>
      </c>
      <c r="B210" s="4">
        <v>7</v>
      </c>
      <c r="C210" s="4">
        <v>2</v>
      </c>
      <c r="D210" s="4">
        <v>1</v>
      </c>
      <c r="E210" s="4">
        <v>-3</v>
      </c>
      <c r="F210" s="4">
        <v>-6</v>
      </c>
      <c r="G210" s="4">
        <v>-5</v>
      </c>
      <c r="H210" s="4">
        <v>-3</v>
      </c>
      <c r="I210" s="4">
        <v>2.5</v>
      </c>
      <c r="J210" s="4">
        <v>1</v>
      </c>
      <c r="K210" s="4">
        <v>2</v>
      </c>
      <c r="L210" s="4">
        <v>3</v>
      </c>
      <c r="M210" s="4">
        <v>-5</v>
      </c>
      <c r="N210" s="4">
        <v>4</v>
      </c>
      <c r="O210" s="4">
        <v>7</v>
      </c>
      <c r="P210" s="4">
        <v>0</v>
      </c>
      <c r="Q210" s="7" t="s">
        <v>440</v>
      </c>
      <c r="R210" s="7" t="s">
        <v>40</v>
      </c>
    </row>
    <row r="211" spans="1:18">
      <c r="A211" s="4" t="s">
        <v>441</v>
      </c>
      <c r="B211" s="4">
        <v>-4</v>
      </c>
      <c r="C211" s="4">
        <v>2</v>
      </c>
      <c r="D211" s="4">
        <v>-4</v>
      </c>
      <c r="E211" s="4">
        <v>-6</v>
      </c>
      <c r="F211" s="4">
        <v>-3</v>
      </c>
      <c r="G211" s="4">
        <v>-2</v>
      </c>
      <c r="H211" s="4">
        <v>1</v>
      </c>
      <c r="I211" s="4">
        <v>0.5</v>
      </c>
      <c r="J211" s="4">
        <v>2</v>
      </c>
      <c r="K211" s="4">
        <v>2.5</v>
      </c>
      <c r="L211" s="4">
        <v>2</v>
      </c>
      <c r="M211" s="4">
        <v>1</v>
      </c>
      <c r="N211" s="4">
        <v>0</v>
      </c>
      <c r="O211" s="4">
        <v>-2</v>
      </c>
      <c r="P211" s="4">
        <v>1</v>
      </c>
      <c r="Q211" s="7" t="s">
        <v>442</v>
      </c>
      <c r="R211" s="7" t="s">
        <v>31</v>
      </c>
    </row>
    <row r="212" spans="1:18">
      <c r="A212" s="4" t="s">
        <v>443</v>
      </c>
      <c r="B212" s="4">
        <v>1</v>
      </c>
      <c r="C212" s="4">
        <v>-2</v>
      </c>
      <c r="D212" s="4">
        <v>-2</v>
      </c>
      <c r="E212" s="4">
        <v>1</v>
      </c>
      <c r="F212" s="4">
        <v>4.5</v>
      </c>
      <c r="G212" s="4">
        <v>2.5</v>
      </c>
      <c r="H212" s="4">
        <v>1</v>
      </c>
      <c r="I212" s="4">
        <v>-2</v>
      </c>
      <c r="J212" s="4">
        <v>2</v>
      </c>
      <c r="K212" s="4">
        <v>3</v>
      </c>
      <c r="L212" s="4">
        <v>5.5</v>
      </c>
      <c r="M212" s="4">
        <v>1</v>
      </c>
      <c r="N212" s="4">
        <v>-2</v>
      </c>
      <c r="O212" s="4">
        <v>3.5</v>
      </c>
      <c r="P212" s="4">
        <v>0</v>
      </c>
      <c r="Q212" s="7" t="s">
        <v>444</v>
      </c>
      <c r="R212" s="7" t="s">
        <v>16</v>
      </c>
    </row>
    <row r="213" spans="1:18">
      <c r="A213" s="4" t="s">
        <v>445</v>
      </c>
      <c r="B213" s="4">
        <v>2</v>
      </c>
      <c r="C213" s="4">
        <v>2</v>
      </c>
      <c r="D213" s="4">
        <v>1</v>
      </c>
      <c r="E213" s="4">
        <v>3</v>
      </c>
      <c r="F213" s="4">
        <v>2</v>
      </c>
      <c r="G213" s="4">
        <v>-1</v>
      </c>
      <c r="H213" s="4">
        <v>2</v>
      </c>
      <c r="I213" s="4">
        <v>6</v>
      </c>
      <c r="J213" s="4">
        <v>5</v>
      </c>
      <c r="K213" s="4">
        <v>2</v>
      </c>
      <c r="L213" s="4">
        <v>-1</v>
      </c>
      <c r="M213" s="4">
        <v>-2</v>
      </c>
      <c r="N213" s="4">
        <v>0</v>
      </c>
      <c r="O213" s="4">
        <v>-3</v>
      </c>
      <c r="P213" s="4">
        <v>1</v>
      </c>
      <c r="Q213" s="7" t="s">
        <v>446</v>
      </c>
      <c r="R213" s="7" t="s">
        <v>19</v>
      </c>
    </row>
    <row r="214" spans="1:18">
      <c r="A214" s="4" t="s">
        <v>447</v>
      </c>
      <c r="B214" s="4">
        <v>-3</v>
      </c>
      <c r="C214" s="4">
        <v>-3</v>
      </c>
      <c r="D214" s="4">
        <v>-7</v>
      </c>
      <c r="E214" s="4">
        <v>-6</v>
      </c>
      <c r="F214" s="4">
        <v>-2</v>
      </c>
      <c r="G214" s="4">
        <v>-3</v>
      </c>
      <c r="H214" s="4">
        <v>-2</v>
      </c>
      <c r="I214" s="4">
        <v>2.5</v>
      </c>
      <c r="J214" s="4">
        <v>-3</v>
      </c>
      <c r="K214" s="4">
        <v>3</v>
      </c>
      <c r="L214" s="4">
        <v>-1</v>
      </c>
      <c r="M214" s="4">
        <v>0</v>
      </c>
      <c r="N214" s="4">
        <v>1</v>
      </c>
      <c r="O214" s="4">
        <v>5.5</v>
      </c>
      <c r="P214" s="4">
        <v>1</v>
      </c>
      <c r="Q214" s="7" t="s">
        <v>448</v>
      </c>
      <c r="R214" s="7" t="s">
        <v>22</v>
      </c>
    </row>
    <row r="215" spans="1:18">
      <c r="A215" s="4" t="s">
        <v>449</v>
      </c>
      <c r="B215" s="4">
        <v>-3</v>
      </c>
      <c r="C215" s="4">
        <v>4.5</v>
      </c>
      <c r="D215" s="4">
        <v>0</v>
      </c>
      <c r="E215" s="4">
        <v>1</v>
      </c>
      <c r="F215" s="4">
        <v>4.5</v>
      </c>
      <c r="G215" s="4">
        <v>6</v>
      </c>
      <c r="H215" s="4">
        <v>-3</v>
      </c>
      <c r="I215" s="4">
        <v>-3</v>
      </c>
      <c r="J215" s="4">
        <v>1</v>
      </c>
      <c r="K215" s="4">
        <v>-2</v>
      </c>
      <c r="L215" s="4">
        <v>-3</v>
      </c>
      <c r="M215" s="4">
        <v>-0.5</v>
      </c>
      <c r="N215" s="4">
        <v>3</v>
      </c>
      <c r="O215" s="4">
        <v>9.5</v>
      </c>
      <c r="P215" s="4">
        <v>0</v>
      </c>
      <c r="Q215" s="7" t="s">
        <v>450</v>
      </c>
      <c r="R215" s="7" t="s">
        <v>25</v>
      </c>
    </row>
    <row r="216" spans="1:18">
      <c r="A216" s="4" t="s">
        <v>451</v>
      </c>
      <c r="B216" s="4">
        <v>-4</v>
      </c>
      <c r="C216" s="4">
        <v>3</v>
      </c>
      <c r="D216" s="4">
        <v>-2</v>
      </c>
      <c r="E216" s="4">
        <v>3</v>
      </c>
      <c r="F216" s="4">
        <v>-5</v>
      </c>
      <c r="G216" s="4">
        <v>-7</v>
      </c>
      <c r="H216" s="4">
        <v>-2</v>
      </c>
      <c r="I216" s="4">
        <v>-4</v>
      </c>
      <c r="J216" s="4">
        <v>1</v>
      </c>
      <c r="K216" s="4">
        <v>1</v>
      </c>
      <c r="L216" s="4">
        <v>1.5</v>
      </c>
      <c r="M216" s="4">
        <v>0</v>
      </c>
      <c r="N216" s="4">
        <v>-1</v>
      </c>
      <c r="O216" s="4">
        <v>-4</v>
      </c>
      <c r="P216" s="4">
        <v>1</v>
      </c>
      <c r="Q216" s="7" t="s">
        <v>452</v>
      </c>
      <c r="R216" s="7" t="s">
        <v>28</v>
      </c>
    </row>
    <row r="217" spans="1:18">
      <c r="A217" s="4" t="s">
        <v>453</v>
      </c>
      <c r="B217" s="4">
        <v>1</v>
      </c>
      <c r="C217" s="4">
        <v>-2</v>
      </c>
      <c r="D217" s="4">
        <v>-3</v>
      </c>
      <c r="E217" s="4">
        <v>-3</v>
      </c>
      <c r="F217" s="4">
        <v>-4.5</v>
      </c>
      <c r="G217" s="4">
        <v>4</v>
      </c>
      <c r="H217" s="4">
        <v>0</v>
      </c>
      <c r="I217" s="4">
        <v>3</v>
      </c>
      <c r="J217" s="4">
        <v>1</v>
      </c>
      <c r="K217" s="4">
        <v>-2</v>
      </c>
      <c r="L217" s="4">
        <v>-2.5</v>
      </c>
      <c r="M217" s="4">
        <v>-4</v>
      </c>
      <c r="N217" s="4">
        <v>-3</v>
      </c>
      <c r="O217" s="4">
        <v>-4.5</v>
      </c>
      <c r="P217" s="4">
        <v>1</v>
      </c>
      <c r="Q217" s="7" t="s">
        <v>454</v>
      </c>
      <c r="R217" s="7" t="s">
        <v>22</v>
      </c>
    </row>
    <row r="218" spans="1:18">
      <c r="A218" s="4" t="s">
        <v>455</v>
      </c>
      <c r="B218" s="4">
        <v>-1</v>
      </c>
      <c r="C218" s="4">
        <v>1</v>
      </c>
      <c r="D218" s="4">
        <v>3</v>
      </c>
      <c r="E218" s="4">
        <v>-1</v>
      </c>
      <c r="F218" s="4">
        <v>0.5</v>
      </c>
      <c r="G218" s="4">
        <v>-5</v>
      </c>
      <c r="H218" s="4">
        <v>-6</v>
      </c>
      <c r="I218" s="4">
        <v>3.5</v>
      </c>
      <c r="J218" s="4">
        <v>-3</v>
      </c>
      <c r="K218" s="4">
        <v>-1</v>
      </c>
      <c r="L218" s="4">
        <v>-2</v>
      </c>
      <c r="M218" s="4">
        <v>1</v>
      </c>
      <c r="N218" s="4">
        <v>0</v>
      </c>
      <c r="O218" s="4">
        <v>8</v>
      </c>
      <c r="P218" s="4">
        <v>0</v>
      </c>
      <c r="Q218" s="7" t="s">
        <v>456</v>
      </c>
      <c r="R218" s="7" t="s">
        <v>34</v>
      </c>
    </row>
    <row r="219" spans="1:18">
      <c r="A219" s="4" t="s">
        <v>457</v>
      </c>
      <c r="B219" s="4">
        <v>7</v>
      </c>
      <c r="C219" s="4">
        <v>7</v>
      </c>
      <c r="D219" s="4">
        <v>-3</v>
      </c>
      <c r="E219" s="4">
        <v>4</v>
      </c>
      <c r="F219" s="4">
        <v>-5</v>
      </c>
      <c r="G219" s="4">
        <v>-3</v>
      </c>
      <c r="H219" s="4">
        <v>1</v>
      </c>
      <c r="I219" s="4">
        <v>-1</v>
      </c>
      <c r="J219" s="4">
        <v>2</v>
      </c>
      <c r="K219" s="4">
        <v>-1</v>
      </c>
      <c r="L219" s="4">
        <v>7</v>
      </c>
      <c r="M219" s="4">
        <v>1</v>
      </c>
      <c r="N219" s="4">
        <v>1</v>
      </c>
      <c r="O219" s="4">
        <v>6</v>
      </c>
      <c r="P219" s="4">
        <v>0</v>
      </c>
      <c r="Q219" s="7" t="s">
        <v>458</v>
      </c>
      <c r="R219" s="7" t="s">
        <v>37</v>
      </c>
    </row>
    <row r="220" spans="1:18">
      <c r="A220" s="4" t="s">
        <v>459</v>
      </c>
      <c r="B220" s="4">
        <v>5</v>
      </c>
      <c r="C220" s="4">
        <v>-5</v>
      </c>
      <c r="D220" s="4">
        <v>-3</v>
      </c>
      <c r="E220" s="4">
        <v>-1</v>
      </c>
      <c r="F220" s="4">
        <v>6.5</v>
      </c>
      <c r="G220" s="4">
        <v>6</v>
      </c>
      <c r="H220" s="4">
        <v>0</v>
      </c>
      <c r="I220" s="4">
        <v>7.5</v>
      </c>
      <c r="J220" s="4">
        <v>0</v>
      </c>
      <c r="K220" s="4">
        <v>-5</v>
      </c>
      <c r="L220" s="4">
        <v>7</v>
      </c>
      <c r="M220" s="4">
        <v>5</v>
      </c>
      <c r="N220" s="4">
        <v>1</v>
      </c>
      <c r="O220" s="4">
        <v>7</v>
      </c>
      <c r="P220" s="4">
        <v>0</v>
      </c>
      <c r="Q220" s="7" t="s">
        <v>460</v>
      </c>
      <c r="R220" s="7" t="s">
        <v>40</v>
      </c>
    </row>
    <row r="221" spans="1:18">
      <c r="A221" s="4" t="s">
        <v>461</v>
      </c>
      <c r="B221" s="4">
        <v>-6</v>
      </c>
      <c r="C221" s="4">
        <v>0</v>
      </c>
      <c r="D221" s="4">
        <v>-7</v>
      </c>
      <c r="E221" s="4">
        <v>-0.5</v>
      </c>
      <c r="F221" s="4">
        <v>-7</v>
      </c>
      <c r="G221" s="4">
        <v>-4.5</v>
      </c>
      <c r="H221" s="4">
        <v>1</v>
      </c>
      <c r="I221" s="4">
        <v>1</v>
      </c>
      <c r="J221" s="4">
        <v>0</v>
      </c>
      <c r="K221" s="4">
        <v>-4</v>
      </c>
      <c r="L221" s="4">
        <v>0</v>
      </c>
      <c r="M221" s="4">
        <v>-2</v>
      </c>
      <c r="N221" s="4">
        <v>-6</v>
      </c>
      <c r="O221" s="4">
        <v>-8</v>
      </c>
      <c r="P221" s="4">
        <v>1</v>
      </c>
      <c r="Q221" s="7" t="s">
        <v>462</v>
      </c>
      <c r="R221" s="7" t="s">
        <v>31</v>
      </c>
    </row>
    <row r="222" spans="1:18">
      <c r="A222" s="4" t="s">
        <v>463</v>
      </c>
      <c r="B222" s="4">
        <v>1</v>
      </c>
      <c r="C222" s="4">
        <v>3</v>
      </c>
      <c r="D222" s="4">
        <v>-3.5</v>
      </c>
      <c r="E222" s="4">
        <v>3</v>
      </c>
      <c r="F222" s="4">
        <v>3</v>
      </c>
      <c r="G222" s="4">
        <v>-2.5</v>
      </c>
      <c r="H222" s="4">
        <v>-2</v>
      </c>
      <c r="I222" s="4">
        <v>3</v>
      </c>
      <c r="J222" s="4">
        <v>3</v>
      </c>
      <c r="K222" s="4">
        <v>1</v>
      </c>
      <c r="L222" s="4">
        <v>5</v>
      </c>
      <c r="M222" s="4">
        <v>-1.5</v>
      </c>
      <c r="N222" s="4">
        <v>1</v>
      </c>
      <c r="O222" s="4">
        <v>1</v>
      </c>
      <c r="P222" s="4">
        <v>0</v>
      </c>
      <c r="Q222" s="7" t="s">
        <v>464</v>
      </c>
      <c r="R222" s="7" t="s">
        <v>16</v>
      </c>
    </row>
    <row r="223" spans="1:18">
      <c r="A223" s="4" t="s">
        <v>465</v>
      </c>
      <c r="B223" s="4">
        <v>3</v>
      </c>
      <c r="C223" s="4">
        <v>-1</v>
      </c>
      <c r="D223" s="4">
        <v>3</v>
      </c>
      <c r="E223" s="4">
        <v>1</v>
      </c>
      <c r="F223" s="4">
        <v>5</v>
      </c>
      <c r="G223" s="4">
        <v>-3</v>
      </c>
      <c r="H223" s="4">
        <v>-1</v>
      </c>
      <c r="I223" s="4">
        <v>1</v>
      </c>
      <c r="J223" s="4">
        <v>4</v>
      </c>
      <c r="K223" s="4">
        <v>3</v>
      </c>
      <c r="L223" s="4">
        <v>5</v>
      </c>
      <c r="M223" s="4">
        <v>3</v>
      </c>
      <c r="N223" s="4">
        <v>-3</v>
      </c>
      <c r="O223" s="4">
        <v>5</v>
      </c>
      <c r="P223" s="4">
        <v>1</v>
      </c>
      <c r="Q223" s="7" t="s">
        <v>466</v>
      </c>
      <c r="R223" s="7" t="s">
        <v>19</v>
      </c>
    </row>
    <row r="224" spans="1:18">
      <c r="A224" s="4" t="s">
        <v>467</v>
      </c>
      <c r="B224" s="4">
        <v>-3</v>
      </c>
      <c r="C224" s="4">
        <v>10</v>
      </c>
      <c r="D224" s="4">
        <v>-2</v>
      </c>
      <c r="E224" s="4">
        <v>-3</v>
      </c>
      <c r="F224" s="4">
        <v>1</v>
      </c>
      <c r="G224" s="4">
        <v>10</v>
      </c>
      <c r="H224" s="4">
        <v>1.5</v>
      </c>
      <c r="I224" s="4">
        <v>-1</v>
      </c>
      <c r="J224" s="4">
        <v>-4.5</v>
      </c>
      <c r="K224" s="4">
        <v>1</v>
      </c>
      <c r="L224" s="4">
        <v>-1</v>
      </c>
      <c r="M224" s="4">
        <v>-5.5</v>
      </c>
      <c r="N224" s="4">
        <v>1</v>
      </c>
      <c r="O224" s="4">
        <v>-2</v>
      </c>
      <c r="P224" s="4">
        <v>1</v>
      </c>
      <c r="Q224" s="7" t="s">
        <v>468</v>
      </c>
      <c r="R224" s="7" t="s">
        <v>22</v>
      </c>
    </row>
    <row r="225" spans="1:18">
      <c r="A225" s="4" t="s">
        <v>469</v>
      </c>
      <c r="B225" s="4">
        <v>5</v>
      </c>
      <c r="C225" s="4">
        <v>5</v>
      </c>
      <c r="D225" s="4">
        <v>3</v>
      </c>
      <c r="E225" s="4">
        <v>4</v>
      </c>
      <c r="F225" s="4">
        <v>5</v>
      </c>
      <c r="G225" s="4">
        <v>0.5</v>
      </c>
      <c r="H225" s="4">
        <v>-7</v>
      </c>
      <c r="I225" s="4">
        <v>3.5</v>
      </c>
      <c r="J225" s="4">
        <v>-4</v>
      </c>
      <c r="K225" s="4">
        <v>-2.5</v>
      </c>
      <c r="L225" s="4">
        <v>-5</v>
      </c>
      <c r="M225" s="4">
        <v>0</v>
      </c>
      <c r="N225" s="4">
        <v>1</v>
      </c>
      <c r="O225" s="4">
        <v>4.5</v>
      </c>
      <c r="P225" s="4">
        <v>0</v>
      </c>
      <c r="Q225" s="7" t="s">
        <v>470</v>
      </c>
      <c r="R225" s="7" t="s">
        <v>25</v>
      </c>
    </row>
    <row r="226" spans="1:18">
      <c r="A226" s="4" t="s">
        <v>471</v>
      </c>
      <c r="B226" s="4">
        <v>-4</v>
      </c>
      <c r="C226" s="4">
        <v>-9</v>
      </c>
      <c r="D226" s="4">
        <v>1</v>
      </c>
      <c r="E226" s="4">
        <v>-9</v>
      </c>
      <c r="F226" s="4">
        <v>-2</v>
      </c>
      <c r="G226" s="4">
        <v>-4</v>
      </c>
      <c r="H226" s="4">
        <v>2</v>
      </c>
      <c r="I226" s="4">
        <v>-2</v>
      </c>
      <c r="J226" s="4">
        <v>3</v>
      </c>
      <c r="K226" s="4">
        <v>3</v>
      </c>
      <c r="L226" s="4">
        <v>4</v>
      </c>
      <c r="M226" s="4">
        <v>4</v>
      </c>
      <c r="N226" s="4">
        <v>3</v>
      </c>
      <c r="O226" s="4">
        <v>-2</v>
      </c>
      <c r="P226" s="4">
        <v>0</v>
      </c>
      <c r="Q226" s="7" t="s">
        <v>472</v>
      </c>
      <c r="R226" s="7" t="s">
        <v>28</v>
      </c>
    </row>
    <row r="227" spans="1:18">
      <c r="A227" s="4" t="s">
        <v>473</v>
      </c>
      <c r="B227" s="4">
        <v>-1</v>
      </c>
      <c r="C227" s="4">
        <v>-1</v>
      </c>
      <c r="D227" s="4">
        <v>-9</v>
      </c>
      <c r="E227" s="4">
        <v>-5</v>
      </c>
      <c r="F227" s="4">
        <v>8</v>
      </c>
      <c r="G227" s="4">
        <v>-4.5</v>
      </c>
      <c r="H227" s="4">
        <v>-1</v>
      </c>
      <c r="I227" s="4">
        <v>2</v>
      </c>
      <c r="J227" s="4">
        <v>-4</v>
      </c>
      <c r="K227" s="4">
        <v>-2</v>
      </c>
      <c r="L227" s="4">
        <v>-1</v>
      </c>
      <c r="M227" s="4">
        <v>-3</v>
      </c>
      <c r="N227" s="4">
        <v>-3</v>
      </c>
      <c r="O227" s="4">
        <v>1</v>
      </c>
      <c r="P227" s="4">
        <v>0</v>
      </c>
      <c r="Q227" s="7" t="s">
        <v>474</v>
      </c>
      <c r="R227" s="7" t="s">
        <v>25</v>
      </c>
    </row>
    <row r="228" spans="1:18">
      <c r="A228" s="4" t="s">
        <v>475</v>
      </c>
      <c r="B228" s="4">
        <v>-1</v>
      </c>
      <c r="C228" s="4">
        <v>-3</v>
      </c>
      <c r="D228" s="4">
        <v>-1</v>
      </c>
      <c r="E228" s="4">
        <v>1</v>
      </c>
      <c r="F228" s="4">
        <v>5</v>
      </c>
      <c r="G228" s="4">
        <v>-3.5</v>
      </c>
      <c r="H228" s="4">
        <v>-2</v>
      </c>
      <c r="I228" s="4">
        <v>-1</v>
      </c>
      <c r="J228" s="4">
        <v>-3</v>
      </c>
      <c r="K228" s="4">
        <v>-7</v>
      </c>
      <c r="L228" s="4">
        <v>-4</v>
      </c>
      <c r="M228" s="4">
        <v>-3</v>
      </c>
      <c r="N228" s="4">
        <v>-2</v>
      </c>
      <c r="O228" s="4">
        <v>0</v>
      </c>
      <c r="P228" s="4">
        <v>0</v>
      </c>
      <c r="Q228" s="7" t="s">
        <v>476</v>
      </c>
      <c r="R228" s="7" t="s">
        <v>34</v>
      </c>
    </row>
    <row r="229" spans="1:18">
      <c r="A229" s="4" t="s">
        <v>477</v>
      </c>
      <c r="B229" s="4">
        <v>-5</v>
      </c>
      <c r="C229" s="4">
        <v>7</v>
      </c>
      <c r="D229" s="4">
        <v>-2</v>
      </c>
      <c r="E229" s="4">
        <v>-3</v>
      </c>
      <c r="F229" s="4">
        <v>0</v>
      </c>
      <c r="G229" s="4">
        <v>-1</v>
      </c>
      <c r="H229" s="4">
        <v>-5</v>
      </c>
      <c r="I229" s="4">
        <v>2</v>
      </c>
      <c r="J229" s="4">
        <v>-5</v>
      </c>
      <c r="K229" s="4">
        <v>5</v>
      </c>
      <c r="L229" s="4">
        <v>7</v>
      </c>
      <c r="M229" s="4">
        <v>-4</v>
      </c>
      <c r="N229" s="4">
        <v>1</v>
      </c>
      <c r="O229" s="4">
        <v>1</v>
      </c>
      <c r="P229" s="4">
        <v>1</v>
      </c>
      <c r="Q229" s="7" t="s">
        <v>478</v>
      </c>
      <c r="R229" s="7" t="s">
        <v>37</v>
      </c>
    </row>
    <row r="230" spans="1:18">
      <c r="A230" s="4" t="s">
        <v>479</v>
      </c>
      <c r="B230" s="4">
        <v>2</v>
      </c>
      <c r="C230" s="4">
        <v>2</v>
      </c>
      <c r="D230" s="4">
        <v>-4</v>
      </c>
      <c r="E230" s="4">
        <v>-6</v>
      </c>
      <c r="F230" s="4">
        <v>-3</v>
      </c>
      <c r="G230" s="4">
        <v>2</v>
      </c>
      <c r="H230" s="4">
        <v>-3</v>
      </c>
      <c r="I230" s="4">
        <v>6</v>
      </c>
      <c r="J230" s="4">
        <v>0</v>
      </c>
      <c r="K230" s="4">
        <v>2</v>
      </c>
      <c r="L230" s="4">
        <v>2</v>
      </c>
      <c r="M230" s="4">
        <v>0</v>
      </c>
      <c r="N230" s="4">
        <v>2</v>
      </c>
      <c r="O230" s="4">
        <v>-1</v>
      </c>
      <c r="P230" s="4">
        <v>1</v>
      </c>
      <c r="Q230" s="7" t="s">
        <v>480</v>
      </c>
      <c r="R230" s="7" t="s">
        <v>40</v>
      </c>
    </row>
    <row r="231" spans="1:18">
      <c r="A231" s="4" t="s">
        <v>481</v>
      </c>
      <c r="B231" s="4">
        <v>5</v>
      </c>
      <c r="C231" s="4">
        <v>7</v>
      </c>
      <c r="D231" s="4">
        <v>-2.5</v>
      </c>
      <c r="E231" s="4">
        <v>-2</v>
      </c>
      <c r="F231" s="4">
        <v>-2</v>
      </c>
      <c r="G231" s="4">
        <v>1</v>
      </c>
      <c r="H231" s="4">
        <v>3</v>
      </c>
      <c r="I231" s="4">
        <v>3</v>
      </c>
      <c r="J231" s="4">
        <v>7</v>
      </c>
      <c r="K231" s="4">
        <v>5</v>
      </c>
      <c r="L231" s="4">
        <v>5</v>
      </c>
      <c r="M231" s="4">
        <v>5</v>
      </c>
      <c r="N231" s="4">
        <v>-2</v>
      </c>
      <c r="O231" s="4">
        <v>-2</v>
      </c>
      <c r="P231" s="4">
        <v>1</v>
      </c>
      <c r="Q231" s="7" t="s">
        <v>482</v>
      </c>
      <c r="R231" s="7" t="s">
        <v>31</v>
      </c>
    </row>
    <row r="232" spans="1:18">
      <c r="A232" s="4" t="s">
        <v>483</v>
      </c>
      <c r="B232" s="4">
        <v>-5.5</v>
      </c>
      <c r="C232" s="4">
        <v>2</v>
      </c>
      <c r="D232" s="4">
        <v>-4.5</v>
      </c>
      <c r="E232" s="4">
        <v>3</v>
      </c>
      <c r="F232" s="4">
        <v>0</v>
      </c>
      <c r="G232" s="4">
        <v>-6</v>
      </c>
      <c r="H232" s="4">
        <v>-6</v>
      </c>
      <c r="I232" s="4">
        <v>2</v>
      </c>
      <c r="J232" s="4">
        <v>3</v>
      </c>
      <c r="K232" s="4">
        <v>3</v>
      </c>
      <c r="L232" s="4">
        <v>3</v>
      </c>
      <c r="M232" s="4">
        <v>-5.5</v>
      </c>
      <c r="N232" s="4">
        <v>-2</v>
      </c>
      <c r="O232" s="4">
        <v>0</v>
      </c>
      <c r="P232" s="4">
        <v>0</v>
      </c>
      <c r="Q232" s="7" t="s">
        <v>484</v>
      </c>
      <c r="R232" s="7" t="s">
        <v>16</v>
      </c>
    </row>
    <row r="233" spans="1:18">
      <c r="A233" s="4" t="s">
        <v>485</v>
      </c>
      <c r="B233" s="4">
        <v>2</v>
      </c>
      <c r="C233" s="4">
        <v>-1</v>
      </c>
      <c r="D233" s="4">
        <v>-4</v>
      </c>
      <c r="E233" s="4">
        <v>-2</v>
      </c>
      <c r="F233" s="4">
        <v>-5</v>
      </c>
      <c r="G233" s="4">
        <v>1.5</v>
      </c>
      <c r="H233" s="4">
        <v>-1</v>
      </c>
      <c r="I233" s="4">
        <v>0</v>
      </c>
      <c r="J233" s="4">
        <v>0</v>
      </c>
      <c r="K233" s="4">
        <v>-6</v>
      </c>
      <c r="L233" s="4">
        <v>6</v>
      </c>
      <c r="M233" s="4">
        <v>1</v>
      </c>
      <c r="N233" s="4">
        <v>2</v>
      </c>
      <c r="O233" s="4">
        <v>1</v>
      </c>
      <c r="P233" s="4">
        <v>1</v>
      </c>
      <c r="Q233" s="7" t="s">
        <v>486</v>
      </c>
      <c r="R233" s="7" t="s">
        <v>19</v>
      </c>
    </row>
    <row r="234" spans="1:18">
      <c r="A234" s="4" t="s">
        <v>487</v>
      </c>
      <c r="B234" s="4">
        <v>-1</v>
      </c>
      <c r="C234" s="4">
        <v>-2</v>
      </c>
      <c r="D234" s="4">
        <v>6</v>
      </c>
      <c r="E234" s="4">
        <v>-1</v>
      </c>
      <c r="F234" s="4">
        <v>-1</v>
      </c>
      <c r="G234" s="4">
        <v>-2</v>
      </c>
      <c r="H234" s="4">
        <v>6</v>
      </c>
      <c r="I234" s="4">
        <v>4</v>
      </c>
      <c r="J234" s="4">
        <v>-10</v>
      </c>
      <c r="K234" s="4">
        <v>-1.5</v>
      </c>
      <c r="L234" s="4">
        <v>0.5</v>
      </c>
      <c r="M234" s="4">
        <v>-7</v>
      </c>
      <c r="N234" s="4">
        <v>3</v>
      </c>
      <c r="O234" s="4">
        <v>-1</v>
      </c>
      <c r="P234" s="4">
        <v>1</v>
      </c>
      <c r="Q234" s="7" t="s">
        <v>488</v>
      </c>
      <c r="R234" s="7" t="s">
        <v>22</v>
      </c>
    </row>
    <row r="235" spans="1:18">
      <c r="A235" s="4" t="s">
        <v>489</v>
      </c>
      <c r="B235" s="4">
        <v>-2.5</v>
      </c>
      <c r="C235" s="4">
        <v>2</v>
      </c>
      <c r="D235" s="4">
        <v>-2.5</v>
      </c>
      <c r="E235" s="4">
        <v>1</v>
      </c>
      <c r="F235" s="4">
        <v>2</v>
      </c>
      <c r="G235" s="4">
        <v>2</v>
      </c>
      <c r="H235" s="4">
        <v>-8</v>
      </c>
      <c r="I235" s="4">
        <v>6</v>
      </c>
      <c r="J235" s="4">
        <v>-9</v>
      </c>
      <c r="K235" s="4">
        <v>2</v>
      </c>
      <c r="L235" s="4">
        <v>1</v>
      </c>
      <c r="M235" s="4">
        <v>-4.5</v>
      </c>
      <c r="N235" s="4">
        <v>-1</v>
      </c>
      <c r="O235" s="4">
        <v>-1</v>
      </c>
      <c r="P235" s="4">
        <v>0</v>
      </c>
      <c r="Q235" s="7" t="s">
        <v>490</v>
      </c>
      <c r="R235" s="7" t="s">
        <v>25</v>
      </c>
    </row>
    <row r="236" spans="1:18">
      <c r="A236" s="4" t="s">
        <v>491</v>
      </c>
      <c r="B236" s="4">
        <v>-7</v>
      </c>
      <c r="C236" s="4">
        <v>-7</v>
      </c>
      <c r="D236" s="4">
        <v>-5</v>
      </c>
      <c r="E236" s="4">
        <v>-7</v>
      </c>
      <c r="F236" s="4">
        <v>-3</v>
      </c>
      <c r="G236" s="4">
        <v>-2</v>
      </c>
      <c r="H236" s="4">
        <v>1</v>
      </c>
      <c r="I236" s="4">
        <v>2.5</v>
      </c>
      <c r="J236" s="4">
        <v>1</v>
      </c>
      <c r="K236" s="4">
        <v>0.5</v>
      </c>
      <c r="L236" s="4">
        <v>3</v>
      </c>
      <c r="M236" s="4">
        <v>0</v>
      </c>
      <c r="N236" s="4">
        <v>-1</v>
      </c>
      <c r="O236" s="4">
        <v>-2</v>
      </c>
      <c r="P236" s="4">
        <v>1</v>
      </c>
      <c r="Q236" s="7" t="s">
        <v>492</v>
      </c>
      <c r="R236" s="7" t="s">
        <v>28</v>
      </c>
    </row>
    <row r="237" spans="1:18">
      <c r="A237" s="4" t="s">
        <v>493</v>
      </c>
      <c r="B237" s="4">
        <v>2.5</v>
      </c>
      <c r="C237" s="4">
        <v>4</v>
      </c>
      <c r="D237" s="4">
        <v>0</v>
      </c>
      <c r="E237" s="4">
        <v>1</v>
      </c>
      <c r="F237" s="4">
        <v>2.5</v>
      </c>
      <c r="G237" s="4">
        <v>2.5</v>
      </c>
      <c r="H237" s="4">
        <v>0</v>
      </c>
      <c r="I237" s="4">
        <v>4</v>
      </c>
      <c r="J237" s="4">
        <v>-1</v>
      </c>
      <c r="K237" s="4">
        <v>5</v>
      </c>
      <c r="L237" s="4">
        <v>0.5</v>
      </c>
      <c r="M237" s="4">
        <v>4</v>
      </c>
      <c r="N237" s="4">
        <v>0</v>
      </c>
      <c r="O237" s="4">
        <v>6.5</v>
      </c>
      <c r="P237" s="4">
        <v>0</v>
      </c>
      <c r="Q237" s="7" t="s">
        <v>494</v>
      </c>
      <c r="R237" s="7" t="s">
        <v>28</v>
      </c>
    </row>
    <row r="238" spans="1:18">
      <c r="A238" s="4" t="s">
        <v>495</v>
      </c>
      <c r="B238" s="4">
        <v>-2</v>
      </c>
      <c r="C238" s="4">
        <v>-4</v>
      </c>
      <c r="D238" s="4">
        <v>1</v>
      </c>
      <c r="E238" s="4">
        <v>2</v>
      </c>
      <c r="F238" s="4">
        <v>1</v>
      </c>
      <c r="G238" s="4">
        <v>-2</v>
      </c>
      <c r="H238" s="4">
        <v>-1</v>
      </c>
      <c r="I238" s="4">
        <v>9</v>
      </c>
      <c r="J238" s="4">
        <v>2</v>
      </c>
      <c r="K238" s="4">
        <v>1</v>
      </c>
      <c r="L238" s="4">
        <v>-1</v>
      </c>
      <c r="M238" s="4">
        <v>-4</v>
      </c>
      <c r="N238" s="4">
        <v>1</v>
      </c>
      <c r="O238" s="4">
        <v>0</v>
      </c>
      <c r="P238" s="4">
        <v>1</v>
      </c>
      <c r="Q238" s="7" t="s">
        <v>496</v>
      </c>
      <c r="R238" s="7" t="s">
        <v>34</v>
      </c>
    </row>
    <row r="239" spans="1:18">
      <c r="A239" s="4" t="s">
        <v>497</v>
      </c>
      <c r="B239" s="4">
        <v>0</v>
      </c>
      <c r="C239" s="4">
        <v>3</v>
      </c>
      <c r="D239" s="4">
        <v>-7</v>
      </c>
      <c r="E239" s="4">
        <v>-4</v>
      </c>
      <c r="F239" s="4">
        <v>2</v>
      </c>
      <c r="G239" s="4">
        <v>-3</v>
      </c>
      <c r="H239" s="4">
        <v>0</v>
      </c>
      <c r="I239" s="4">
        <v>0.5</v>
      </c>
      <c r="J239" s="4">
        <v>-3</v>
      </c>
      <c r="K239" s="4">
        <v>1</v>
      </c>
      <c r="L239" s="4">
        <v>3</v>
      </c>
      <c r="M239" s="4">
        <v>-1</v>
      </c>
      <c r="N239" s="4">
        <v>-3</v>
      </c>
      <c r="O239" s="4">
        <v>3.5</v>
      </c>
      <c r="P239" s="4">
        <v>1</v>
      </c>
      <c r="Q239" s="7" t="s">
        <v>498</v>
      </c>
      <c r="R239" s="7" t="s">
        <v>37</v>
      </c>
    </row>
    <row r="240" spans="1:18">
      <c r="A240" s="4" t="s">
        <v>499</v>
      </c>
      <c r="B240" s="4">
        <v>3</v>
      </c>
      <c r="C240" s="4">
        <v>0</v>
      </c>
      <c r="D240" s="4">
        <v>-2</v>
      </c>
      <c r="E240" s="4">
        <v>1</v>
      </c>
      <c r="F240" s="4">
        <v>2.5</v>
      </c>
      <c r="G240" s="4">
        <v>7</v>
      </c>
      <c r="H240" s="4">
        <v>-1</v>
      </c>
      <c r="I240" s="4">
        <v>3</v>
      </c>
      <c r="J240" s="4">
        <v>5</v>
      </c>
      <c r="K240" s="4">
        <v>0</v>
      </c>
      <c r="L240" s="4">
        <v>-1</v>
      </c>
      <c r="M240" s="4">
        <v>1.5</v>
      </c>
      <c r="N240" s="4">
        <v>3</v>
      </c>
      <c r="O240" s="4">
        <v>8.5</v>
      </c>
      <c r="P240" s="4">
        <v>0</v>
      </c>
      <c r="Q240" s="7" t="s">
        <v>500</v>
      </c>
      <c r="R240" s="7" t="s">
        <v>40</v>
      </c>
    </row>
    <row r="241" spans="1:18">
      <c r="A241" s="4" t="s">
        <v>501</v>
      </c>
      <c r="B241" s="4">
        <v>0</v>
      </c>
      <c r="C241" s="4">
        <v>0</v>
      </c>
      <c r="D241" s="4">
        <v>1</v>
      </c>
      <c r="E241" s="4">
        <v>3</v>
      </c>
      <c r="F241" s="4">
        <v>-4</v>
      </c>
      <c r="G241" s="4">
        <v>-6</v>
      </c>
      <c r="H241" s="4">
        <v>-3</v>
      </c>
      <c r="I241" s="4">
        <v>-1</v>
      </c>
      <c r="J241" s="4">
        <v>0</v>
      </c>
      <c r="K241" s="4">
        <v>0</v>
      </c>
      <c r="L241" s="4">
        <v>-0.5</v>
      </c>
      <c r="M241" s="4">
        <v>0</v>
      </c>
      <c r="N241" s="4">
        <v>-3</v>
      </c>
      <c r="O241" s="4">
        <v>-3</v>
      </c>
      <c r="P241" s="4">
        <v>1</v>
      </c>
      <c r="Q241" s="7" t="s">
        <v>502</v>
      </c>
      <c r="R241" s="7" t="s">
        <v>31</v>
      </c>
    </row>
    <row r="242" spans="1:18">
      <c r="A242" s="4" t="s">
        <v>503</v>
      </c>
      <c r="B242" s="4">
        <v>-2</v>
      </c>
      <c r="C242" s="4">
        <v>7</v>
      </c>
      <c r="D242" s="4">
        <v>-4</v>
      </c>
      <c r="E242" s="4">
        <v>-2</v>
      </c>
      <c r="F242" s="4">
        <v>-0.5</v>
      </c>
      <c r="G242" s="4">
        <v>0</v>
      </c>
      <c r="H242" s="4">
        <v>-2</v>
      </c>
      <c r="I242" s="4">
        <v>7</v>
      </c>
      <c r="J242" s="4">
        <v>0</v>
      </c>
      <c r="K242" s="4">
        <v>-2</v>
      </c>
      <c r="L242" s="4">
        <v>1.5</v>
      </c>
      <c r="M242" s="4">
        <v>-4</v>
      </c>
      <c r="N242" s="4">
        <v>-5</v>
      </c>
      <c r="O242" s="4">
        <v>-1.5</v>
      </c>
      <c r="P242" s="4">
        <v>1</v>
      </c>
      <c r="Q242" s="7" t="s">
        <v>504</v>
      </c>
      <c r="R242" s="7" t="s">
        <v>16</v>
      </c>
    </row>
    <row r="243" spans="1:18">
      <c r="A243" s="4" t="s">
        <v>505</v>
      </c>
      <c r="B243" s="4">
        <v>5</v>
      </c>
      <c r="C243" s="4">
        <v>-4</v>
      </c>
      <c r="D243" s="4">
        <v>3</v>
      </c>
      <c r="E243" s="4">
        <v>1</v>
      </c>
      <c r="F243" s="4">
        <v>2.5</v>
      </c>
      <c r="G243" s="4">
        <v>-3</v>
      </c>
      <c r="H243" s="4">
        <v>-4</v>
      </c>
      <c r="I243" s="4">
        <v>0.5</v>
      </c>
      <c r="J243" s="4">
        <v>-3</v>
      </c>
      <c r="K243" s="4">
        <v>1</v>
      </c>
      <c r="L243" s="4">
        <v>5</v>
      </c>
      <c r="M243" s="4">
        <v>2</v>
      </c>
      <c r="N243" s="4">
        <v>1</v>
      </c>
      <c r="O243" s="4">
        <v>5</v>
      </c>
      <c r="P243" s="4">
        <v>1</v>
      </c>
      <c r="Q243" s="7" t="s">
        <v>506</v>
      </c>
      <c r="R243" s="7" t="s">
        <v>19</v>
      </c>
    </row>
    <row r="244" spans="1:18">
      <c r="A244" s="4" t="s">
        <v>507</v>
      </c>
      <c r="B244" s="4">
        <v>2</v>
      </c>
      <c r="C244" s="4">
        <v>-3</v>
      </c>
      <c r="D244" s="4">
        <v>1</v>
      </c>
      <c r="E244" s="4">
        <v>3</v>
      </c>
      <c r="F244" s="4">
        <v>-3</v>
      </c>
      <c r="G244" s="4">
        <v>-3</v>
      </c>
      <c r="H244" s="4">
        <v>0</v>
      </c>
      <c r="I244" s="4">
        <v>3</v>
      </c>
      <c r="J244" s="4">
        <v>0</v>
      </c>
      <c r="K244" s="4">
        <v>1</v>
      </c>
      <c r="L244" s="4">
        <v>5</v>
      </c>
      <c r="M244" s="4">
        <v>2</v>
      </c>
      <c r="N244" s="4">
        <v>-1</v>
      </c>
      <c r="O244" s="4">
        <v>5</v>
      </c>
      <c r="P244" s="4">
        <v>1</v>
      </c>
      <c r="Q244" s="7" t="s">
        <v>508</v>
      </c>
      <c r="R244" s="7" t="s">
        <v>22</v>
      </c>
    </row>
    <row r="245" spans="1:18">
      <c r="A245" s="4" t="s">
        <v>509</v>
      </c>
      <c r="B245" s="4">
        <v>4</v>
      </c>
      <c r="C245" s="4">
        <v>8.5</v>
      </c>
      <c r="D245" s="4">
        <v>-4</v>
      </c>
      <c r="E245" s="4">
        <v>-2</v>
      </c>
      <c r="F245" s="4">
        <v>8.5</v>
      </c>
      <c r="G245" s="4">
        <v>2</v>
      </c>
      <c r="H245" s="4">
        <v>-3</v>
      </c>
      <c r="I245" s="4">
        <v>6.5</v>
      </c>
      <c r="J245" s="4">
        <v>3</v>
      </c>
      <c r="K245" s="4">
        <v>-4</v>
      </c>
      <c r="L245" s="4">
        <v>7</v>
      </c>
      <c r="M245" s="4">
        <v>7</v>
      </c>
      <c r="N245" s="4">
        <v>4</v>
      </c>
      <c r="O245" s="4">
        <v>9</v>
      </c>
      <c r="P245" s="4">
        <v>0</v>
      </c>
      <c r="Q245" s="7" t="s">
        <v>510</v>
      </c>
      <c r="R245" s="7" t="s">
        <v>25</v>
      </c>
    </row>
    <row r="246" spans="1:18">
      <c r="A246" s="4" t="s">
        <v>511</v>
      </c>
      <c r="B246" s="4">
        <v>1</v>
      </c>
      <c r="C246" s="4">
        <v>6</v>
      </c>
      <c r="D246" s="4">
        <v>1</v>
      </c>
      <c r="E246" s="4">
        <v>6</v>
      </c>
      <c r="F246" s="4">
        <v>0</v>
      </c>
      <c r="G246" s="4">
        <v>7</v>
      </c>
      <c r="H246" s="4">
        <v>5</v>
      </c>
      <c r="I246" s="4">
        <v>0</v>
      </c>
      <c r="J246" s="4">
        <v>2</v>
      </c>
      <c r="K246" s="4">
        <v>0</v>
      </c>
      <c r="L246" s="4">
        <v>2</v>
      </c>
      <c r="M246" s="4">
        <v>2.5</v>
      </c>
      <c r="N246" s="4">
        <v>4</v>
      </c>
      <c r="O246" s="4">
        <v>1</v>
      </c>
      <c r="P246" s="4">
        <v>1</v>
      </c>
      <c r="Q246" s="7" t="s">
        <v>512</v>
      </c>
      <c r="R246" s="7" t="s">
        <v>28</v>
      </c>
    </row>
    <row r="247" spans="1:18">
      <c r="A247" s="4" t="s">
        <v>513</v>
      </c>
      <c r="B247" s="4">
        <v>-3</v>
      </c>
      <c r="C247" s="4">
        <v>-1</v>
      </c>
      <c r="D247" s="4">
        <v>-3</v>
      </c>
      <c r="E247" s="4">
        <v>2</v>
      </c>
      <c r="F247" s="4">
        <v>-2</v>
      </c>
      <c r="G247" s="4">
        <v>2</v>
      </c>
      <c r="H247" s="4">
        <v>-1</v>
      </c>
      <c r="I247" s="4">
        <v>3.5</v>
      </c>
      <c r="J247" s="4">
        <v>-4</v>
      </c>
      <c r="K247" s="4">
        <v>0</v>
      </c>
      <c r="L247" s="4">
        <v>-1.5</v>
      </c>
      <c r="M247" s="4">
        <v>-5</v>
      </c>
      <c r="N247" s="4">
        <v>-4</v>
      </c>
      <c r="O247" s="4">
        <v>-1</v>
      </c>
      <c r="P247" s="4">
        <v>1</v>
      </c>
      <c r="Q247" s="7" t="s">
        <v>514</v>
      </c>
      <c r="R247" s="7" t="s">
        <v>31</v>
      </c>
    </row>
    <row r="248" spans="1:18">
      <c r="A248" s="4" t="s">
        <v>515</v>
      </c>
      <c r="B248" s="4">
        <v>0</v>
      </c>
      <c r="C248" s="4">
        <v>1</v>
      </c>
      <c r="D248" s="4">
        <v>4</v>
      </c>
      <c r="E248" s="4">
        <v>0</v>
      </c>
      <c r="F248" s="4">
        <v>7.5</v>
      </c>
      <c r="G248" s="4">
        <v>-3</v>
      </c>
      <c r="H248" s="4">
        <v>-0.5</v>
      </c>
      <c r="I248" s="4">
        <v>3</v>
      </c>
      <c r="J248" s="4">
        <v>1.5</v>
      </c>
      <c r="K248" s="4">
        <v>0</v>
      </c>
      <c r="L248" s="4">
        <v>-7</v>
      </c>
      <c r="M248" s="4">
        <v>1</v>
      </c>
      <c r="N248" s="4">
        <v>-3</v>
      </c>
      <c r="O248" s="4">
        <v>-3</v>
      </c>
      <c r="P248" s="4">
        <v>0</v>
      </c>
      <c r="Q248" s="7" t="s">
        <v>516</v>
      </c>
      <c r="R248" s="7" t="s">
        <v>34</v>
      </c>
    </row>
    <row r="249" spans="1:18">
      <c r="A249" s="4" t="s">
        <v>517</v>
      </c>
      <c r="B249" s="4">
        <v>-4.5</v>
      </c>
      <c r="C249" s="4">
        <v>-1.5</v>
      </c>
      <c r="D249" s="4">
        <v>-5</v>
      </c>
      <c r="E249" s="4">
        <v>1</v>
      </c>
      <c r="F249" s="4">
        <v>-4.5</v>
      </c>
      <c r="G249" s="4">
        <v>1</v>
      </c>
      <c r="H249" s="4">
        <v>-3</v>
      </c>
      <c r="I249" s="4">
        <v>-1.5</v>
      </c>
      <c r="J249" s="4">
        <v>-7</v>
      </c>
      <c r="K249" s="4">
        <v>-2</v>
      </c>
      <c r="L249" s="4">
        <v>-1.5</v>
      </c>
      <c r="M249" s="4">
        <v>-1</v>
      </c>
      <c r="N249" s="4">
        <v>-1</v>
      </c>
      <c r="O249" s="4">
        <v>-2.5</v>
      </c>
      <c r="P249" s="4">
        <v>0</v>
      </c>
      <c r="Q249" s="7" t="s">
        <v>518</v>
      </c>
      <c r="R249" s="7" t="s">
        <v>37</v>
      </c>
    </row>
    <row r="250" spans="1:18">
      <c r="A250" s="4" t="s">
        <v>519</v>
      </c>
      <c r="B250" s="4">
        <v>-8</v>
      </c>
      <c r="C250" s="4">
        <v>3</v>
      </c>
      <c r="D250" s="4">
        <v>3</v>
      </c>
      <c r="E250" s="4">
        <v>-1</v>
      </c>
      <c r="F250" s="4">
        <v>-2</v>
      </c>
      <c r="G250" s="4">
        <v>-8</v>
      </c>
      <c r="H250" s="4">
        <v>-5</v>
      </c>
      <c r="I250" s="4">
        <v>-0.5</v>
      </c>
      <c r="J250" s="4">
        <v>0</v>
      </c>
      <c r="K250" s="4">
        <v>3</v>
      </c>
      <c r="L250" s="4">
        <v>1</v>
      </c>
      <c r="M250" s="4">
        <v>-6</v>
      </c>
      <c r="N250" s="4">
        <v>0</v>
      </c>
      <c r="O250" s="4">
        <v>4</v>
      </c>
      <c r="P250" s="4">
        <v>0</v>
      </c>
      <c r="Q250" s="7" t="s">
        <v>520</v>
      </c>
      <c r="R250" s="7" t="s">
        <v>40</v>
      </c>
    </row>
    <row r="251" spans="1:18">
      <c r="A251" s="4" t="s">
        <v>521</v>
      </c>
      <c r="B251" s="4">
        <v>1</v>
      </c>
      <c r="C251" s="4">
        <v>2</v>
      </c>
      <c r="D251" s="4">
        <v>-5</v>
      </c>
      <c r="E251" s="4">
        <v>-5</v>
      </c>
      <c r="F251" s="4">
        <v>-2</v>
      </c>
      <c r="G251" s="4">
        <v>-2</v>
      </c>
      <c r="H251" s="4">
        <v>1</v>
      </c>
      <c r="I251" s="4">
        <v>2.5</v>
      </c>
      <c r="J251" s="4">
        <v>2</v>
      </c>
      <c r="K251" s="4">
        <v>1.5</v>
      </c>
      <c r="L251" s="4">
        <v>3</v>
      </c>
      <c r="M251" s="4">
        <v>1</v>
      </c>
      <c r="N251" s="4">
        <v>2</v>
      </c>
      <c r="O251" s="4">
        <v>-1</v>
      </c>
      <c r="P251" s="4">
        <v>0</v>
      </c>
      <c r="Q251" s="7" t="s">
        <v>522</v>
      </c>
      <c r="R251" s="7" t="s">
        <v>31</v>
      </c>
    </row>
    <row r="252" spans="1:18">
      <c r="A252" s="4" t="s">
        <v>523</v>
      </c>
      <c r="B252" s="4">
        <v>-1</v>
      </c>
      <c r="C252" s="4">
        <v>-1</v>
      </c>
      <c r="D252" s="4">
        <v>0</v>
      </c>
      <c r="E252" s="4">
        <v>4</v>
      </c>
      <c r="F252" s="4">
        <v>2</v>
      </c>
      <c r="G252" s="4">
        <v>0</v>
      </c>
      <c r="H252" s="4">
        <v>-2</v>
      </c>
      <c r="I252" s="4">
        <v>-1</v>
      </c>
      <c r="J252" s="4">
        <v>5</v>
      </c>
      <c r="K252" s="4">
        <v>-0.5</v>
      </c>
      <c r="L252" s="4">
        <v>4</v>
      </c>
      <c r="M252" s="4">
        <v>0</v>
      </c>
      <c r="N252" s="4">
        <v>-3.5</v>
      </c>
      <c r="O252" s="4">
        <v>5</v>
      </c>
      <c r="P252" s="4">
        <v>1</v>
      </c>
      <c r="Q252" s="7" t="s">
        <v>524</v>
      </c>
      <c r="R252" s="7" t="s">
        <v>16</v>
      </c>
    </row>
    <row r="253" spans="1:18">
      <c r="A253" s="4" t="s">
        <v>525</v>
      </c>
      <c r="B253" s="4">
        <v>3</v>
      </c>
      <c r="C253" s="4">
        <v>-3</v>
      </c>
      <c r="D253" s="4">
        <v>-3</v>
      </c>
      <c r="E253" s="4">
        <v>-1</v>
      </c>
      <c r="F253" s="4">
        <v>-5</v>
      </c>
      <c r="G253" s="4">
        <v>-3</v>
      </c>
      <c r="H253" s="4">
        <v>-3</v>
      </c>
      <c r="I253" s="4">
        <v>0</v>
      </c>
      <c r="J253" s="4">
        <v>3</v>
      </c>
      <c r="K253" s="4">
        <v>-2</v>
      </c>
      <c r="L253" s="4">
        <v>0</v>
      </c>
      <c r="M253" s="4">
        <v>0</v>
      </c>
      <c r="N253" s="4">
        <v>-2</v>
      </c>
      <c r="O253" s="4">
        <v>0</v>
      </c>
      <c r="P253" s="4">
        <v>0</v>
      </c>
      <c r="Q253" s="7" t="s">
        <v>526</v>
      </c>
      <c r="R253" s="7" t="s">
        <v>19</v>
      </c>
    </row>
    <row r="254" spans="1:18">
      <c r="A254" s="4" t="s">
        <v>527</v>
      </c>
      <c r="B254" s="4">
        <v>0</v>
      </c>
      <c r="C254" s="4">
        <v>-2</v>
      </c>
      <c r="D254" s="4">
        <v>2.5</v>
      </c>
      <c r="E254" s="4">
        <v>7</v>
      </c>
      <c r="F254" s="4">
        <v>-7</v>
      </c>
      <c r="G254" s="4">
        <v>-2</v>
      </c>
      <c r="H254" s="4">
        <v>0</v>
      </c>
      <c r="I254" s="4">
        <v>5</v>
      </c>
      <c r="J254" s="4">
        <v>-3</v>
      </c>
      <c r="K254" s="4">
        <v>0</v>
      </c>
      <c r="L254" s="4">
        <v>0</v>
      </c>
      <c r="M254" s="4">
        <v>1</v>
      </c>
      <c r="N254" s="4">
        <v>-3.5</v>
      </c>
      <c r="O254" s="4">
        <v>3</v>
      </c>
      <c r="P254" s="4">
        <v>0</v>
      </c>
      <c r="Q254" s="7" t="s">
        <v>528</v>
      </c>
      <c r="R254" s="7" t="s">
        <v>22</v>
      </c>
    </row>
    <row r="255" spans="1:18">
      <c r="A255" s="4" t="s">
        <v>529</v>
      </c>
      <c r="B255" s="4">
        <v>0</v>
      </c>
      <c r="C255" s="4">
        <v>5</v>
      </c>
      <c r="D255" s="4">
        <v>3</v>
      </c>
      <c r="E255" s="4">
        <v>-3</v>
      </c>
      <c r="F255" s="4">
        <v>5</v>
      </c>
      <c r="G255" s="4">
        <v>0</v>
      </c>
      <c r="H255" s="4">
        <v>-6</v>
      </c>
      <c r="I255" s="4">
        <v>-8</v>
      </c>
      <c r="J255" s="4">
        <v>-2</v>
      </c>
      <c r="K255" s="4">
        <v>-2.5</v>
      </c>
      <c r="L255" s="4">
        <v>0</v>
      </c>
      <c r="M255" s="4">
        <v>3</v>
      </c>
      <c r="N255" s="4">
        <v>1</v>
      </c>
      <c r="O255" s="4">
        <v>3.5</v>
      </c>
      <c r="P255" s="4">
        <v>1</v>
      </c>
      <c r="Q255" s="7" t="s">
        <v>530</v>
      </c>
      <c r="R255" s="7" t="s">
        <v>25</v>
      </c>
    </row>
    <row r="256" spans="1:18">
      <c r="A256" s="4" t="s">
        <v>531</v>
      </c>
      <c r="B256" s="4">
        <v>-3</v>
      </c>
      <c r="C256" s="4">
        <v>-5</v>
      </c>
      <c r="D256" s="4">
        <v>-5</v>
      </c>
      <c r="E256" s="4">
        <v>-5</v>
      </c>
      <c r="F256" s="4">
        <v>-8</v>
      </c>
      <c r="G256" s="4">
        <v>-4</v>
      </c>
      <c r="H256" s="4">
        <v>1</v>
      </c>
      <c r="I256" s="4">
        <v>2</v>
      </c>
      <c r="J256" s="4">
        <v>-2</v>
      </c>
      <c r="K256" s="4">
        <v>0</v>
      </c>
      <c r="L256" s="4">
        <v>-2</v>
      </c>
      <c r="M256" s="4">
        <v>-3</v>
      </c>
      <c r="N256" s="4">
        <v>-4</v>
      </c>
      <c r="O256" s="4">
        <v>-8</v>
      </c>
      <c r="P256" s="4">
        <v>0</v>
      </c>
      <c r="Q256" s="7" t="s">
        <v>532</v>
      </c>
      <c r="R256" s="7" t="s">
        <v>28</v>
      </c>
    </row>
    <row r="257" spans="1:18">
      <c r="A257" s="4" t="s">
        <v>533</v>
      </c>
      <c r="B257" s="4">
        <v>-0.5</v>
      </c>
      <c r="C257" s="4">
        <v>-5</v>
      </c>
      <c r="D257" s="4">
        <v>-3</v>
      </c>
      <c r="E257" s="4">
        <v>3</v>
      </c>
      <c r="F257" s="4">
        <v>4</v>
      </c>
      <c r="G257" s="4">
        <v>2</v>
      </c>
      <c r="H257" s="4">
        <v>-4</v>
      </c>
      <c r="I257" s="4">
        <v>-5</v>
      </c>
      <c r="J257" s="4">
        <v>1</v>
      </c>
      <c r="K257" s="4">
        <v>-4</v>
      </c>
      <c r="L257" s="4">
        <v>-7</v>
      </c>
      <c r="M257" s="4">
        <v>0</v>
      </c>
      <c r="N257" s="4">
        <v>-0.5</v>
      </c>
      <c r="O257" s="4">
        <v>0</v>
      </c>
      <c r="P257" s="4">
        <v>0</v>
      </c>
      <c r="Q257" s="7" t="s">
        <v>534</v>
      </c>
      <c r="R257" s="7" t="s">
        <v>16</v>
      </c>
    </row>
    <row r="258" spans="1:18">
      <c r="A258" s="4" t="s">
        <v>535</v>
      </c>
      <c r="B258" s="4">
        <v>1</v>
      </c>
      <c r="C258" s="4">
        <v>5</v>
      </c>
      <c r="D258" s="4">
        <v>4</v>
      </c>
      <c r="E258" s="4">
        <v>4</v>
      </c>
      <c r="F258" s="4">
        <v>0</v>
      </c>
      <c r="G258" s="4">
        <v>-5</v>
      </c>
      <c r="H258" s="4">
        <v>-4</v>
      </c>
      <c r="I258" s="4">
        <v>-2</v>
      </c>
      <c r="J258" s="4">
        <v>-4</v>
      </c>
      <c r="K258" s="4">
        <v>2.5</v>
      </c>
      <c r="L258" s="4">
        <v>0</v>
      </c>
      <c r="M258" s="4">
        <v>5</v>
      </c>
      <c r="N258" s="4">
        <v>4</v>
      </c>
      <c r="O258" s="4">
        <v>1</v>
      </c>
      <c r="P258" s="4">
        <v>0</v>
      </c>
      <c r="Q258" s="7" t="s">
        <v>536</v>
      </c>
      <c r="R258" s="7" t="s">
        <v>34</v>
      </c>
    </row>
    <row r="259" spans="1:18">
      <c r="A259" s="4" t="s">
        <v>537</v>
      </c>
      <c r="B259" s="4">
        <v>3</v>
      </c>
      <c r="C259" s="4">
        <v>1</v>
      </c>
      <c r="D259" s="4">
        <v>3</v>
      </c>
      <c r="E259" s="4">
        <v>-3</v>
      </c>
      <c r="F259" s="4">
        <v>-1</v>
      </c>
      <c r="G259" s="4">
        <v>1</v>
      </c>
      <c r="H259" s="4">
        <v>9.5</v>
      </c>
      <c r="I259" s="4">
        <v>-2</v>
      </c>
      <c r="J259" s="4">
        <v>-1</v>
      </c>
      <c r="K259" s="4">
        <v>3.5</v>
      </c>
      <c r="L259" s="4">
        <v>1</v>
      </c>
      <c r="M259" s="4">
        <v>0</v>
      </c>
      <c r="N259" s="4">
        <v>-4</v>
      </c>
      <c r="O259" s="4">
        <v>0</v>
      </c>
      <c r="P259" s="4">
        <v>1</v>
      </c>
      <c r="Q259" s="7" t="s">
        <v>538</v>
      </c>
      <c r="R259" s="7" t="s">
        <v>37</v>
      </c>
    </row>
    <row r="260" spans="1:18">
      <c r="A260" s="4" t="s">
        <v>539</v>
      </c>
      <c r="B260" s="4">
        <v>4</v>
      </c>
      <c r="C260" s="4">
        <v>3</v>
      </c>
      <c r="D260" s="4">
        <v>-1</v>
      </c>
      <c r="E260" s="4">
        <v>4</v>
      </c>
      <c r="F260" s="4">
        <v>3</v>
      </c>
      <c r="G260" s="4">
        <v>1</v>
      </c>
      <c r="H260" s="4">
        <v>-0.5</v>
      </c>
      <c r="I260" s="4">
        <v>3</v>
      </c>
      <c r="J260" s="4">
        <v>2</v>
      </c>
      <c r="K260" s="4">
        <v>3</v>
      </c>
      <c r="L260" s="4">
        <v>2</v>
      </c>
      <c r="M260" s="4">
        <v>-2</v>
      </c>
      <c r="N260" s="4">
        <v>-3</v>
      </c>
      <c r="O260" s="4">
        <v>3</v>
      </c>
      <c r="P260" s="4">
        <v>1</v>
      </c>
      <c r="Q260" s="7" t="s">
        <v>540</v>
      </c>
      <c r="R260" s="7" t="s">
        <v>40</v>
      </c>
    </row>
    <row r="261" spans="1:18">
      <c r="A261" s="4" t="s">
        <v>541</v>
      </c>
      <c r="B261" s="4">
        <v>-5</v>
      </c>
      <c r="C261" s="4">
        <v>0</v>
      </c>
      <c r="D261" s="4">
        <v>1</v>
      </c>
      <c r="E261" s="4">
        <v>3.5</v>
      </c>
      <c r="F261" s="4">
        <v>-5</v>
      </c>
      <c r="G261" s="4">
        <v>-2</v>
      </c>
      <c r="H261" s="4">
        <v>3</v>
      </c>
      <c r="I261" s="4">
        <v>-4</v>
      </c>
      <c r="J261" s="4">
        <v>0</v>
      </c>
      <c r="K261" s="4">
        <v>4</v>
      </c>
      <c r="L261" s="4">
        <v>-3</v>
      </c>
      <c r="M261" s="4">
        <v>-5</v>
      </c>
      <c r="N261" s="4">
        <v>5</v>
      </c>
      <c r="O261" s="4">
        <v>-5</v>
      </c>
      <c r="P261" s="4">
        <v>0</v>
      </c>
      <c r="Q261" s="7" t="s">
        <v>542</v>
      </c>
      <c r="R261" s="7" t="s">
        <v>31</v>
      </c>
    </row>
    <row r="262" spans="1:18">
      <c r="A262" s="4" t="s">
        <v>543</v>
      </c>
      <c r="B262" s="4">
        <v>6</v>
      </c>
      <c r="C262" s="4">
        <v>6</v>
      </c>
      <c r="D262" s="4">
        <v>-5</v>
      </c>
      <c r="E262" s="4">
        <v>2</v>
      </c>
      <c r="F262" s="4">
        <v>2</v>
      </c>
      <c r="G262" s="4">
        <v>6</v>
      </c>
      <c r="H262" s="4">
        <v>-0.5</v>
      </c>
      <c r="I262" s="4">
        <v>6</v>
      </c>
      <c r="J262" s="4">
        <v>-1</v>
      </c>
      <c r="K262" s="4">
        <v>-4</v>
      </c>
      <c r="L262" s="4">
        <v>1</v>
      </c>
      <c r="M262" s="4">
        <v>-1.5</v>
      </c>
      <c r="N262" s="4">
        <v>-10</v>
      </c>
      <c r="O262" s="4">
        <v>-7</v>
      </c>
      <c r="P262" s="4">
        <v>0</v>
      </c>
      <c r="Q262" s="7" t="s">
        <v>544</v>
      </c>
      <c r="R262" s="7" t="s">
        <v>16</v>
      </c>
    </row>
    <row r="263" spans="1:18">
      <c r="A263" s="4" t="s">
        <v>545</v>
      </c>
      <c r="B263" s="4">
        <v>0.5</v>
      </c>
      <c r="C263" s="4">
        <v>0.5</v>
      </c>
      <c r="D263" s="4">
        <v>-3</v>
      </c>
      <c r="E263" s="4">
        <v>-6</v>
      </c>
      <c r="F263" s="4">
        <v>-1</v>
      </c>
      <c r="G263" s="4">
        <v>-3</v>
      </c>
      <c r="H263" s="4">
        <v>0.5</v>
      </c>
      <c r="I263" s="4">
        <v>-1</v>
      </c>
      <c r="J263" s="4">
        <v>-3</v>
      </c>
      <c r="K263" s="4">
        <v>-5</v>
      </c>
      <c r="L263" s="4">
        <v>-2</v>
      </c>
      <c r="M263" s="4">
        <v>2</v>
      </c>
      <c r="N263" s="4">
        <v>1.5</v>
      </c>
      <c r="O263" s="4">
        <v>-1</v>
      </c>
      <c r="P263" s="4">
        <v>1</v>
      </c>
      <c r="Q263" s="7" t="s">
        <v>546</v>
      </c>
      <c r="R263" s="7" t="s">
        <v>19</v>
      </c>
    </row>
    <row r="264" spans="1:18">
      <c r="A264" s="4" t="s">
        <v>547</v>
      </c>
      <c r="B264" s="4">
        <v>1</v>
      </c>
      <c r="C264" s="4">
        <v>4</v>
      </c>
      <c r="D264" s="4">
        <v>0</v>
      </c>
      <c r="E264" s="4">
        <v>1</v>
      </c>
      <c r="F264" s="4">
        <v>-1</v>
      </c>
      <c r="G264" s="4">
        <v>4</v>
      </c>
      <c r="H264" s="4">
        <v>1</v>
      </c>
      <c r="I264" s="4">
        <v>1</v>
      </c>
      <c r="J264" s="4">
        <v>-8</v>
      </c>
      <c r="K264" s="4">
        <v>-3</v>
      </c>
      <c r="L264" s="4">
        <v>1</v>
      </c>
      <c r="M264" s="4">
        <v>-3</v>
      </c>
      <c r="N264" s="4">
        <v>-3.5</v>
      </c>
      <c r="O264" s="4">
        <v>-1</v>
      </c>
      <c r="P264" s="4">
        <v>0</v>
      </c>
      <c r="Q264" s="7" t="s">
        <v>548</v>
      </c>
      <c r="R264" s="7" t="s">
        <v>22</v>
      </c>
    </row>
    <row r="265" spans="1:18">
      <c r="A265" s="4" t="s">
        <v>549</v>
      </c>
      <c r="B265" s="4">
        <v>0</v>
      </c>
      <c r="C265" s="4">
        <v>-1</v>
      </c>
      <c r="D265" s="4">
        <v>-4</v>
      </c>
      <c r="E265" s="4">
        <v>-6</v>
      </c>
      <c r="F265" s="4">
        <v>-1</v>
      </c>
      <c r="G265" s="4">
        <v>-11</v>
      </c>
      <c r="H265" s="4">
        <v>-1</v>
      </c>
      <c r="I265" s="4">
        <v>-2</v>
      </c>
      <c r="J265" s="4">
        <v>0</v>
      </c>
      <c r="K265" s="4">
        <v>4.5</v>
      </c>
      <c r="L265" s="4">
        <v>-1</v>
      </c>
      <c r="M265" s="4">
        <v>1</v>
      </c>
      <c r="N265" s="4">
        <v>3</v>
      </c>
      <c r="O265" s="4">
        <v>1</v>
      </c>
      <c r="P265" s="4">
        <v>0</v>
      </c>
      <c r="Q265" s="7" t="s">
        <v>550</v>
      </c>
      <c r="R265" s="7" t="s">
        <v>25</v>
      </c>
    </row>
    <row r="266" spans="1:18">
      <c r="A266" s="4" t="s">
        <v>551</v>
      </c>
      <c r="B266" s="4">
        <v>5</v>
      </c>
      <c r="C266" s="4">
        <v>0.5</v>
      </c>
      <c r="D266" s="4">
        <v>-7</v>
      </c>
      <c r="E266" s="4">
        <v>0.5</v>
      </c>
      <c r="F266" s="4">
        <v>-4</v>
      </c>
      <c r="G266" s="4">
        <v>0</v>
      </c>
      <c r="H266" s="4">
        <v>6</v>
      </c>
      <c r="I266" s="4">
        <v>3</v>
      </c>
      <c r="J266" s="4">
        <v>0</v>
      </c>
      <c r="K266" s="4">
        <v>5</v>
      </c>
      <c r="L266" s="4">
        <v>7</v>
      </c>
      <c r="M266" s="4">
        <v>1</v>
      </c>
      <c r="N266" s="4">
        <v>6</v>
      </c>
      <c r="O266" s="4">
        <v>-5</v>
      </c>
      <c r="P266" s="4">
        <v>0</v>
      </c>
      <c r="Q266" s="7" t="s">
        <v>552</v>
      </c>
      <c r="R266" s="7" t="s">
        <v>28</v>
      </c>
    </row>
    <row r="267" spans="1:18">
      <c r="A267" s="4" t="s">
        <v>553</v>
      </c>
      <c r="B267" s="4">
        <v>-0.5</v>
      </c>
      <c r="C267" s="4">
        <v>-4</v>
      </c>
      <c r="D267" s="4">
        <v>-2</v>
      </c>
      <c r="E267" s="4">
        <v>2</v>
      </c>
      <c r="F267" s="4">
        <v>-3</v>
      </c>
      <c r="G267" s="4">
        <v>2</v>
      </c>
      <c r="H267" s="4">
        <v>-4</v>
      </c>
      <c r="I267" s="4">
        <v>3.5</v>
      </c>
      <c r="J267" s="4">
        <v>-4</v>
      </c>
      <c r="K267" s="4">
        <v>0</v>
      </c>
      <c r="L267" s="4">
        <v>-0.5</v>
      </c>
      <c r="M267" s="4">
        <v>-5</v>
      </c>
      <c r="N267" s="4">
        <v>-4</v>
      </c>
      <c r="O267" s="4">
        <v>0</v>
      </c>
      <c r="P267" s="4">
        <v>0</v>
      </c>
      <c r="Q267" s="7" t="s">
        <v>554</v>
      </c>
      <c r="R267" s="7" t="s">
        <v>19</v>
      </c>
    </row>
    <row r="268" spans="1:18">
      <c r="A268" s="4" t="s">
        <v>555</v>
      </c>
      <c r="B268" s="4">
        <v>1</v>
      </c>
      <c r="C268" s="4">
        <v>1</v>
      </c>
      <c r="D268" s="4">
        <v>4</v>
      </c>
      <c r="E268" s="4">
        <v>-2</v>
      </c>
      <c r="F268" s="4">
        <v>8.5</v>
      </c>
      <c r="G268" s="4">
        <v>-4</v>
      </c>
      <c r="H268" s="4">
        <v>-0.5</v>
      </c>
      <c r="I268" s="4">
        <v>3</v>
      </c>
      <c r="J268" s="4">
        <v>1.5</v>
      </c>
      <c r="K268" s="4">
        <v>0</v>
      </c>
      <c r="L268" s="4">
        <v>-9</v>
      </c>
      <c r="M268" s="4">
        <v>1</v>
      </c>
      <c r="N268" s="4">
        <v>-5</v>
      </c>
      <c r="O268" s="4">
        <v>-2</v>
      </c>
      <c r="P268" s="4">
        <v>1</v>
      </c>
      <c r="Q268" s="7" t="s">
        <v>556</v>
      </c>
      <c r="R268" s="7" t="s">
        <v>34</v>
      </c>
    </row>
    <row r="269" spans="1:18">
      <c r="A269" s="4" t="s">
        <v>557</v>
      </c>
      <c r="B269" s="4">
        <v>-2</v>
      </c>
      <c r="C269" s="4">
        <v>-0.5</v>
      </c>
      <c r="D269" s="4">
        <v>-5</v>
      </c>
      <c r="E269" s="4">
        <v>1</v>
      </c>
      <c r="F269" s="4">
        <v>-3.5</v>
      </c>
      <c r="G269" s="4">
        <v>1</v>
      </c>
      <c r="H269" s="4">
        <v>-2</v>
      </c>
      <c r="I269" s="4">
        <v>-1.5</v>
      </c>
      <c r="J269" s="4">
        <v>-7</v>
      </c>
      <c r="K269" s="4">
        <v>-4</v>
      </c>
      <c r="L269" s="4">
        <v>-0.5</v>
      </c>
      <c r="M269" s="4">
        <v>-1</v>
      </c>
      <c r="N269" s="4">
        <v>-2</v>
      </c>
      <c r="O269" s="4">
        <v>-2.5</v>
      </c>
      <c r="P269" s="4">
        <v>1</v>
      </c>
      <c r="Q269" s="7" t="s">
        <v>558</v>
      </c>
      <c r="R269" s="7" t="s">
        <v>37</v>
      </c>
    </row>
    <row r="270" spans="1:18">
      <c r="A270" s="4" t="s">
        <v>559</v>
      </c>
      <c r="B270" s="4">
        <v>4</v>
      </c>
      <c r="C270" s="4">
        <v>2</v>
      </c>
      <c r="D270" s="4">
        <v>1</v>
      </c>
      <c r="E270" s="4">
        <v>-1</v>
      </c>
      <c r="F270" s="4">
        <v>-3</v>
      </c>
      <c r="G270" s="4">
        <v>-8</v>
      </c>
      <c r="H270" s="4">
        <v>-7</v>
      </c>
      <c r="I270" s="4">
        <v>0.5</v>
      </c>
      <c r="J270" s="4">
        <v>0</v>
      </c>
      <c r="K270" s="4">
        <v>2</v>
      </c>
      <c r="L270" s="4">
        <v>2</v>
      </c>
      <c r="M270" s="4">
        <v>-6</v>
      </c>
      <c r="N270" s="4">
        <v>1</v>
      </c>
      <c r="O270" s="4">
        <v>4</v>
      </c>
      <c r="P270" s="4">
        <v>1</v>
      </c>
      <c r="Q270" s="7" t="s">
        <v>560</v>
      </c>
      <c r="R270" s="7" t="s">
        <v>40</v>
      </c>
    </row>
    <row r="271" spans="1:18">
      <c r="A271" s="4" t="s">
        <v>561</v>
      </c>
      <c r="B271" s="4">
        <v>-6</v>
      </c>
      <c r="C271" s="4">
        <v>2</v>
      </c>
      <c r="D271" s="4">
        <v>-6</v>
      </c>
      <c r="E271" s="4">
        <v>-7</v>
      </c>
      <c r="F271" s="4">
        <v>-1</v>
      </c>
      <c r="G271" s="4">
        <v>-2</v>
      </c>
      <c r="H271" s="4">
        <v>1</v>
      </c>
      <c r="I271" s="4">
        <v>3.5</v>
      </c>
      <c r="J271" s="4">
        <v>2</v>
      </c>
      <c r="K271" s="4">
        <v>2.5</v>
      </c>
      <c r="L271" s="4">
        <v>3</v>
      </c>
      <c r="M271" s="4">
        <v>1</v>
      </c>
      <c r="N271" s="4">
        <v>0</v>
      </c>
      <c r="O271" s="4">
        <v>0</v>
      </c>
      <c r="P271" s="4">
        <v>1</v>
      </c>
      <c r="Q271" s="7" t="s">
        <v>562</v>
      </c>
      <c r="R271" s="7" t="s">
        <v>31</v>
      </c>
    </row>
    <row r="272" spans="1:18">
      <c r="A272" s="4" t="s">
        <v>563</v>
      </c>
      <c r="B272" s="4">
        <v>1</v>
      </c>
      <c r="C272" s="4">
        <v>0</v>
      </c>
      <c r="D272" s="4">
        <v>0</v>
      </c>
      <c r="E272" s="4">
        <v>1</v>
      </c>
      <c r="F272" s="4">
        <v>3.5</v>
      </c>
      <c r="G272" s="4">
        <v>3.5</v>
      </c>
      <c r="H272" s="4">
        <v>0</v>
      </c>
      <c r="I272" s="4">
        <v>0</v>
      </c>
      <c r="J272" s="4">
        <v>-1</v>
      </c>
      <c r="K272" s="4">
        <v>3</v>
      </c>
      <c r="L272" s="4">
        <v>1.5</v>
      </c>
      <c r="M272" s="4">
        <v>3</v>
      </c>
      <c r="N272" s="4">
        <v>-1</v>
      </c>
      <c r="O272" s="4">
        <v>7.5</v>
      </c>
      <c r="P272" s="4">
        <v>0</v>
      </c>
      <c r="Q272" s="7" t="s">
        <v>564</v>
      </c>
      <c r="R272" s="7" t="s">
        <v>16</v>
      </c>
    </row>
    <row r="273" spans="1:18">
      <c r="A273" s="4" t="s">
        <v>565</v>
      </c>
      <c r="B273" s="4">
        <v>0</v>
      </c>
      <c r="C273" s="4">
        <v>-1</v>
      </c>
      <c r="D273" s="4">
        <v>0</v>
      </c>
      <c r="E273" s="4">
        <v>3</v>
      </c>
      <c r="F273" s="4">
        <v>0</v>
      </c>
      <c r="G273" s="4">
        <v>-2</v>
      </c>
      <c r="H273" s="4">
        <v>-1</v>
      </c>
      <c r="I273" s="4">
        <v>10</v>
      </c>
      <c r="J273" s="4">
        <v>1</v>
      </c>
      <c r="K273" s="4">
        <v>1</v>
      </c>
      <c r="L273" s="4">
        <v>2</v>
      </c>
      <c r="M273" s="4">
        <v>-5</v>
      </c>
      <c r="N273" s="4">
        <v>2</v>
      </c>
      <c r="O273" s="4">
        <v>-1</v>
      </c>
      <c r="P273" s="4">
        <v>0</v>
      </c>
      <c r="Q273" s="7" t="s">
        <v>566</v>
      </c>
      <c r="R273" s="7" t="s">
        <v>19</v>
      </c>
    </row>
    <row r="274" spans="1:18">
      <c r="A274" s="4" t="s">
        <v>567</v>
      </c>
      <c r="B274" s="4">
        <v>-4</v>
      </c>
      <c r="C274" s="4">
        <v>-4</v>
      </c>
      <c r="D274" s="4">
        <v>-8</v>
      </c>
      <c r="E274" s="4">
        <v>-4</v>
      </c>
      <c r="F274" s="4">
        <v>1</v>
      </c>
      <c r="G274" s="4">
        <v>-4</v>
      </c>
      <c r="H274" s="4">
        <v>0</v>
      </c>
      <c r="I274" s="4">
        <v>1.5</v>
      </c>
      <c r="J274" s="4">
        <v>-5</v>
      </c>
      <c r="K274" s="4">
        <v>2</v>
      </c>
      <c r="L274" s="4">
        <v>2</v>
      </c>
      <c r="M274" s="4">
        <v>-2</v>
      </c>
      <c r="N274" s="4">
        <v>-3</v>
      </c>
      <c r="O274" s="4">
        <v>3.5</v>
      </c>
      <c r="P274" s="4">
        <v>1</v>
      </c>
      <c r="Q274" s="7" t="s">
        <v>568</v>
      </c>
      <c r="R274" s="7" t="s">
        <v>22</v>
      </c>
    </row>
    <row r="275" spans="1:18">
      <c r="A275" s="4" t="s">
        <v>569</v>
      </c>
      <c r="B275" s="4">
        <v>-2</v>
      </c>
      <c r="C275" s="4">
        <v>3.5</v>
      </c>
      <c r="D275" s="4">
        <v>-1</v>
      </c>
      <c r="E275" s="4">
        <v>1</v>
      </c>
      <c r="F275" s="4">
        <v>3.5</v>
      </c>
      <c r="G275" s="4">
        <v>5</v>
      </c>
      <c r="H275" s="4">
        <v>-2</v>
      </c>
      <c r="I275" s="4">
        <v>2</v>
      </c>
      <c r="J275" s="4">
        <v>4</v>
      </c>
      <c r="K275" s="4">
        <v>0</v>
      </c>
      <c r="L275" s="4">
        <v>-1</v>
      </c>
      <c r="M275" s="4">
        <v>1.5</v>
      </c>
      <c r="N275" s="4">
        <v>3</v>
      </c>
      <c r="O275" s="4">
        <v>9.5</v>
      </c>
      <c r="P275" s="4">
        <v>1</v>
      </c>
      <c r="Q275" s="7" t="s">
        <v>570</v>
      </c>
      <c r="R275" s="7" t="s">
        <v>25</v>
      </c>
    </row>
    <row r="276" spans="1:18">
      <c r="A276" s="4" t="s">
        <v>571</v>
      </c>
      <c r="B276" s="4">
        <v>-1</v>
      </c>
      <c r="C276" s="4">
        <v>4</v>
      </c>
      <c r="D276" s="4">
        <v>0</v>
      </c>
      <c r="E276" s="4">
        <v>4</v>
      </c>
      <c r="F276" s="4">
        <v>-6</v>
      </c>
      <c r="G276" s="4">
        <v>-6</v>
      </c>
      <c r="H276" s="4">
        <v>-4</v>
      </c>
      <c r="I276" s="4">
        <v>-1</v>
      </c>
      <c r="J276" s="4">
        <v>-1</v>
      </c>
      <c r="K276" s="4">
        <v>-1</v>
      </c>
      <c r="L276" s="4">
        <v>1.5</v>
      </c>
      <c r="M276" s="4">
        <v>-2</v>
      </c>
      <c r="N276" s="4">
        <v>-3</v>
      </c>
      <c r="O276" s="4">
        <v>-5</v>
      </c>
      <c r="P276" s="4">
        <v>0</v>
      </c>
      <c r="Q276" s="7" t="s">
        <v>572</v>
      </c>
      <c r="R276" s="7" t="s">
        <v>28</v>
      </c>
    </row>
    <row r="277" spans="1:18">
      <c r="A277" s="4" t="s">
        <v>573</v>
      </c>
      <c r="B277" s="4">
        <v>-1</v>
      </c>
      <c r="C277" s="4">
        <v>-1</v>
      </c>
      <c r="D277" s="4">
        <v>-4</v>
      </c>
      <c r="E277" s="4">
        <v>-2</v>
      </c>
      <c r="F277" s="4">
        <v>-2.5</v>
      </c>
      <c r="G277" s="4">
        <v>2</v>
      </c>
      <c r="H277" s="4">
        <v>-2</v>
      </c>
      <c r="I277" s="4">
        <v>7</v>
      </c>
      <c r="J277" s="4">
        <v>-1</v>
      </c>
      <c r="K277" s="4">
        <v>-1</v>
      </c>
      <c r="L277" s="4">
        <v>-0.5</v>
      </c>
      <c r="M277" s="4">
        <v>-3</v>
      </c>
      <c r="N277" s="4">
        <v>-4</v>
      </c>
      <c r="O277" s="4">
        <v>-3.5</v>
      </c>
      <c r="P277" s="4">
        <v>1</v>
      </c>
      <c r="Q277" s="7" t="s">
        <v>574</v>
      </c>
      <c r="R277" s="7" t="s">
        <v>22</v>
      </c>
    </row>
    <row r="278" spans="1:18">
      <c r="A278" s="4" t="s">
        <v>575</v>
      </c>
      <c r="B278" s="4">
        <v>0</v>
      </c>
      <c r="C278" s="4">
        <v>4</v>
      </c>
      <c r="D278" s="4">
        <v>4</v>
      </c>
      <c r="E278" s="4">
        <v>0</v>
      </c>
      <c r="F278" s="4">
        <v>1.5</v>
      </c>
      <c r="G278" s="4">
        <v>-4</v>
      </c>
      <c r="H278" s="4">
        <v>-5</v>
      </c>
      <c r="I278" s="4">
        <v>2.5</v>
      </c>
      <c r="J278" s="4">
        <v>-3</v>
      </c>
      <c r="K278" s="4">
        <v>0</v>
      </c>
      <c r="L278" s="4">
        <v>0</v>
      </c>
      <c r="M278" s="4">
        <v>4</v>
      </c>
      <c r="N278" s="4">
        <v>1</v>
      </c>
      <c r="O278" s="4">
        <v>5</v>
      </c>
      <c r="P278" s="4">
        <v>0</v>
      </c>
      <c r="Q278" s="7" t="s">
        <v>576</v>
      </c>
      <c r="R278" s="7" t="s">
        <v>34</v>
      </c>
    </row>
    <row r="279" spans="1:18">
      <c r="A279" s="4" t="s">
        <v>577</v>
      </c>
      <c r="B279" s="4">
        <v>6</v>
      </c>
      <c r="C279" s="4">
        <v>6</v>
      </c>
      <c r="D279" s="4">
        <v>0</v>
      </c>
      <c r="E279" s="4">
        <v>3</v>
      </c>
      <c r="F279" s="4">
        <v>-4</v>
      </c>
      <c r="G279" s="4">
        <v>-3</v>
      </c>
      <c r="H279" s="4">
        <v>0</v>
      </c>
      <c r="I279" s="4">
        <v>1</v>
      </c>
      <c r="J279" s="4">
        <v>3</v>
      </c>
      <c r="K279" s="4">
        <v>0</v>
      </c>
      <c r="L279" s="4">
        <v>6</v>
      </c>
      <c r="M279" s="4">
        <v>2</v>
      </c>
      <c r="N279" s="4">
        <v>-1</v>
      </c>
      <c r="O279" s="4">
        <v>4</v>
      </c>
      <c r="P279" s="4">
        <v>1</v>
      </c>
      <c r="Q279" s="7" t="s">
        <v>578</v>
      </c>
      <c r="R279" s="7" t="s">
        <v>37</v>
      </c>
    </row>
    <row r="280" spans="1:18">
      <c r="A280" s="4" t="s">
        <v>579</v>
      </c>
      <c r="B280" s="4">
        <v>6</v>
      </c>
      <c r="C280" s="4">
        <v>-4</v>
      </c>
      <c r="D280" s="4">
        <v>-4</v>
      </c>
      <c r="E280" s="4">
        <v>-2</v>
      </c>
      <c r="F280" s="4">
        <v>8.5</v>
      </c>
      <c r="G280" s="4">
        <v>4</v>
      </c>
      <c r="H280" s="4">
        <v>-2</v>
      </c>
      <c r="I280" s="4">
        <v>6.5</v>
      </c>
      <c r="J280" s="4">
        <v>2</v>
      </c>
      <c r="K280" s="4">
        <v>-4</v>
      </c>
      <c r="L280" s="4">
        <v>6</v>
      </c>
      <c r="M280" s="4">
        <v>6</v>
      </c>
      <c r="N280" s="4">
        <v>4</v>
      </c>
      <c r="O280" s="4">
        <v>9</v>
      </c>
      <c r="P280" s="4">
        <v>0</v>
      </c>
      <c r="Q280" s="7" t="s">
        <v>580</v>
      </c>
      <c r="R280" s="7" t="s">
        <v>40</v>
      </c>
    </row>
    <row r="281" spans="1:18">
      <c r="A281" s="4" t="s">
        <v>581</v>
      </c>
      <c r="B281" s="4">
        <v>5</v>
      </c>
      <c r="C281" s="4">
        <v>5</v>
      </c>
      <c r="D281" s="4">
        <v>3</v>
      </c>
      <c r="E281" s="4">
        <v>6</v>
      </c>
      <c r="F281" s="4">
        <v>-1</v>
      </c>
      <c r="G281" s="4">
        <v>5</v>
      </c>
      <c r="H281" s="4">
        <v>6</v>
      </c>
      <c r="I281" s="4">
        <v>-3</v>
      </c>
      <c r="J281" s="4">
        <v>5</v>
      </c>
      <c r="K281" s="4">
        <v>1</v>
      </c>
      <c r="L281" s="4">
        <v>1</v>
      </c>
      <c r="M281" s="4">
        <v>7.5</v>
      </c>
      <c r="N281" s="4">
        <v>5</v>
      </c>
      <c r="O281" s="4">
        <v>0</v>
      </c>
      <c r="P281" s="4">
        <v>1</v>
      </c>
      <c r="Q281" s="7" t="s">
        <v>582</v>
      </c>
      <c r="R281" s="7" t="s">
        <v>31</v>
      </c>
    </row>
    <row r="282" spans="1:18">
      <c r="A282" s="4" t="s">
        <v>583</v>
      </c>
      <c r="B282" s="4">
        <v>-8</v>
      </c>
      <c r="C282" s="4">
        <v>7</v>
      </c>
      <c r="D282" s="4">
        <v>-8</v>
      </c>
      <c r="E282" s="4">
        <v>4.5</v>
      </c>
      <c r="F282" s="4">
        <v>1.5</v>
      </c>
      <c r="G282" s="4">
        <v>5</v>
      </c>
      <c r="H282" s="4">
        <v>-1</v>
      </c>
      <c r="I282" s="4">
        <v>7</v>
      </c>
      <c r="J282" s="4">
        <v>-1</v>
      </c>
      <c r="K282" s="4">
        <v>-6</v>
      </c>
      <c r="L282" s="4">
        <v>3</v>
      </c>
      <c r="M282" s="4">
        <v>-1</v>
      </c>
      <c r="N282" s="4">
        <v>-12</v>
      </c>
      <c r="O282" s="4">
        <v>-8</v>
      </c>
      <c r="P282" s="4">
        <v>1</v>
      </c>
      <c r="Q282" s="7" t="s">
        <v>584</v>
      </c>
      <c r="R282" s="7" t="s">
        <v>16</v>
      </c>
    </row>
    <row r="283" spans="1:18">
      <c r="A283" s="4" t="s">
        <v>585</v>
      </c>
      <c r="B283" s="4">
        <v>-2</v>
      </c>
      <c r="C283" s="4">
        <v>-2.5</v>
      </c>
      <c r="D283" s="4">
        <v>-2</v>
      </c>
      <c r="E283" s="4">
        <v>-4</v>
      </c>
      <c r="F283" s="4">
        <v>2</v>
      </c>
      <c r="G283" s="4">
        <v>-4</v>
      </c>
      <c r="H283" s="4">
        <v>-2.5</v>
      </c>
      <c r="I283" s="4">
        <v>-2</v>
      </c>
      <c r="J283" s="4">
        <v>-2</v>
      </c>
      <c r="K283" s="4">
        <v>-8</v>
      </c>
      <c r="L283" s="4">
        <v>-2</v>
      </c>
      <c r="M283" s="4">
        <v>3.5</v>
      </c>
      <c r="N283" s="4">
        <v>0.5</v>
      </c>
      <c r="O283" s="4">
        <v>1</v>
      </c>
      <c r="P283" s="4">
        <v>0</v>
      </c>
      <c r="Q283" s="7" t="s">
        <v>586</v>
      </c>
      <c r="R283" s="7" t="s">
        <v>19</v>
      </c>
    </row>
    <row r="284" spans="1:18">
      <c r="A284" s="4" t="s">
        <v>587</v>
      </c>
      <c r="B284" s="4">
        <v>-1</v>
      </c>
      <c r="C284" s="4">
        <v>6</v>
      </c>
      <c r="D284" s="4">
        <v>-1</v>
      </c>
      <c r="E284" s="4">
        <v>-1</v>
      </c>
      <c r="F284" s="4">
        <v>-2</v>
      </c>
      <c r="G284" s="4">
        <v>6</v>
      </c>
      <c r="H284" s="4">
        <v>0</v>
      </c>
      <c r="I284" s="4">
        <v>1</v>
      </c>
      <c r="J284" s="4">
        <v>-7</v>
      </c>
      <c r="K284" s="4">
        <v>-3</v>
      </c>
      <c r="L284" s="4">
        <v>3.5</v>
      </c>
      <c r="M284" s="4">
        <v>-2</v>
      </c>
      <c r="N284" s="4">
        <v>-4.5</v>
      </c>
      <c r="O284" s="4">
        <v>0</v>
      </c>
      <c r="P284" s="4">
        <v>1</v>
      </c>
      <c r="Q284" s="7" t="s">
        <v>588</v>
      </c>
      <c r="R284" s="7" t="s">
        <v>22</v>
      </c>
    </row>
    <row r="285" spans="1:18">
      <c r="A285" s="4" t="s">
        <v>589</v>
      </c>
      <c r="B285" s="4">
        <v>-2</v>
      </c>
      <c r="C285" s="4">
        <v>-2</v>
      </c>
      <c r="D285" s="4">
        <v>-3.5</v>
      </c>
      <c r="E285" s="4">
        <v>-8</v>
      </c>
      <c r="F285" s="4">
        <v>-2</v>
      </c>
      <c r="G285" s="4">
        <v>-9</v>
      </c>
      <c r="H285" s="4">
        <v>-4.5</v>
      </c>
      <c r="I285" s="4">
        <v>1</v>
      </c>
      <c r="J285" s="4">
        <v>0</v>
      </c>
      <c r="K285" s="4">
        <v>1.5</v>
      </c>
      <c r="L285" s="4">
        <v>-1</v>
      </c>
      <c r="M285" s="4">
        <v>4</v>
      </c>
      <c r="N285" s="4">
        <v>6</v>
      </c>
      <c r="O285" s="4">
        <v>1</v>
      </c>
      <c r="P285" s="4">
        <v>1</v>
      </c>
      <c r="Q285" s="7" t="s">
        <v>590</v>
      </c>
      <c r="R285" s="7" t="s">
        <v>25</v>
      </c>
    </row>
    <row r="286" spans="1:18">
      <c r="A286" s="4" t="s">
        <v>591</v>
      </c>
      <c r="B286" s="4">
        <v>1.5</v>
      </c>
      <c r="C286" s="4">
        <v>-5.5</v>
      </c>
      <c r="D286" s="4">
        <v>-7</v>
      </c>
      <c r="E286" s="4">
        <v>-5.5</v>
      </c>
      <c r="F286" s="4">
        <v>-2</v>
      </c>
      <c r="G286" s="4">
        <v>1.5</v>
      </c>
      <c r="H286" s="4">
        <v>2</v>
      </c>
      <c r="I286" s="4">
        <v>2</v>
      </c>
      <c r="J286" s="4">
        <v>0</v>
      </c>
      <c r="K286" s="4">
        <v>4</v>
      </c>
      <c r="L286" s="4">
        <v>6</v>
      </c>
      <c r="M286" s="4">
        <v>1</v>
      </c>
      <c r="N286" s="4">
        <v>5</v>
      </c>
      <c r="O286" s="4">
        <v>-3</v>
      </c>
      <c r="P286" s="4">
        <v>0</v>
      </c>
      <c r="Q286" s="7" t="s">
        <v>592</v>
      </c>
      <c r="R286" s="7" t="s">
        <v>28</v>
      </c>
    </row>
    <row r="287" spans="1:18">
      <c r="A287" s="4" t="s">
        <v>593</v>
      </c>
      <c r="B287" s="4">
        <v>1</v>
      </c>
      <c r="C287" s="4">
        <v>3</v>
      </c>
      <c r="D287" s="4">
        <v>-1</v>
      </c>
      <c r="E287" s="4">
        <v>3</v>
      </c>
      <c r="F287" s="4">
        <v>4</v>
      </c>
      <c r="G287" s="4">
        <v>1</v>
      </c>
      <c r="H287" s="4">
        <v>1</v>
      </c>
      <c r="I287" s="4">
        <v>-1</v>
      </c>
      <c r="J287" s="4">
        <v>5</v>
      </c>
      <c r="K287" s="4">
        <v>-0.5</v>
      </c>
      <c r="L287" s="4">
        <v>3</v>
      </c>
      <c r="M287" s="4">
        <v>3</v>
      </c>
      <c r="N287" s="4">
        <v>-6.5</v>
      </c>
      <c r="O287" s="4">
        <v>3</v>
      </c>
      <c r="P287" s="4">
        <v>0</v>
      </c>
      <c r="Q287" s="7" t="s">
        <v>594</v>
      </c>
      <c r="R287" s="7" t="s">
        <v>25</v>
      </c>
    </row>
    <row r="288" spans="1:18">
      <c r="A288" s="4" t="s">
        <v>595</v>
      </c>
      <c r="B288" s="4">
        <v>2</v>
      </c>
      <c r="C288" s="4">
        <v>6</v>
      </c>
      <c r="D288" s="4">
        <v>-1</v>
      </c>
      <c r="E288" s="4">
        <v>-5</v>
      </c>
      <c r="F288" s="4">
        <v>-2</v>
      </c>
      <c r="G288" s="4">
        <v>-6</v>
      </c>
      <c r="H288" s="4">
        <v>-8</v>
      </c>
      <c r="I288" s="4">
        <v>2</v>
      </c>
      <c r="J288" s="4">
        <v>7</v>
      </c>
      <c r="K288" s="4">
        <v>0</v>
      </c>
      <c r="L288" s="4">
        <v>-2</v>
      </c>
      <c r="M288" s="4">
        <v>6</v>
      </c>
      <c r="N288" s="4">
        <v>-1</v>
      </c>
      <c r="O288" s="4">
        <v>2</v>
      </c>
      <c r="P288" s="4">
        <v>1</v>
      </c>
      <c r="Q288" s="7" t="s">
        <v>596</v>
      </c>
      <c r="R288" s="7" t="s">
        <v>34</v>
      </c>
    </row>
    <row r="289" spans="1:18">
      <c r="A289" s="4" t="s">
        <v>597</v>
      </c>
      <c r="B289" s="4">
        <v>-4</v>
      </c>
      <c r="C289" s="4">
        <v>-2</v>
      </c>
      <c r="D289" s="4">
        <v>-0.5</v>
      </c>
      <c r="E289" s="4">
        <v>9</v>
      </c>
      <c r="F289" s="4">
        <v>-4</v>
      </c>
      <c r="G289" s="4">
        <v>2</v>
      </c>
      <c r="H289" s="4">
        <v>0</v>
      </c>
      <c r="I289" s="4">
        <v>4</v>
      </c>
      <c r="J289" s="4">
        <v>-4</v>
      </c>
      <c r="K289" s="4">
        <v>-2</v>
      </c>
      <c r="L289" s="4">
        <v>-2</v>
      </c>
      <c r="M289" s="4">
        <v>0</v>
      </c>
      <c r="N289" s="4">
        <v>-2.5</v>
      </c>
      <c r="O289" s="4">
        <v>2</v>
      </c>
      <c r="P289" s="4">
        <v>1</v>
      </c>
      <c r="Q289" s="7" t="s">
        <v>598</v>
      </c>
      <c r="R289" s="7" t="s">
        <v>37</v>
      </c>
    </row>
    <row r="290" spans="1:18">
      <c r="A290" s="4" t="s">
        <v>599</v>
      </c>
      <c r="B290" s="4">
        <v>-7.5</v>
      </c>
      <c r="C290" s="4">
        <v>-7.5</v>
      </c>
      <c r="D290" s="4">
        <v>5</v>
      </c>
      <c r="E290" s="4">
        <v>-4</v>
      </c>
      <c r="F290" s="4">
        <v>6</v>
      </c>
      <c r="G290" s="4">
        <v>-1</v>
      </c>
      <c r="H290" s="4">
        <v>-3</v>
      </c>
      <c r="I290" s="4">
        <v>-6</v>
      </c>
      <c r="J290" s="4">
        <v>-4</v>
      </c>
      <c r="K290" s="4">
        <v>-7.5</v>
      </c>
      <c r="L290" s="4">
        <v>-2</v>
      </c>
      <c r="M290" s="4">
        <v>5</v>
      </c>
      <c r="N290" s="4">
        <v>2</v>
      </c>
      <c r="O290" s="4">
        <v>1.5</v>
      </c>
      <c r="P290" s="4">
        <v>0</v>
      </c>
      <c r="Q290" s="7" t="s">
        <v>600</v>
      </c>
      <c r="R290" s="7" t="s">
        <v>40</v>
      </c>
    </row>
    <row r="291" spans="1:18">
      <c r="A291" s="4" t="s">
        <v>601</v>
      </c>
      <c r="B291" s="4">
        <v>0</v>
      </c>
      <c r="C291" s="4">
        <v>3</v>
      </c>
      <c r="D291" s="4">
        <v>-4</v>
      </c>
      <c r="E291" s="4">
        <v>-3</v>
      </c>
      <c r="F291" s="4">
        <v>-4</v>
      </c>
      <c r="G291" s="4">
        <v>-7</v>
      </c>
      <c r="H291" s="4">
        <v>-1</v>
      </c>
      <c r="I291" s="4">
        <v>0</v>
      </c>
      <c r="J291" s="4">
        <v>3</v>
      </c>
      <c r="K291" s="4">
        <v>3</v>
      </c>
      <c r="L291" s="4">
        <v>0</v>
      </c>
      <c r="M291" s="4">
        <v>1</v>
      </c>
      <c r="N291" s="4">
        <v>1</v>
      </c>
      <c r="O291" s="4">
        <v>-4</v>
      </c>
      <c r="P291" s="4">
        <v>0</v>
      </c>
      <c r="Q291" s="7" t="s">
        <v>602</v>
      </c>
      <c r="R291" s="7" t="s">
        <v>31</v>
      </c>
    </row>
    <row r="292" spans="1:18">
      <c r="A292" s="4" t="s">
        <v>603</v>
      </c>
      <c r="B292" s="4">
        <v>1</v>
      </c>
      <c r="C292" s="4">
        <v>-3</v>
      </c>
      <c r="D292" s="4">
        <v>-3</v>
      </c>
      <c r="E292" s="4">
        <v>3</v>
      </c>
      <c r="F292" s="4">
        <v>2</v>
      </c>
      <c r="G292" s="4">
        <v>2.5</v>
      </c>
      <c r="H292" s="4">
        <v>-4.5</v>
      </c>
      <c r="I292" s="4">
        <v>-3</v>
      </c>
      <c r="J292" s="4">
        <v>3</v>
      </c>
      <c r="K292" s="4">
        <v>-2</v>
      </c>
      <c r="L292" s="4">
        <v>-6</v>
      </c>
      <c r="M292" s="4">
        <v>1</v>
      </c>
      <c r="N292" s="4">
        <v>-4</v>
      </c>
      <c r="O292" s="4">
        <v>-1</v>
      </c>
      <c r="P292" s="4">
        <v>0</v>
      </c>
      <c r="Q292" s="7" t="s">
        <v>604</v>
      </c>
      <c r="R292" s="7" t="s">
        <v>16</v>
      </c>
    </row>
    <row r="293" spans="1:18">
      <c r="A293" s="4" t="s">
        <v>605</v>
      </c>
      <c r="B293" s="4">
        <v>4</v>
      </c>
      <c r="C293" s="4">
        <v>-6</v>
      </c>
      <c r="D293" s="4">
        <v>4</v>
      </c>
      <c r="E293" s="4">
        <v>5</v>
      </c>
      <c r="F293" s="4">
        <v>-1</v>
      </c>
      <c r="G293" s="4">
        <v>-7</v>
      </c>
      <c r="H293" s="4">
        <v>-6</v>
      </c>
      <c r="I293" s="4">
        <v>-4</v>
      </c>
      <c r="J293" s="4">
        <v>-6</v>
      </c>
      <c r="K293" s="4">
        <v>2.5</v>
      </c>
      <c r="L293" s="4">
        <v>1</v>
      </c>
      <c r="M293" s="4">
        <v>4</v>
      </c>
      <c r="N293" s="4">
        <v>4</v>
      </c>
      <c r="O293" s="4">
        <v>0</v>
      </c>
      <c r="P293" s="4">
        <v>0</v>
      </c>
      <c r="Q293" s="7" t="s">
        <v>606</v>
      </c>
      <c r="R293" s="7" t="s">
        <v>19</v>
      </c>
    </row>
    <row r="294" spans="1:18">
      <c r="A294" s="4" t="s">
        <v>607</v>
      </c>
      <c r="B294" s="4">
        <v>-1</v>
      </c>
      <c r="C294" s="4">
        <v>5</v>
      </c>
      <c r="D294" s="4">
        <v>7</v>
      </c>
      <c r="E294" s="4">
        <v>-1</v>
      </c>
      <c r="F294" s="4">
        <v>2</v>
      </c>
      <c r="G294" s="4">
        <v>5</v>
      </c>
      <c r="H294" s="4">
        <v>3.5</v>
      </c>
      <c r="I294" s="4">
        <v>2</v>
      </c>
      <c r="J294" s="4">
        <v>-2</v>
      </c>
      <c r="K294" s="4">
        <v>5.5</v>
      </c>
      <c r="L294" s="4">
        <v>2</v>
      </c>
      <c r="M294" s="4">
        <v>-2</v>
      </c>
      <c r="N294" s="4">
        <v>-5</v>
      </c>
      <c r="O294" s="4">
        <v>-1</v>
      </c>
      <c r="P294" s="4">
        <v>1</v>
      </c>
      <c r="Q294" s="7" t="s">
        <v>608</v>
      </c>
      <c r="R294" s="7" t="s">
        <v>22</v>
      </c>
    </row>
    <row r="295" spans="1:18">
      <c r="A295" s="4" t="s">
        <v>609</v>
      </c>
      <c r="B295" s="4">
        <v>-1</v>
      </c>
      <c r="C295" s="4">
        <v>5</v>
      </c>
      <c r="D295" s="4">
        <v>-1</v>
      </c>
      <c r="E295" s="4">
        <v>4.5</v>
      </c>
      <c r="F295" s="4">
        <v>5</v>
      </c>
      <c r="G295" s="4">
        <v>1</v>
      </c>
      <c r="H295" s="4">
        <v>-5</v>
      </c>
      <c r="I295" s="4">
        <v>0</v>
      </c>
      <c r="J295" s="4">
        <v>5</v>
      </c>
      <c r="K295" s="4">
        <v>3</v>
      </c>
      <c r="L295" s="4">
        <v>1</v>
      </c>
      <c r="M295" s="4">
        <v>-5</v>
      </c>
      <c r="N295" s="4">
        <v>-8</v>
      </c>
      <c r="O295" s="4">
        <v>2</v>
      </c>
      <c r="P295" s="4">
        <v>1</v>
      </c>
      <c r="Q295" s="7" t="s">
        <v>610</v>
      </c>
      <c r="R295" s="7" t="s">
        <v>25</v>
      </c>
    </row>
    <row r="296" spans="1:18">
      <c r="A296" s="4" t="s">
        <v>611</v>
      </c>
      <c r="B296" s="4">
        <v>-1.5</v>
      </c>
      <c r="C296" s="4">
        <v>-1.5</v>
      </c>
      <c r="D296" s="4">
        <v>1</v>
      </c>
      <c r="E296" s="4">
        <v>-1.5</v>
      </c>
      <c r="F296" s="4">
        <v>-3</v>
      </c>
      <c r="G296" s="4">
        <v>0</v>
      </c>
      <c r="H296" s="4">
        <v>6</v>
      </c>
      <c r="I296" s="4">
        <v>-4</v>
      </c>
      <c r="J296" s="4">
        <v>2</v>
      </c>
      <c r="K296" s="4">
        <v>6</v>
      </c>
      <c r="L296" s="4">
        <v>1</v>
      </c>
      <c r="M296" s="4">
        <v>-2</v>
      </c>
      <c r="N296" s="4">
        <v>5</v>
      </c>
      <c r="O296" s="4">
        <v>-3</v>
      </c>
      <c r="P296" s="4">
        <v>1</v>
      </c>
      <c r="Q296" s="7" t="s">
        <v>612</v>
      </c>
      <c r="R296" s="7" t="s">
        <v>28</v>
      </c>
    </row>
    <row r="297" spans="1:18">
      <c r="A297" s="4" t="s">
        <v>613</v>
      </c>
      <c r="B297" s="4">
        <v>1.5</v>
      </c>
      <c r="C297" s="4">
        <v>-1</v>
      </c>
      <c r="D297" s="4">
        <v>-8</v>
      </c>
      <c r="E297" s="4">
        <v>5.5</v>
      </c>
      <c r="F297" s="4">
        <v>1.5</v>
      </c>
      <c r="G297" s="4">
        <v>6</v>
      </c>
      <c r="H297" s="4">
        <v>-1</v>
      </c>
      <c r="I297" s="4">
        <v>5</v>
      </c>
      <c r="J297" s="4">
        <v>-1</v>
      </c>
      <c r="K297" s="4">
        <v>-6</v>
      </c>
      <c r="L297" s="4">
        <v>4</v>
      </c>
      <c r="M297" s="4">
        <v>-1</v>
      </c>
      <c r="N297" s="4">
        <v>-10</v>
      </c>
      <c r="O297" s="4">
        <v>-8</v>
      </c>
      <c r="P297" s="4">
        <v>1</v>
      </c>
      <c r="Q297" s="7" t="s">
        <v>614</v>
      </c>
      <c r="R297" s="7" t="s">
        <v>28</v>
      </c>
    </row>
    <row r="298" spans="1:18">
      <c r="A298" s="4" t="s">
        <v>615</v>
      </c>
      <c r="B298" s="4">
        <v>-4</v>
      </c>
      <c r="C298" s="4">
        <v>-4</v>
      </c>
      <c r="D298" s="4">
        <v>1</v>
      </c>
      <c r="E298" s="4">
        <v>-1</v>
      </c>
      <c r="F298" s="4">
        <v>4</v>
      </c>
      <c r="G298" s="4">
        <v>-4</v>
      </c>
      <c r="H298" s="4">
        <v>-1</v>
      </c>
      <c r="I298" s="4">
        <v>-1.5</v>
      </c>
      <c r="J298" s="4">
        <v>-3</v>
      </c>
      <c r="K298" s="4">
        <v>-5</v>
      </c>
      <c r="L298" s="4">
        <v>-5</v>
      </c>
      <c r="M298" s="4">
        <v>-4</v>
      </c>
      <c r="N298" s="4">
        <v>0</v>
      </c>
      <c r="O298" s="4">
        <v>1</v>
      </c>
      <c r="P298" s="4">
        <v>0</v>
      </c>
      <c r="Q298" s="7" t="s">
        <v>616</v>
      </c>
      <c r="R298" s="7" t="s">
        <v>34</v>
      </c>
    </row>
    <row r="299" spans="1:18">
      <c r="A299" s="4" t="s">
        <v>617</v>
      </c>
      <c r="B299" s="4">
        <v>0</v>
      </c>
      <c r="C299" s="4">
        <v>6</v>
      </c>
      <c r="D299" s="4">
        <v>-2</v>
      </c>
      <c r="E299" s="4">
        <v>-6</v>
      </c>
      <c r="F299" s="4">
        <v>-2</v>
      </c>
      <c r="G299" s="4">
        <v>-1</v>
      </c>
      <c r="H299" s="4">
        <v>0</v>
      </c>
      <c r="I299" s="4">
        <v>3</v>
      </c>
      <c r="J299" s="4">
        <v>-8.5</v>
      </c>
      <c r="K299" s="4">
        <v>2</v>
      </c>
      <c r="L299" s="4">
        <v>6</v>
      </c>
      <c r="M299" s="4">
        <v>-7.5</v>
      </c>
      <c r="N299" s="4">
        <v>3</v>
      </c>
      <c r="O299" s="4">
        <v>4</v>
      </c>
      <c r="P299" s="4">
        <v>1</v>
      </c>
      <c r="Q299" s="7" t="s">
        <v>618</v>
      </c>
      <c r="R299" s="7" t="s">
        <v>37</v>
      </c>
    </row>
    <row r="300" spans="1:18">
      <c r="A300" s="4" t="s">
        <v>619</v>
      </c>
      <c r="B300" s="4">
        <v>6</v>
      </c>
      <c r="C300" s="4">
        <v>4</v>
      </c>
      <c r="D300" s="4">
        <v>-4</v>
      </c>
      <c r="E300" s="4">
        <v>-6</v>
      </c>
      <c r="F300" s="4">
        <v>-3</v>
      </c>
      <c r="G300" s="4">
        <v>-1</v>
      </c>
      <c r="H300" s="4">
        <v>-3</v>
      </c>
      <c r="I300" s="4">
        <v>6</v>
      </c>
      <c r="J300" s="4">
        <v>-1</v>
      </c>
      <c r="K300" s="4">
        <v>4</v>
      </c>
      <c r="L300" s="4">
        <v>3</v>
      </c>
      <c r="M300" s="4">
        <v>1</v>
      </c>
      <c r="N300" s="4">
        <v>4</v>
      </c>
      <c r="O300" s="4">
        <v>-2.5</v>
      </c>
      <c r="P300" s="4">
        <v>1</v>
      </c>
      <c r="Q300" s="7" t="s">
        <v>620</v>
      </c>
      <c r="R300" s="7" t="s">
        <v>40</v>
      </c>
    </row>
    <row r="301" spans="1:18">
      <c r="A301" s="4" t="s">
        <v>621</v>
      </c>
      <c r="B301" s="4">
        <v>5</v>
      </c>
      <c r="C301" s="4">
        <v>5</v>
      </c>
      <c r="D301" s="4">
        <v>-4</v>
      </c>
      <c r="E301" s="4">
        <v>-2</v>
      </c>
      <c r="F301" s="4">
        <v>-2</v>
      </c>
      <c r="G301" s="4">
        <v>3</v>
      </c>
      <c r="H301" s="4">
        <v>5</v>
      </c>
      <c r="I301" s="4">
        <v>2</v>
      </c>
      <c r="J301" s="4">
        <v>5</v>
      </c>
      <c r="K301" s="4">
        <v>6</v>
      </c>
      <c r="L301" s="4">
        <v>6</v>
      </c>
      <c r="M301" s="4">
        <v>3</v>
      </c>
      <c r="N301" s="4">
        <v>-1</v>
      </c>
      <c r="O301" s="4">
        <v>-2</v>
      </c>
      <c r="P301" s="4">
        <v>1</v>
      </c>
      <c r="Q301" s="7" t="s">
        <v>622</v>
      </c>
      <c r="R301" s="7" t="s">
        <v>31</v>
      </c>
    </row>
    <row r="302" spans="1:18">
      <c r="A302" s="4" t="s">
        <v>623</v>
      </c>
      <c r="B302" s="4">
        <v>5</v>
      </c>
      <c r="C302" s="4">
        <v>3</v>
      </c>
      <c r="D302" s="4">
        <v>-8.5</v>
      </c>
      <c r="E302" s="4">
        <v>0</v>
      </c>
      <c r="F302" s="4">
        <v>3</v>
      </c>
      <c r="G302" s="4">
        <v>-7</v>
      </c>
      <c r="H302" s="4">
        <v>-3</v>
      </c>
      <c r="I302" s="4">
        <v>3</v>
      </c>
      <c r="J302" s="4">
        <v>1</v>
      </c>
      <c r="K302" s="4">
        <v>5</v>
      </c>
      <c r="L302" s="4">
        <v>3</v>
      </c>
      <c r="M302" s="4">
        <v>-5.5</v>
      </c>
      <c r="N302" s="4">
        <v>-1</v>
      </c>
      <c r="O302" s="4">
        <v>3</v>
      </c>
      <c r="P302" s="4">
        <v>0</v>
      </c>
      <c r="Q302" s="7" t="s">
        <v>624</v>
      </c>
      <c r="R302" s="7" t="s">
        <v>16</v>
      </c>
    </row>
    <row r="303" spans="1:18">
      <c r="A303" s="4" t="s">
        <v>625</v>
      </c>
      <c r="B303" s="4">
        <v>1</v>
      </c>
      <c r="C303" s="4">
        <v>3</v>
      </c>
      <c r="D303" s="4">
        <v>0</v>
      </c>
      <c r="E303" s="4">
        <v>0</v>
      </c>
      <c r="F303" s="4">
        <v>-4</v>
      </c>
      <c r="G303" s="4">
        <v>2.5</v>
      </c>
      <c r="H303" s="4">
        <v>3</v>
      </c>
      <c r="I303" s="4">
        <v>1</v>
      </c>
      <c r="J303" s="4">
        <v>4</v>
      </c>
      <c r="K303" s="4">
        <v>-3</v>
      </c>
      <c r="L303" s="4">
        <v>1</v>
      </c>
      <c r="M303" s="4">
        <v>0</v>
      </c>
      <c r="N303" s="4">
        <v>6</v>
      </c>
      <c r="O303" s="4">
        <v>2</v>
      </c>
      <c r="P303" s="4">
        <v>1</v>
      </c>
      <c r="Q303" s="7" t="s">
        <v>626</v>
      </c>
      <c r="R303" s="7" t="s">
        <v>19</v>
      </c>
    </row>
    <row r="304" spans="1:18">
      <c r="A304" s="4" t="s">
        <v>627</v>
      </c>
      <c r="B304" s="4">
        <v>-9</v>
      </c>
      <c r="C304" s="4">
        <v>-6</v>
      </c>
      <c r="D304" s="4">
        <v>2</v>
      </c>
      <c r="E304" s="4">
        <v>3</v>
      </c>
      <c r="F304" s="4">
        <v>-2</v>
      </c>
      <c r="G304" s="4">
        <v>-6</v>
      </c>
      <c r="H304" s="4">
        <v>8</v>
      </c>
      <c r="I304" s="4">
        <v>4</v>
      </c>
      <c r="J304" s="4">
        <v>-11</v>
      </c>
      <c r="K304" s="4">
        <v>-2.5</v>
      </c>
      <c r="L304" s="4">
        <v>-0.5</v>
      </c>
      <c r="M304" s="4">
        <v>-9</v>
      </c>
      <c r="N304" s="4">
        <v>5</v>
      </c>
      <c r="O304" s="4">
        <v>-4</v>
      </c>
      <c r="P304" s="4">
        <v>1</v>
      </c>
      <c r="Q304" s="7" t="s">
        <v>628</v>
      </c>
      <c r="R304" s="7" t="s">
        <v>22</v>
      </c>
    </row>
    <row r="305" spans="1:18">
      <c r="A305" s="4" t="s">
        <v>629</v>
      </c>
      <c r="B305" s="4">
        <v>0</v>
      </c>
      <c r="C305" s="4">
        <v>4</v>
      </c>
      <c r="D305" s="4">
        <v>-2.5</v>
      </c>
      <c r="E305" s="4">
        <v>1</v>
      </c>
      <c r="F305" s="4">
        <v>4</v>
      </c>
      <c r="G305" s="4">
        <v>0</v>
      </c>
      <c r="H305" s="4">
        <v>-5</v>
      </c>
      <c r="I305" s="4">
        <v>5</v>
      </c>
      <c r="J305" s="4">
        <v>-11</v>
      </c>
      <c r="K305" s="4">
        <v>4</v>
      </c>
      <c r="L305" s="4">
        <v>-1</v>
      </c>
      <c r="M305" s="4">
        <v>-5.5</v>
      </c>
      <c r="N305" s="4">
        <v>0</v>
      </c>
      <c r="O305" s="4">
        <v>1</v>
      </c>
      <c r="P305" s="4">
        <v>1</v>
      </c>
      <c r="Q305" s="7" t="s">
        <v>630</v>
      </c>
      <c r="R305" s="7" t="s">
        <v>25</v>
      </c>
    </row>
    <row r="306" spans="1:18">
      <c r="A306" s="4" t="s">
        <v>631</v>
      </c>
      <c r="B306" s="4">
        <v>-6</v>
      </c>
      <c r="C306" s="4">
        <v>-0.5</v>
      </c>
      <c r="D306" s="4">
        <v>-4</v>
      </c>
      <c r="E306" s="4">
        <v>-0.5</v>
      </c>
      <c r="F306" s="4">
        <v>-5</v>
      </c>
      <c r="G306" s="4">
        <v>-2.5</v>
      </c>
      <c r="H306" s="4">
        <v>1</v>
      </c>
      <c r="I306" s="4">
        <v>0</v>
      </c>
      <c r="J306" s="4">
        <v>1</v>
      </c>
      <c r="K306" s="4">
        <v>-1</v>
      </c>
      <c r="L306" s="4">
        <v>4</v>
      </c>
      <c r="M306" s="4">
        <v>1</v>
      </c>
      <c r="N306" s="4">
        <v>-4</v>
      </c>
      <c r="O306" s="4">
        <v>-6</v>
      </c>
      <c r="P306" s="4">
        <v>1</v>
      </c>
      <c r="Q306" s="7" t="s">
        <v>632</v>
      </c>
      <c r="R306" s="7" t="s">
        <v>28</v>
      </c>
    </row>
    <row r="307" spans="1:18">
      <c r="A307" s="4" t="s">
        <v>633</v>
      </c>
      <c r="B307" s="4">
        <v>-8</v>
      </c>
      <c r="C307" s="4">
        <v>1</v>
      </c>
      <c r="D307" s="4">
        <v>-8</v>
      </c>
      <c r="E307" s="4">
        <v>-1</v>
      </c>
      <c r="F307" s="4">
        <v>1</v>
      </c>
      <c r="G307" s="4">
        <v>-4.5</v>
      </c>
      <c r="H307" s="4">
        <v>1</v>
      </c>
      <c r="I307" s="4">
        <v>1</v>
      </c>
      <c r="J307" s="4">
        <v>4</v>
      </c>
      <c r="K307" s="4">
        <v>-1</v>
      </c>
      <c r="L307" s="4">
        <v>8</v>
      </c>
      <c r="M307" s="4">
        <v>-1.5</v>
      </c>
      <c r="N307" s="4">
        <v>-3</v>
      </c>
      <c r="O307" s="4">
        <v>2</v>
      </c>
      <c r="P307" s="4">
        <v>1</v>
      </c>
      <c r="Q307" s="7" t="s">
        <v>634</v>
      </c>
      <c r="R307" s="7" t="s">
        <v>31</v>
      </c>
    </row>
    <row r="308" spans="1:18">
      <c r="A308" s="4" t="s">
        <v>635</v>
      </c>
      <c r="B308" s="4">
        <v>6</v>
      </c>
      <c r="C308" s="4">
        <v>5</v>
      </c>
      <c r="D308" s="4">
        <v>4</v>
      </c>
      <c r="E308" s="4">
        <v>6</v>
      </c>
      <c r="F308" s="4">
        <v>6</v>
      </c>
      <c r="G308" s="4">
        <v>-4</v>
      </c>
      <c r="H308" s="4">
        <v>-2</v>
      </c>
      <c r="I308" s="4">
        <v>1.5</v>
      </c>
      <c r="J308" s="4">
        <v>6</v>
      </c>
      <c r="K308" s="4">
        <v>2</v>
      </c>
      <c r="L308" s="4">
        <v>-1</v>
      </c>
      <c r="M308" s="4">
        <v>5</v>
      </c>
      <c r="N308" s="4">
        <v>0</v>
      </c>
      <c r="O308" s="4">
        <v>5.5</v>
      </c>
      <c r="P308" s="4">
        <v>1</v>
      </c>
      <c r="Q308" s="7" t="s">
        <v>636</v>
      </c>
      <c r="R308" s="7" t="s">
        <v>34</v>
      </c>
    </row>
    <row r="309" spans="1:18">
      <c r="A309" s="4" t="s">
        <v>637</v>
      </c>
      <c r="B309" s="4">
        <v>5</v>
      </c>
      <c r="C309" s="4">
        <v>-4</v>
      </c>
      <c r="D309" s="4">
        <v>-2</v>
      </c>
      <c r="E309" s="4">
        <v>1.5</v>
      </c>
      <c r="F309" s="4">
        <v>5</v>
      </c>
      <c r="G309" s="4">
        <v>5</v>
      </c>
      <c r="H309" s="4">
        <v>4</v>
      </c>
      <c r="I309" s="4">
        <v>3</v>
      </c>
      <c r="J309" s="4">
        <v>-7</v>
      </c>
      <c r="K309" s="4">
        <v>0</v>
      </c>
      <c r="L309" s="4">
        <v>-4</v>
      </c>
      <c r="M309" s="4">
        <v>-7</v>
      </c>
      <c r="N309" s="4">
        <v>-3</v>
      </c>
      <c r="O309" s="4">
        <v>-3</v>
      </c>
      <c r="P309" s="4">
        <v>1</v>
      </c>
      <c r="Q309" s="7" t="s">
        <v>638</v>
      </c>
      <c r="R309" s="7" t="s">
        <v>37</v>
      </c>
    </row>
    <row r="310" spans="1:18">
      <c r="A310" s="4" t="s">
        <v>639</v>
      </c>
      <c r="B310" s="4">
        <v>-4.5</v>
      </c>
      <c r="C310" s="4">
        <v>0</v>
      </c>
      <c r="D310" s="4">
        <v>7</v>
      </c>
      <c r="E310" s="4">
        <v>-1</v>
      </c>
      <c r="F310" s="4">
        <v>2</v>
      </c>
      <c r="G310" s="4">
        <v>-4.5</v>
      </c>
      <c r="H310" s="4">
        <v>-3</v>
      </c>
      <c r="I310" s="4">
        <v>4</v>
      </c>
      <c r="J310" s="4">
        <v>-1</v>
      </c>
      <c r="K310" s="4">
        <v>0</v>
      </c>
      <c r="L310" s="4">
        <v>-2</v>
      </c>
      <c r="M310" s="4">
        <v>1</v>
      </c>
      <c r="N310" s="4">
        <v>-1</v>
      </c>
      <c r="O310" s="4">
        <v>6</v>
      </c>
      <c r="P310" s="4">
        <v>0</v>
      </c>
      <c r="Q310" s="7" t="s">
        <v>640</v>
      </c>
      <c r="R310" s="7" t="s">
        <v>40</v>
      </c>
    </row>
    <row r="311" spans="1:18">
      <c r="A311" s="4" t="s">
        <v>641</v>
      </c>
      <c r="B311" s="4">
        <v>5</v>
      </c>
      <c r="C311" s="4">
        <v>6</v>
      </c>
      <c r="D311" s="4">
        <v>1.5</v>
      </c>
      <c r="E311" s="4">
        <v>-4</v>
      </c>
      <c r="F311" s="4">
        <v>-2</v>
      </c>
      <c r="G311" s="4">
        <v>-6</v>
      </c>
      <c r="H311" s="4">
        <v>5</v>
      </c>
      <c r="I311" s="4">
        <v>2</v>
      </c>
      <c r="J311" s="4">
        <v>6</v>
      </c>
      <c r="K311" s="4">
        <v>1</v>
      </c>
      <c r="L311" s="4">
        <v>2</v>
      </c>
      <c r="M311" s="4">
        <v>3</v>
      </c>
      <c r="N311" s="4">
        <v>3</v>
      </c>
      <c r="O311" s="4">
        <v>-2</v>
      </c>
      <c r="P311" s="4">
        <v>1</v>
      </c>
      <c r="Q311" s="7" t="s">
        <v>642</v>
      </c>
      <c r="R311" s="7" t="s">
        <v>31</v>
      </c>
    </row>
    <row r="312" spans="1:18">
      <c r="A312" s="4" t="s">
        <v>643</v>
      </c>
      <c r="B312" s="4">
        <v>-0.5</v>
      </c>
      <c r="C312" s="4">
        <v>-0.5</v>
      </c>
      <c r="D312" s="4">
        <v>-12</v>
      </c>
      <c r="E312" s="4">
        <v>-1</v>
      </c>
      <c r="F312" s="4">
        <v>8</v>
      </c>
      <c r="G312" s="4">
        <v>-7.5</v>
      </c>
      <c r="H312" s="4">
        <v>0</v>
      </c>
      <c r="I312" s="4">
        <v>-0.5</v>
      </c>
      <c r="J312" s="4">
        <v>-7</v>
      </c>
      <c r="K312" s="4">
        <v>-1</v>
      </c>
      <c r="L312" s="4">
        <v>0</v>
      </c>
      <c r="M312" s="4">
        <v>-7</v>
      </c>
      <c r="N312" s="4">
        <v>-4</v>
      </c>
      <c r="O312" s="4">
        <v>3</v>
      </c>
      <c r="P312" s="4">
        <v>1</v>
      </c>
      <c r="Q312" s="7" t="s">
        <v>644</v>
      </c>
      <c r="R312" s="7" t="s">
        <v>16</v>
      </c>
    </row>
    <row r="313" spans="1:18">
      <c r="A313" s="4" t="s">
        <v>645</v>
      </c>
      <c r="B313" s="4">
        <v>-2</v>
      </c>
      <c r="C313" s="4">
        <v>0.5</v>
      </c>
      <c r="D313" s="4">
        <v>2</v>
      </c>
      <c r="E313" s="4">
        <v>-4</v>
      </c>
      <c r="F313" s="4">
        <v>0</v>
      </c>
      <c r="G313" s="4">
        <v>0</v>
      </c>
      <c r="H313" s="4">
        <v>0.5</v>
      </c>
      <c r="I313" s="4">
        <v>2</v>
      </c>
      <c r="J313" s="4">
        <v>-2</v>
      </c>
      <c r="K313" s="4">
        <v>-1</v>
      </c>
      <c r="L313" s="4">
        <v>-2</v>
      </c>
      <c r="M313" s="4">
        <v>7</v>
      </c>
      <c r="N313" s="4">
        <v>1.5</v>
      </c>
      <c r="O313" s="4">
        <v>4</v>
      </c>
      <c r="P313" s="4">
        <v>1</v>
      </c>
      <c r="Q313" s="7" t="s">
        <v>646</v>
      </c>
      <c r="R313" s="7" t="s">
        <v>19</v>
      </c>
    </row>
    <row r="314" spans="1:18">
      <c r="A314" s="4" t="s">
        <v>647</v>
      </c>
      <c r="B314" s="4">
        <v>-5</v>
      </c>
      <c r="C314" s="4">
        <v>2</v>
      </c>
      <c r="D314" s="4">
        <v>2</v>
      </c>
      <c r="E314" s="4">
        <v>1</v>
      </c>
      <c r="F314" s="4">
        <v>-2</v>
      </c>
      <c r="G314" s="4">
        <v>2</v>
      </c>
      <c r="H314" s="4">
        <v>2</v>
      </c>
      <c r="I314" s="4">
        <v>1</v>
      </c>
      <c r="J314" s="4">
        <v>-7</v>
      </c>
      <c r="K314" s="4">
        <v>-5</v>
      </c>
      <c r="L314" s="4">
        <v>3</v>
      </c>
      <c r="M314" s="4">
        <v>-4</v>
      </c>
      <c r="N314" s="4">
        <v>-4.5</v>
      </c>
      <c r="O314" s="4">
        <v>0</v>
      </c>
      <c r="P314" s="4">
        <v>1</v>
      </c>
      <c r="Q314" s="7" t="s">
        <v>648</v>
      </c>
      <c r="R314" s="7" t="s">
        <v>22</v>
      </c>
    </row>
    <row r="315" spans="1:18">
      <c r="A315" s="4" t="s">
        <v>649</v>
      </c>
      <c r="B315" s="4">
        <v>2</v>
      </c>
      <c r="C315" s="4">
        <v>-2</v>
      </c>
      <c r="D315" s="4">
        <v>-2</v>
      </c>
      <c r="E315" s="4">
        <v>-3</v>
      </c>
      <c r="F315" s="4">
        <v>-2</v>
      </c>
      <c r="G315" s="4">
        <v>-7</v>
      </c>
      <c r="H315" s="4">
        <v>-2</v>
      </c>
      <c r="I315" s="4">
        <v>-2</v>
      </c>
      <c r="J315" s="4">
        <v>-1</v>
      </c>
      <c r="K315" s="4">
        <v>2.5</v>
      </c>
      <c r="L315" s="4">
        <v>2</v>
      </c>
      <c r="M315" s="4">
        <v>0</v>
      </c>
      <c r="N315" s="4">
        <v>2</v>
      </c>
      <c r="O315" s="4">
        <v>3</v>
      </c>
      <c r="P315" s="4">
        <v>0</v>
      </c>
      <c r="Q315" s="7" t="s">
        <v>650</v>
      </c>
      <c r="R315" s="7" t="s">
        <v>25</v>
      </c>
    </row>
    <row r="316" spans="1:18">
      <c r="A316" s="4" t="s">
        <v>651</v>
      </c>
      <c r="B316" s="4">
        <v>-1</v>
      </c>
      <c r="C316" s="4">
        <v>2.5</v>
      </c>
      <c r="D316" s="4">
        <v>-2</v>
      </c>
      <c r="E316" s="4">
        <v>2.5</v>
      </c>
      <c r="F316" s="4">
        <v>-8</v>
      </c>
      <c r="G316" s="4">
        <v>-1</v>
      </c>
      <c r="H316" s="4">
        <v>1</v>
      </c>
      <c r="I316" s="4">
        <v>2</v>
      </c>
      <c r="J316" s="4">
        <v>-4</v>
      </c>
      <c r="K316" s="4">
        <v>1</v>
      </c>
      <c r="L316" s="4">
        <v>2</v>
      </c>
      <c r="M316" s="4">
        <v>-1</v>
      </c>
      <c r="N316" s="4">
        <v>-1</v>
      </c>
      <c r="O316" s="4">
        <v>-9</v>
      </c>
      <c r="P316" s="4">
        <v>0</v>
      </c>
      <c r="Q316" s="7" t="s">
        <v>652</v>
      </c>
      <c r="R316" s="7" t="s">
        <v>28</v>
      </c>
    </row>
    <row r="317" spans="1:18">
      <c r="A317" s="4" t="s">
        <v>653</v>
      </c>
      <c r="B317" s="4">
        <v>-2</v>
      </c>
      <c r="C317" s="4">
        <v>-2</v>
      </c>
      <c r="D317" s="4">
        <v>-3</v>
      </c>
      <c r="E317" s="4">
        <v>3</v>
      </c>
      <c r="F317" s="4">
        <v>-0.5</v>
      </c>
      <c r="G317" s="4">
        <v>-4</v>
      </c>
      <c r="H317" s="4">
        <v>-2</v>
      </c>
      <c r="I317" s="4">
        <v>-2</v>
      </c>
      <c r="J317" s="4">
        <v>3</v>
      </c>
      <c r="K317" s="4">
        <v>-0.5</v>
      </c>
      <c r="L317" s="4">
        <v>5</v>
      </c>
      <c r="M317" s="4">
        <v>0</v>
      </c>
      <c r="N317" s="4">
        <v>-2</v>
      </c>
      <c r="O317" s="4">
        <v>4</v>
      </c>
      <c r="P317" s="4">
        <v>1</v>
      </c>
      <c r="Q317" s="7" t="s">
        <v>654</v>
      </c>
      <c r="R317" s="7" t="s">
        <v>16</v>
      </c>
    </row>
    <row r="318" spans="1:18">
      <c r="A318" s="4" t="s">
        <v>655</v>
      </c>
      <c r="B318" s="4">
        <v>3</v>
      </c>
      <c r="C318" s="4">
        <v>1</v>
      </c>
      <c r="D318" s="4">
        <v>0</v>
      </c>
      <c r="E318" s="4">
        <v>1</v>
      </c>
      <c r="F318" s="4">
        <v>-2</v>
      </c>
      <c r="G318" s="4">
        <v>-3</v>
      </c>
      <c r="H318" s="4">
        <v>-2</v>
      </c>
      <c r="I318" s="4">
        <v>3</v>
      </c>
      <c r="J318" s="4">
        <v>5</v>
      </c>
      <c r="K318" s="4">
        <v>2</v>
      </c>
      <c r="L318" s="4">
        <v>-6</v>
      </c>
      <c r="M318" s="4">
        <v>1</v>
      </c>
      <c r="N318" s="4">
        <v>0</v>
      </c>
      <c r="O318" s="4">
        <v>3</v>
      </c>
      <c r="P318" s="4">
        <v>0</v>
      </c>
      <c r="Q318" s="7" t="s">
        <v>656</v>
      </c>
      <c r="R318" s="7" t="s">
        <v>34</v>
      </c>
    </row>
    <row r="319" spans="1:18">
      <c r="A319" s="4" t="s">
        <v>657</v>
      </c>
      <c r="B319" s="4">
        <v>-2</v>
      </c>
      <c r="C319" s="4">
        <v>2.5</v>
      </c>
      <c r="D319" s="4">
        <v>-2</v>
      </c>
      <c r="E319" s="4">
        <v>7</v>
      </c>
      <c r="F319" s="4">
        <v>-9</v>
      </c>
      <c r="G319" s="4">
        <v>-1</v>
      </c>
      <c r="H319" s="4">
        <v>4</v>
      </c>
      <c r="I319" s="4">
        <v>7</v>
      </c>
      <c r="J319" s="4">
        <v>-2</v>
      </c>
      <c r="K319" s="4">
        <v>2</v>
      </c>
      <c r="L319" s="4">
        <v>2.5</v>
      </c>
      <c r="M319" s="4">
        <v>2</v>
      </c>
      <c r="N319" s="4">
        <v>-1.5</v>
      </c>
      <c r="O319" s="4">
        <v>6</v>
      </c>
      <c r="P319" s="4">
        <v>1</v>
      </c>
      <c r="Q319" s="7" t="s">
        <v>658</v>
      </c>
      <c r="R319" s="7" t="s">
        <v>37</v>
      </c>
    </row>
    <row r="320" spans="1:18">
      <c r="A320" s="4" t="s">
        <v>659</v>
      </c>
      <c r="B320" s="4">
        <v>0.5</v>
      </c>
      <c r="C320" s="4">
        <v>0.5</v>
      </c>
      <c r="D320" s="4">
        <v>5</v>
      </c>
      <c r="E320" s="4">
        <v>0.5</v>
      </c>
      <c r="F320" s="4">
        <v>3</v>
      </c>
      <c r="G320" s="4">
        <v>3</v>
      </c>
      <c r="H320" s="4">
        <v>-4</v>
      </c>
      <c r="I320" s="4">
        <v>-3</v>
      </c>
      <c r="J320" s="4">
        <v>0</v>
      </c>
      <c r="K320" s="4">
        <v>0.5</v>
      </c>
      <c r="L320" s="4">
        <v>5</v>
      </c>
      <c r="M320" s="4">
        <v>4</v>
      </c>
      <c r="N320" s="4">
        <v>3</v>
      </c>
      <c r="O320" s="4">
        <v>8</v>
      </c>
      <c r="P320" s="4">
        <v>0</v>
      </c>
      <c r="Q320" s="7" t="s">
        <v>660</v>
      </c>
      <c r="R320" s="7" t="s">
        <v>40</v>
      </c>
    </row>
    <row r="321" spans="1:18">
      <c r="A321" s="4" t="s">
        <v>661</v>
      </c>
      <c r="B321" s="4">
        <v>-6</v>
      </c>
      <c r="C321" s="4">
        <v>-1</v>
      </c>
      <c r="D321" s="4">
        <v>-1</v>
      </c>
      <c r="E321" s="4">
        <v>-1</v>
      </c>
      <c r="F321" s="4">
        <v>-6</v>
      </c>
      <c r="G321" s="4">
        <v>0</v>
      </c>
      <c r="H321" s="4">
        <v>3</v>
      </c>
      <c r="I321" s="4">
        <v>7</v>
      </c>
      <c r="J321" s="4">
        <v>-1</v>
      </c>
      <c r="K321" s="4">
        <v>2</v>
      </c>
      <c r="L321" s="4">
        <v>-3</v>
      </c>
      <c r="M321" s="4">
        <v>-2</v>
      </c>
      <c r="N321" s="4">
        <v>-3</v>
      </c>
      <c r="O321" s="4">
        <v>-6</v>
      </c>
      <c r="P321" s="4">
        <v>1</v>
      </c>
      <c r="Q321" s="7" t="s">
        <v>662</v>
      </c>
      <c r="R321" s="7" t="s">
        <v>31</v>
      </c>
    </row>
    <row r="322" spans="1:18">
      <c r="A322" s="4" t="s">
        <v>663</v>
      </c>
      <c r="B322" s="4">
        <v>4.5</v>
      </c>
      <c r="C322" s="4">
        <v>-5</v>
      </c>
      <c r="D322" s="4">
        <v>-4</v>
      </c>
      <c r="E322" s="4">
        <v>0</v>
      </c>
      <c r="F322" s="4">
        <v>6</v>
      </c>
      <c r="G322" s="4">
        <v>4.5</v>
      </c>
      <c r="H322" s="4">
        <v>-1.5</v>
      </c>
      <c r="I322" s="4">
        <v>-5</v>
      </c>
      <c r="J322" s="4">
        <v>3</v>
      </c>
      <c r="K322" s="4">
        <v>-4</v>
      </c>
      <c r="L322" s="4">
        <v>-5</v>
      </c>
      <c r="M322" s="4">
        <v>0</v>
      </c>
      <c r="N322" s="4">
        <v>0</v>
      </c>
      <c r="O322" s="4">
        <v>1</v>
      </c>
      <c r="P322" s="4">
        <v>1</v>
      </c>
      <c r="Q322" s="7" t="s">
        <v>664</v>
      </c>
      <c r="R322" s="7" t="s">
        <v>16</v>
      </c>
    </row>
    <row r="323" spans="1:18">
      <c r="A323" s="4" t="s">
        <v>665</v>
      </c>
      <c r="B323" s="4">
        <v>-1</v>
      </c>
      <c r="C323" s="4">
        <v>-1</v>
      </c>
      <c r="D323" s="4">
        <v>6</v>
      </c>
      <c r="E323" s="4">
        <v>5</v>
      </c>
      <c r="F323" s="4">
        <v>2</v>
      </c>
      <c r="G323" s="4">
        <v>-2</v>
      </c>
      <c r="H323" s="4">
        <v>-1</v>
      </c>
      <c r="I323" s="4">
        <v>3</v>
      </c>
      <c r="J323" s="4">
        <v>2</v>
      </c>
      <c r="K323" s="4">
        <v>2.5</v>
      </c>
      <c r="L323" s="4">
        <v>0</v>
      </c>
      <c r="M323" s="4">
        <v>6</v>
      </c>
      <c r="N323" s="4">
        <v>4</v>
      </c>
      <c r="O323" s="4">
        <v>1</v>
      </c>
      <c r="P323" s="4">
        <v>1</v>
      </c>
      <c r="Q323" s="7" t="s">
        <v>666</v>
      </c>
      <c r="R323" s="7" t="s">
        <v>19</v>
      </c>
    </row>
    <row r="324" spans="1:18">
      <c r="A324" s="4" t="s">
        <v>667</v>
      </c>
      <c r="B324" s="4">
        <v>-6</v>
      </c>
      <c r="C324" s="4">
        <v>-3</v>
      </c>
      <c r="D324" s="4">
        <v>-1</v>
      </c>
      <c r="E324" s="4">
        <v>-3</v>
      </c>
      <c r="F324" s="4">
        <v>-5</v>
      </c>
      <c r="G324" s="4">
        <v>-3</v>
      </c>
      <c r="H324" s="4">
        <v>6.5</v>
      </c>
      <c r="I324" s="4">
        <v>-6</v>
      </c>
      <c r="J324" s="4">
        <v>-5</v>
      </c>
      <c r="K324" s="4">
        <v>3.5</v>
      </c>
      <c r="L324" s="4">
        <v>1</v>
      </c>
      <c r="M324" s="4">
        <v>-4</v>
      </c>
      <c r="N324" s="4">
        <v>-3</v>
      </c>
      <c r="O324" s="4">
        <v>2</v>
      </c>
      <c r="P324" s="4">
        <v>0</v>
      </c>
      <c r="Q324" s="7" t="s">
        <v>668</v>
      </c>
      <c r="R324" s="7" t="s">
        <v>22</v>
      </c>
    </row>
    <row r="325" spans="1:18">
      <c r="A325" s="4" t="s">
        <v>669</v>
      </c>
      <c r="B325" s="4">
        <v>3</v>
      </c>
      <c r="C325" s="4">
        <v>4</v>
      </c>
      <c r="D325" s="4">
        <v>-2</v>
      </c>
      <c r="E325" s="4">
        <v>2.5</v>
      </c>
      <c r="F325" s="4">
        <v>4</v>
      </c>
      <c r="G325" s="4">
        <v>3</v>
      </c>
      <c r="H325" s="4">
        <v>-1</v>
      </c>
      <c r="I325" s="4">
        <v>6</v>
      </c>
      <c r="J325" s="4">
        <v>3</v>
      </c>
      <c r="K325" s="4">
        <v>1</v>
      </c>
      <c r="L325" s="4">
        <v>5</v>
      </c>
      <c r="M325" s="4">
        <v>1</v>
      </c>
      <c r="N325" s="4">
        <v>1</v>
      </c>
      <c r="O325" s="4">
        <v>3</v>
      </c>
      <c r="P325" s="4">
        <v>0</v>
      </c>
      <c r="Q325" s="7" t="s">
        <v>670</v>
      </c>
      <c r="R325" s="7" t="s">
        <v>25</v>
      </c>
    </row>
    <row r="326" spans="1:18">
      <c r="A326" s="4" t="s">
        <v>671</v>
      </c>
      <c r="B326" s="4">
        <v>1</v>
      </c>
      <c r="C326" s="4">
        <v>3.5</v>
      </c>
      <c r="D326" s="4">
        <v>1</v>
      </c>
      <c r="E326" s="4">
        <v>3.5</v>
      </c>
      <c r="F326" s="4">
        <v>-10</v>
      </c>
      <c r="G326" s="4">
        <v>-3</v>
      </c>
      <c r="H326" s="4">
        <v>-2</v>
      </c>
      <c r="I326" s="4">
        <v>-1</v>
      </c>
      <c r="J326" s="4">
        <v>-5</v>
      </c>
      <c r="K326" s="4">
        <v>1</v>
      </c>
      <c r="L326" s="4">
        <v>-6</v>
      </c>
      <c r="M326" s="4">
        <v>-10</v>
      </c>
      <c r="N326" s="4">
        <v>0</v>
      </c>
      <c r="O326" s="4">
        <v>-10</v>
      </c>
      <c r="P326" s="4">
        <v>1</v>
      </c>
      <c r="Q326" s="7" t="s">
        <v>672</v>
      </c>
      <c r="R326" s="7" t="s">
        <v>28</v>
      </c>
    </row>
    <row r="327" spans="1:18">
      <c r="A327" s="4" t="s">
        <v>673</v>
      </c>
      <c r="B327" s="4">
        <v>3</v>
      </c>
      <c r="C327" s="4">
        <v>0</v>
      </c>
      <c r="D327" s="4">
        <v>-8</v>
      </c>
      <c r="E327" s="4">
        <v>-1</v>
      </c>
      <c r="F327" s="4">
        <v>10</v>
      </c>
      <c r="G327" s="4">
        <v>-1.5</v>
      </c>
      <c r="H327" s="4">
        <v>3</v>
      </c>
      <c r="I327" s="4">
        <v>4.5</v>
      </c>
      <c r="J327" s="4">
        <v>0</v>
      </c>
      <c r="K327" s="4">
        <v>-2</v>
      </c>
      <c r="L327" s="4">
        <v>3</v>
      </c>
      <c r="M327" s="4">
        <v>-2</v>
      </c>
      <c r="N327" s="4">
        <v>-2</v>
      </c>
      <c r="O327" s="4">
        <v>4</v>
      </c>
      <c r="P327" s="4">
        <v>0</v>
      </c>
      <c r="Q327" s="7" t="s">
        <v>674</v>
      </c>
      <c r="R327" s="7" t="s">
        <v>19</v>
      </c>
    </row>
    <row r="328" spans="1:18">
      <c r="A328" s="4" t="s">
        <v>675</v>
      </c>
      <c r="B328" s="4">
        <v>0</v>
      </c>
      <c r="C328" s="4">
        <v>0</v>
      </c>
      <c r="D328" s="4">
        <v>1</v>
      </c>
      <c r="E328" s="4">
        <v>2</v>
      </c>
      <c r="F328" s="4">
        <v>9</v>
      </c>
      <c r="G328" s="4">
        <v>1</v>
      </c>
      <c r="H328" s="4">
        <v>1</v>
      </c>
      <c r="I328" s="4">
        <v>3.5</v>
      </c>
      <c r="J328" s="4">
        <v>-2</v>
      </c>
      <c r="K328" s="4">
        <v>-3</v>
      </c>
      <c r="L328" s="4">
        <v>-7</v>
      </c>
      <c r="M328" s="4">
        <v>0</v>
      </c>
      <c r="N328" s="4">
        <v>-2</v>
      </c>
      <c r="O328" s="4">
        <v>-5</v>
      </c>
      <c r="P328" s="4">
        <v>1</v>
      </c>
      <c r="Q328" s="7" t="s">
        <v>676</v>
      </c>
      <c r="R328" s="7" t="s">
        <v>34</v>
      </c>
    </row>
    <row r="329" spans="1:18">
      <c r="A329" s="4" t="s">
        <v>677</v>
      </c>
      <c r="B329" s="4">
        <v>0</v>
      </c>
      <c r="C329" s="4">
        <v>9</v>
      </c>
      <c r="D329" s="4">
        <v>0</v>
      </c>
      <c r="E329" s="4">
        <v>-1</v>
      </c>
      <c r="F329" s="4">
        <v>-3</v>
      </c>
      <c r="G329" s="4">
        <v>-1</v>
      </c>
      <c r="H329" s="4">
        <v>-2</v>
      </c>
      <c r="I329" s="4">
        <v>1</v>
      </c>
      <c r="J329" s="4">
        <v>-3.5</v>
      </c>
      <c r="K329" s="4">
        <v>4</v>
      </c>
      <c r="L329" s="4">
        <v>9</v>
      </c>
      <c r="M329" s="4">
        <v>-1.5</v>
      </c>
      <c r="N329" s="4">
        <v>0</v>
      </c>
      <c r="O329" s="4">
        <v>4</v>
      </c>
      <c r="P329" s="4">
        <v>0</v>
      </c>
      <c r="Q329" s="7" t="s">
        <v>678</v>
      </c>
      <c r="R329" s="7" t="s">
        <v>37</v>
      </c>
    </row>
    <row r="330" spans="1:18">
      <c r="A330" s="4" t="s">
        <v>679</v>
      </c>
      <c r="B330" s="4">
        <v>0.5</v>
      </c>
      <c r="C330" s="4">
        <v>1</v>
      </c>
      <c r="D330" s="4">
        <v>-2</v>
      </c>
      <c r="E330" s="4">
        <v>-3</v>
      </c>
      <c r="F330" s="4">
        <v>0</v>
      </c>
      <c r="G330" s="4">
        <v>4</v>
      </c>
      <c r="H330" s="4">
        <v>-7</v>
      </c>
      <c r="I330" s="4">
        <v>5</v>
      </c>
      <c r="J330" s="4">
        <v>-1</v>
      </c>
      <c r="K330" s="4">
        <v>1</v>
      </c>
      <c r="L330" s="4">
        <v>4</v>
      </c>
      <c r="M330" s="4">
        <v>0</v>
      </c>
      <c r="N330" s="4">
        <v>2</v>
      </c>
      <c r="O330" s="4">
        <v>0.5</v>
      </c>
      <c r="P330" s="4">
        <v>1</v>
      </c>
      <c r="Q330" s="7" t="s">
        <v>680</v>
      </c>
      <c r="R330" s="7" t="s">
        <v>40</v>
      </c>
    </row>
    <row r="331" spans="1:18">
      <c r="A331" s="4" t="s">
        <v>681</v>
      </c>
      <c r="B331" s="4">
        <v>-1</v>
      </c>
      <c r="C331" s="4">
        <v>2</v>
      </c>
      <c r="D331" s="4">
        <v>-1</v>
      </c>
      <c r="E331" s="4">
        <v>-3</v>
      </c>
      <c r="F331" s="4">
        <v>-7</v>
      </c>
      <c r="G331" s="4">
        <v>3</v>
      </c>
      <c r="H331" s="4">
        <v>-1</v>
      </c>
      <c r="I331" s="4">
        <v>1</v>
      </c>
      <c r="J331" s="4">
        <v>2</v>
      </c>
      <c r="K331" s="4">
        <v>1</v>
      </c>
      <c r="L331" s="4">
        <v>1</v>
      </c>
      <c r="M331" s="4">
        <v>2</v>
      </c>
      <c r="N331" s="4">
        <v>-6</v>
      </c>
      <c r="O331" s="4">
        <v>-7</v>
      </c>
      <c r="P331" s="4">
        <v>0</v>
      </c>
      <c r="Q331" s="7" t="s">
        <v>682</v>
      </c>
      <c r="R331" s="7" t="s">
        <v>31</v>
      </c>
    </row>
    <row r="332" spans="1:18">
      <c r="A332" s="4" t="s">
        <v>683</v>
      </c>
      <c r="B332" s="4">
        <v>5</v>
      </c>
      <c r="C332" s="4">
        <v>4</v>
      </c>
      <c r="D332" s="4">
        <v>-3</v>
      </c>
      <c r="E332" s="4">
        <v>5</v>
      </c>
      <c r="F332" s="4">
        <v>3</v>
      </c>
      <c r="G332" s="4">
        <v>-2</v>
      </c>
      <c r="H332" s="4">
        <v>-4</v>
      </c>
      <c r="I332" s="4">
        <v>4</v>
      </c>
      <c r="J332" s="4">
        <v>6</v>
      </c>
      <c r="K332" s="4">
        <v>5</v>
      </c>
      <c r="L332" s="4">
        <v>5</v>
      </c>
      <c r="M332" s="4">
        <v>-2.5</v>
      </c>
      <c r="N332" s="4">
        <v>-5</v>
      </c>
      <c r="O332" s="4">
        <v>0</v>
      </c>
      <c r="P332" s="4">
        <v>0</v>
      </c>
      <c r="Q332" s="7" t="s">
        <v>684</v>
      </c>
      <c r="R332" s="7" t="s">
        <v>16</v>
      </c>
    </row>
    <row r="333" spans="1:18">
      <c r="A333" s="4" t="s">
        <v>685</v>
      </c>
      <c r="B333" s="4">
        <v>-4</v>
      </c>
      <c r="C333" s="4">
        <v>1</v>
      </c>
      <c r="D333" s="4">
        <v>-2</v>
      </c>
      <c r="E333" s="4">
        <v>0</v>
      </c>
      <c r="F333" s="4">
        <v>-4</v>
      </c>
      <c r="G333" s="4">
        <v>2</v>
      </c>
      <c r="H333" s="4">
        <v>1</v>
      </c>
      <c r="I333" s="4">
        <v>3</v>
      </c>
      <c r="J333" s="4">
        <v>3</v>
      </c>
      <c r="K333" s="4">
        <v>-4</v>
      </c>
      <c r="L333" s="4">
        <v>4</v>
      </c>
      <c r="M333" s="4">
        <v>2</v>
      </c>
      <c r="N333" s="4">
        <v>2</v>
      </c>
      <c r="O333" s="4">
        <v>0</v>
      </c>
      <c r="P333" s="4">
        <v>1</v>
      </c>
      <c r="Q333" s="7" t="s">
        <v>686</v>
      </c>
      <c r="R333" s="7" t="s">
        <v>19</v>
      </c>
    </row>
    <row r="334" spans="1:18">
      <c r="A334" s="4" t="s">
        <v>687</v>
      </c>
      <c r="B334" s="4">
        <v>1</v>
      </c>
      <c r="C334" s="4">
        <v>1</v>
      </c>
      <c r="D334" s="4">
        <v>6</v>
      </c>
      <c r="E334" s="4">
        <v>-1</v>
      </c>
      <c r="F334" s="4">
        <v>-3</v>
      </c>
      <c r="G334" s="4">
        <v>1</v>
      </c>
      <c r="H334" s="4">
        <v>7</v>
      </c>
      <c r="I334" s="4">
        <v>4</v>
      </c>
      <c r="J334" s="4">
        <v>-9</v>
      </c>
      <c r="K334" s="4">
        <v>2</v>
      </c>
      <c r="L334" s="4">
        <v>2</v>
      </c>
      <c r="M334" s="4">
        <v>-3</v>
      </c>
      <c r="N334" s="4">
        <v>4</v>
      </c>
      <c r="O334" s="4">
        <v>-1</v>
      </c>
      <c r="P334" s="4">
        <v>1</v>
      </c>
      <c r="Q334" s="7" t="s">
        <v>688</v>
      </c>
      <c r="R334" s="7" t="s">
        <v>22</v>
      </c>
    </row>
    <row r="335" spans="1:18">
      <c r="A335" s="4" t="s">
        <v>689</v>
      </c>
      <c r="B335" s="4">
        <v>-8</v>
      </c>
      <c r="C335" s="4">
        <v>4</v>
      </c>
      <c r="D335" s="4">
        <v>-2.5</v>
      </c>
      <c r="E335" s="4">
        <v>2</v>
      </c>
      <c r="F335" s="4">
        <v>4</v>
      </c>
      <c r="G335" s="4">
        <v>2</v>
      </c>
      <c r="H335" s="4">
        <v>-8</v>
      </c>
      <c r="I335" s="4">
        <v>4</v>
      </c>
      <c r="J335" s="4">
        <v>-2</v>
      </c>
      <c r="K335" s="4">
        <v>6</v>
      </c>
      <c r="L335" s="4">
        <v>1</v>
      </c>
      <c r="M335" s="4">
        <v>-2.5</v>
      </c>
      <c r="N335" s="4">
        <v>-1</v>
      </c>
      <c r="O335" s="4">
        <v>4</v>
      </c>
      <c r="P335" s="4">
        <v>1</v>
      </c>
      <c r="Q335" s="7" t="s">
        <v>690</v>
      </c>
      <c r="R335" s="7" t="s">
        <v>25</v>
      </c>
    </row>
    <row r="336" spans="1:18">
      <c r="A336" s="4" t="s">
        <v>691</v>
      </c>
      <c r="B336" s="4">
        <v>0</v>
      </c>
      <c r="C336" s="4">
        <v>4</v>
      </c>
      <c r="D336" s="4">
        <v>-3</v>
      </c>
      <c r="E336" s="4">
        <v>4</v>
      </c>
      <c r="F336" s="4">
        <v>-10</v>
      </c>
      <c r="G336" s="4">
        <v>-3.5</v>
      </c>
      <c r="H336" s="4">
        <v>-4</v>
      </c>
      <c r="I336" s="4">
        <v>0</v>
      </c>
      <c r="J336" s="4">
        <v>-2</v>
      </c>
      <c r="K336" s="4">
        <v>-7</v>
      </c>
      <c r="L336" s="4">
        <v>0</v>
      </c>
      <c r="M336" s="4">
        <v>-5</v>
      </c>
      <c r="N336" s="4">
        <v>-9</v>
      </c>
      <c r="O336" s="4">
        <v>-11</v>
      </c>
      <c r="P336" s="4">
        <v>1</v>
      </c>
      <c r="Q336" s="7" t="s">
        <v>692</v>
      </c>
      <c r="R336" s="7" t="s">
        <v>28</v>
      </c>
    </row>
    <row r="337" spans="1:18">
      <c r="A337" s="4" t="s">
        <v>693</v>
      </c>
      <c r="B337" s="4">
        <v>2</v>
      </c>
      <c r="C337" s="4">
        <v>1</v>
      </c>
      <c r="D337" s="4">
        <v>-3.5</v>
      </c>
      <c r="E337" s="4">
        <v>5</v>
      </c>
      <c r="F337" s="4">
        <v>3</v>
      </c>
      <c r="G337" s="4">
        <v>0.5</v>
      </c>
      <c r="H337" s="4">
        <v>-3</v>
      </c>
      <c r="I337" s="4">
        <v>3</v>
      </c>
      <c r="J337" s="4">
        <v>2</v>
      </c>
      <c r="K337" s="4">
        <v>1</v>
      </c>
      <c r="L337" s="4">
        <v>4</v>
      </c>
      <c r="M337" s="4">
        <v>0.5</v>
      </c>
      <c r="N337" s="4">
        <v>-1</v>
      </c>
      <c r="O337" s="4">
        <v>-3</v>
      </c>
      <c r="P337" s="4">
        <v>0</v>
      </c>
      <c r="Q337" s="7" t="s">
        <v>694</v>
      </c>
      <c r="R337" s="7" t="s">
        <v>22</v>
      </c>
    </row>
    <row r="338" spans="1:18">
      <c r="A338" s="4" t="s">
        <v>695</v>
      </c>
      <c r="B338" s="4">
        <v>4</v>
      </c>
      <c r="C338" s="4">
        <v>3</v>
      </c>
      <c r="D338" s="4">
        <v>4</v>
      </c>
      <c r="E338" s="4">
        <v>1</v>
      </c>
      <c r="F338" s="4">
        <v>6</v>
      </c>
      <c r="G338" s="4">
        <v>-3</v>
      </c>
      <c r="H338" s="4">
        <v>-4</v>
      </c>
      <c r="I338" s="4">
        <v>2</v>
      </c>
      <c r="J338" s="4">
        <v>2</v>
      </c>
      <c r="K338" s="4">
        <v>4</v>
      </c>
      <c r="L338" s="4">
        <v>-3</v>
      </c>
      <c r="M338" s="4">
        <v>3</v>
      </c>
      <c r="N338" s="4">
        <v>-4</v>
      </c>
      <c r="O338" s="4">
        <v>4</v>
      </c>
      <c r="P338" s="4">
        <v>1</v>
      </c>
      <c r="Q338" s="7" t="s">
        <v>696</v>
      </c>
      <c r="R338" s="7" t="s">
        <v>34</v>
      </c>
    </row>
    <row r="339" spans="1:18">
      <c r="A339" s="4" t="s">
        <v>697</v>
      </c>
      <c r="B339" s="4">
        <v>2</v>
      </c>
      <c r="C339" s="4">
        <v>2</v>
      </c>
      <c r="D339" s="4">
        <v>-4</v>
      </c>
      <c r="E339" s="4">
        <v>-3</v>
      </c>
      <c r="F339" s="4">
        <v>-5</v>
      </c>
      <c r="G339" s="4">
        <v>7</v>
      </c>
      <c r="H339" s="4">
        <v>1.5</v>
      </c>
      <c r="I339" s="4">
        <v>-2</v>
      </c>
      <c r="J339" s="4">
        <v>-2.5</v>
      </c>
      <c r="K339" s="4">
        <v>2</v>
      </c>
      <c r="L339" s="4">
        <v>2</v>
      </c>
      <c r="M339" s="4">
        <v>-3.5</v>
      </c>
      <c r="N339" s="4">
        <v>2</v>
      </c>
      <c r="O339" s="4">
        <v>0</v>
      </c>
      <c r="P339" s="4">
        <v>0</v>
      </c>
      <c r="Q339" s="7" t="s">
        <v>698</v>
      </c>
      <c r="R339" s="7" t="s">
        <v>37</v>
      </c>
    </row>
    <row r="340" spans="1:18">
      <c r="A340" s="4" t="s">
        <v>699</v>
      </c>
      <c r="B340" s="4">
        <v>3</v>
      </c>
      <c r="C340" s="4">
        <v>-0.5</v>
      </c>
      <c r="D340" s="4">
        <v>3</v>
      </c>
      <c r="E340" s="4">
        <v>7</v>
      </c>
      <c r="F340" s="4">
        <v>5</v>
      </c>
      <c r="G340" s="4">
        <v>2.5</v>
      </c>
      <c r="H340" s="4">
        <v>-10</v>
      </c>
      <c r="I340" s="4">
        <v>2.5</v>
      </c>
      <c r="J340" s="4">
        <v>-2</v>
      </c>
      <c r="K340" s="4">
        <v>-0.5</v>
      </c>
      <c r="L340" s="4">
        <v>-2</v>
      </c>
      <c r="M340" s="4">
        <v>3</v>
      </c>
      <c r="N340" s="4">
        <v>2</v>
      </c>
      <c r="O340" s="4">
        <v>4.5</v>
      </c>
      <c r="P340" s="4">
        <v>1</v>
      </c>
      <c r="Q340" s="7" t="s">
        <v>700</v>
      </c>
      <c r="R340" s="7" t="s">
        <v>40</v>
      </c>
    </row>
    <row r="341" spans="1:18">
      <c r="A341" s="4" t="s">
        <v>701</v>
      </c>
      <c r="B341" s="4">
        <v>2</v>
      </c>
      <c r="C341" s="4">
        <v>2</v>
      </c>
      <c r="D341" s="4">
        <v>0</v>
      </c>
      <c r="E341" s="4">
        <v>-8</v>
      </c>
      <c r="F341" s="4">
        <v>-3</v>
      </c>
      <c r="G341" s="4">
        <v>-2</v>
      </c>
      <c r="H341" s="4">
        <v>4</v>
      </c>
      <c r="I341" s="4">
        <v>0</v>
      </c>
      <c r="J341" s="4">
        <v>2</v>
      </c>
      <c r="K341" s="4">
        <v>2</v>
      </c>
      <c r="L341" s="4">
        <v>1</v>
      </c>
      <c r="M341" s="4">
        <v>3</v>
      </c>
      <c r="N341" s="4">
        <v>2</v>
      </c>
      <c r="O341" s="4">
        <v>-3</v>
      </c>
      <c r="P341" s="4">
        <v>0</v>
      </c>
      <c r="Q341" s="7" t="s">
        <v>702</v>
      </c>
      <c r="R341" s="7" t="s">
        <v>31</v>
      </c>
    </row>
    <row r="342" spans="1:18">
      <c r="A342" s="4" t="s">
        <v>703</v>
      </c>
      <c r="B342" s="4">
        <v>0.5</v>
      </c>
      <c r="C342" s="4">
        <v>10</v>
      </c>
      <c r="D342" s="4">
        <v>-3</v>
      </c>
      <c r="E342" s="4">
        <v>3</v>
      </c>
      <c r="F342" s="4">
        <v>3.5</v>
      </c>
      <c r="G342" s="4">
        <v>0</v>
      </c>
      <c r="H342" s="4">
        <v>1</v>
      </c>
      <c r="I342" s="4">
        <v>10</v>
      </c>
      <c r="J342" s="4">
        <v>-1</v>
      </c>
      <c r="K342" s="4">
        <v>2</v>
      </c>
      <c r="L342" s="4">
        <v>3</v>
      </c>
      <c r="M342" s="4">
        <v>0</v>
      </c>
      <c r="N342" s="4">
        <v>-6</v>
      </c>
      <c r="O342" s="4">
        <v>0.5</v>
      </c>
      <c r="P342" s="4">
        <v>1</v>
      </c>
      <c r="Q342" s="7" t="s">
        <v>704</v>
      </c>
      <c r="R342" s="7" t="s">
        <v>16</v>
      </c>
    </row>
    <row r="343" spans="1:18">
      <c r="A343" s="4" t="s">
        <v>705</v>
      </c>
      <c r="B343" s="4">
        <v>4</v>
      </c>
      <c r="C343" s="4">
        <v>-5</v>
      </c>
      <c r="D343" s="4">
        <v>4</v>
      </c>
      <c r="E343" s="4">
        <v>2</v>
      </c>
      <c r="F343" s="4">
        <v>1.5</v>
      </c>
      <c r="G343" s="4">
        <v>-5</v>
      </c>
      <c r="H343" s="4">
        <v>-5</v>
      </c>
      <c r="I343" s="4">
        <v>-1</v>
      </c>
      <c r="J343" s="4">
        <v>-3</v>
      </c>
      <c r="K343" s="4">
        <v>-2</v>
      </c>
      <c r="L343" s="4">
        <v>4.5</v>
      </c>
      <c r="M343" s="4">
        <v>5</v>
      </c>
      <c r="N343" s="4">
        <v>6</v>
      </c>
      <c r="O343" s="4">
        <v>4</v>
      </c>
      <c r="P343" s="4">
        <v>1</v>
      </c>
      <c r="Q343" s="7" t="s">
        <v>706</v>
      </c>
      <c r="R343" s="7" t="s">
        <v>19</v>
      </c>
    </row>
    <row r="344" spans="1:18">
      <c r="A344" s="4" t="s">
        <v>707</v>
      </c>
      <c r="B344" s="4">
        <v>4</v>
      </c>
      <c r="C344" s="4">
        <v>0</v>
      </c>
      <c r="D344" s="4">
        <v>2</v>
      </c>
      <c r="E344" s="4">
        <v>4</v>
      </c>
      <c r="F344" s="4">
        <v>-2</v>
      </c>
      <c r="G344" s="4">
        <v>0</v>
      </c>
      <c r="H344" s="4">
        <v>1</v>
      </c>
      <c r="I344" s="4">
        <v>2.5</v>
      </c>
      <c r="J344" s="4">
        <v>-1</v>
      </c>
      <c r="K344" s="4">
        <v>2</v>
      </c>
      <c r="L344" s="4">
        <v>4</v>
      </c>
      <c r="M344" s="4">
        <v>-2</v>
      </c>
      <c r="N344" s="4">
        <v>-4</v>
      </c>
      <c r="O344" s="4">
        <v>3.5</v>
      </c>
      <c r="P344" s="4">
        <v>0</v>
      </c>
      <c r="Q344" s="7" t="s">
        <v>708</v>
      </c>
      <c r="R344" s="7" t="s">
        <v>22</v>
      </c>
    </row>
    <row r="345" spans="1:18">
      <c r="A345" s="4" t="s">
        <v>709</v>
      </c>
      <c r="B345" s="4">
        <v>7.5</v>
      </c>
      <c r="C345" s="4">
        <v>7.5</v>
      </c>
      <c r="D345" s="4">
        <v>-5</v>
      </c>
      <c r="E345" s="4">
        <v>-2</v>
      </c>
      <c r="F345" s="4">
        <v>7.5</v>
      </c>
      <c r="G345" s="4">
        <v>1</v>
      </c>
      <c r="H345" s="4">
        <v>-7</v>
      </c>
      <c r="I345" s="4">
        <v>6.5</v>
      </c>
      <c r="J345" s="4">
        <v>2</v>
      </c>
      <c r="K345" s="4">
        <v>-2</v>
      </c>
      <c r="L345" s="4">
        <v>4.5</v>
      </c>
      <c r="M345" s="4">
        <v>3</v>
      </c>
      <c r="N345" s="4">
        <v>3</v>
      </c>
      <c r="O345" s="4">
        <v>6</v>
      </c>
      <c r="P345" s="4">
        <v>1</v>
      </c>
      <c r="Q345" s="7" t="s">
        <v>710</v>
      </c>
      <c r="R345" s="7" t="s">
        <v>25</v>
      </c>
    </row>
    <row r="346" spans="1:18">
      <c r="A346" s="4" t="s">
        <v>711</v>
      </c>
      <c r="B346" s="4">
        <v>7</v>
      </c>
      <c r="C346" s="4">
        <v>3</v>
      </c>
      <c r="D346" s="4">
        <v>3</v>
      </c>
      <c r="E346" s="4">
        <v>3</v>
      </c>
      <c r="F346" s="4">
        <v>-0.5</v>
      </c>
      <c r="G346" s="4">
        <v>7</v>
      </c>
      <c r="H346" s="4">
        <v>6.5</v>
      </c>
      <c r="I346" s="4">
        <v>2</v>
      </c>
      <c r="J346" s="4">
        <v>3.5</v>
      </c>
      <c r="K346" s="4">
        <v>1.5</v>
      </c>
      <c r="L346" s="4">
        <v>1.5</v>
      </c>
      <c r="M346" s="4">
        <v>6</v>
      </c>
      <c r="N346" s="4">
        <v>5.5</v>
      </c>
      <c r="O346" s="4">
        <v>0.5</v>
      </c>
      <c r="P346" s="4">
        <v>0</v>
      </c>
      <c r="Q346" s="7" t="s">
        <v>712</v>
      </c>
      <c r="R346" s="7" t="s">
        <v>28</v>
      </c>
    </row>
    <row r="347" spans="1:18">
      <c r="A347" s="4" t="s">
        <v>713</v>
      </c>
      <c r="B347" s="4">
        <v>-4</v>
      </c>
      <c r="C347" s="4">
        <v>0.5</v>
      </c>
      <c r="D347" s="4">
        <v>-5</v>
      </c>
      <c r="E347" s="4">
        <v>3</v>
      </c>
      <c r="F347" s="4">
        <v>-2</v>
      </c>
      <c r="G347" s="4">
        <v>2</v>
      </c>
      <c r="H347" s="4">
        <v>-4</v>
      </c>
      <c r="I347" s="4">
        <v>5.5</v>
      </c>
      <c r="J347" s="4">
        <v>-3</v>
      </c>
      <c r="K347" s="4">
        <v>3</v>
      </c>
      <c r="L347" s="4">
        <v>0.5</v>
      </c>
      <c r="M347" s="4">
        <v>-5</v>
      </c>
      <c r="N347" s="4">
        <v>-5</v>
      </c>
      <c r="O347" s="4">
        <v>3</v>
      </c>
      <c r="P347" s="4">
        <v>0</v>
      </c>
      <c r="Q347" s="7" t="s">
        <v>714</v>
      </c>
      <c r="R347" s="7" t="s">
        <v>25</v>
      </c>
    </row>
    <row r="348" spans="1:18">
      <c r="A348" s="4" t="s">
        <v>715</v>
      </c>
      <c r="B348" s="4">
        <v>3</v>
      </c>
      <c r="C348" s="4">
        <v>4</v>
      </c>
      <c r="D348" s="4">
        <v>6</v>
      </c>
      <c r="E348" s="4">
        <v>2</v>
      </c>
      <c r="F348" s="4">
        <v>4.5</v>
      </c>
      <c r="G348" s="4">
        <v>-3</v>
      </c>
      <c r="H348" s="4">
        <v>0.5</v>
      </c>
      <c r="I348" s="4">
        <v>3</v>
      </c>
      <c r="J348" s="4">
        <v>1.5</v>
      </c>
      <c r="K348" s="4">
        <v>0</v>
      </c>
      <c r="L348" s="4">
        <v>-5</v>
      </c>
      <c r="M348" s="4">
        <v>4</v>
      </c>
      <c r="N348" s="4">
        <v>-2</v>
      </c>
      <c r="O348" s="4">
        <v>0</v>
      </c>
      <c r="P348" s="4">
        <v>0</v>
      </c>
      <c r="Q348" s="7" t="s">
        <v>716</v>
      </c>
      <c r="R348" s="7" t="s">
        <v>34</v>
      </c>
    </row>
    <row r="349" spans="1:18">
      <c r="A349" s="4" t="s">
        <v>717</v>
      </c>
      <c r="B349" s="4">
        <v>-6</v>
      </c>
      <c r="C349" s="4">
        <v>1.5</v>
      </c>
      <c r="D349" s="4">
        <v>0</v>
      </c>
      <c r="E349" s="4">
        <v>7</v>
      </c>
      <c r="F349" s="4">
        <v>-0.5</v>
      </c>
      <c r="G349" s="4">
        <v>3</v>
      </c>
      <c r="H349" s="4">
        <v>0</v>
      </c>
      <c r="I349" s="4">
        <v>3.5</v>
      </c>
      <c r="J349" s="4">
        <v>-6</v>
      </c>
      <c r="K349" s="4">
        <v>2</v>
      </c>
      <c r="L349" s="4">
        <v>1.5</v>
      </c>
      <c r="M349" s="4">
        <v>0</v>
      </c>
      <c r="N349" s="4">
        <v>4</v>
      </c>
      <c r="O349" s="4">
        <v>0.5</v>
      </c>
      <c r="P349" s="4">
        <v>1</v>
      </c>
      <c r="Q349" s="7" t="s">
        <v>718</v>
      </c>
      <c r="R349" s="7" t="s">
        <v>37</v>
      </c>
    </row>
    <row r="350" spans="1:18">
      <c r="A350" s="4" t="s">
        <v>719</v>
      </c>
      <c r="B350" s="4">
        <v>7</v>
      </c>
      <c r="C350" s="4">
        <v>7</v>
      </c>
      <c r="D350" s="4">
        <v>4</v>
      </c>
      <c r="E350" s="4">
        <v>3</v>
      </c>
      <c r="F350" s="4">
        <v>3</v>
      </c>
      <c r="G350" s="4">
        <v>-2</v>
      </c>
      <c r="H350" s="4">
        <v>-9</v>
      </c>
      <c r="I350" s="4">
        <v>-2.5</v>
      </c>
      <c r="J350" s="4">
        <v>2</v>
      </c>
      <c r="K350" s="4">
        <v>7</v>
      </c>
      <c r="L350" s="4">
        <v>0</v>
      </c>
      <c r="M350" s="4">
        <v>-5</v>
      </c>
      <c r="N350" s="4">
        <v>0</v>
      </c>
      <c r="O350" s="4">
        <v>5</v>
      </c>
      <c r="P350" s="4">
        <v>1</v>
      </c>
      <c r="Q350" s="7" t="s">
        <v>720</v>
      </c>
      <c r="R350" s="7" t="s">
        <v>40</v>
      </c>
    </row>
    <row r="351" spans="1:18">
      <c r="A351" s="4" t="s">
        <v>721</v>
      </c>
      <c r="B351" s="4">
        <v>4</v>
      </c>
      <c r="C351" s="4">
        <v>0</v>
      </c>
      <c r="D351" s="4">
        <v>-4</v>
      </c>
      <c r="E351" s="4">
        <v>-5</v>
      </c>
      <c r="F351" s="4">
        <v>-2</v>
      </c>
      <c r="G351" s="4">
        <v>0</v>
      </c>
      <c r="H351" s="4">
        <v>2</v>
      </c>
      <c r="I351" s="4">
        <v>4.5</v>
      </c>
      <c r="J351" s="4">
        <v>0</v>
      </c>
      <c r="K351" s="4">
        <v>1.5</v>
      </c>
      <c r="L351" s="4">
        <v>4</v>
      </c>
      <c r="M351" s="4">
        <v>1</v>
      </c>
      <c r="N351" s="4">
        <v>0</v>
      </c>
      <c r="O351" s="4">
        <v>-1</v>
      </c>
      <c r="P351" s="4">
        <v>1</v>
      </c>
      <c r="Q351" s="7" t="s">
        <v>722</v>
      </c>
      <c r="R351" s="7" t="s">
        <v>31</v>
      </c>
    </row>
    <row r="352" spans="1:18">
      <c r="A352" s="4" t="s">
        <v>723</v>
      </c>
      <c r="B352" s="4">
        <v>2.5</v>
      </c>
      <c r="C352" s="4">
        <v>2</v>
      </c>
      <c r="D352" s="4">
        <v>-3</v>
      </c>
      <c r="E352" s="4">
        <v>1</v>
      </c>
      <c r="F352" s="4">
        <v>2.5</v>
      </c>
      <c r="G352" s="4">
        <v>0</v>
      </c>
      <c r="H352" s="4">
        <v>-1</v>
      </c>
      <c r="I352" s="4">
        <v>2</v>
      </c>
      <c r="J352" s="4">
        <v>1</v>
      </c>
      <c r="K352" s="4">
        <v>6</v>
      </c>
      <c r="L352" s="4">
        <v>-0.5</v>
      </c>
      <c r="M352" s="4">
        <v>2.5</v>
      </c>
      <c r="N352" s="4">
        <v>-3</v>
      </c>
      <c r="O352" s="4">
        <v>4.5</v>
      </c>
      <c r="P352" s="4">
        <v>0</v>
      </c>
      <c r="Q352" s="7" t="s">
        <v>724</v>
      </c>
      <c r="R352" s="7" t="s">
        <v>16</v>
      </c>
    </row>
    <row r="353" spans="1:18">
      <c r="A353" s="4" t="s">
        <v>725</v>
      </c>
      <c r="B353" s="4">
        <v>3</v>
      </c>
      <c r="C353" s="4">
        <v>-2</v>
      </c>
      <c r="D353" s="4">
        <v>0</v>
      </c>
      <c r="E353" s="4">
        <v>4</v>
      </c>
      <c r="F353" s="4">
        <v>1</v>
      </c>
      <c r="G353" s="4">
        <v>-3</v>
      </c>
      <c r="H353" s="4">
        <v>-2</v>
      </c>
      <c r="I353" s="4">
        <v>5</v>
      </c>
      <c r="J353" s="4">
        <v>0</v>
      </c>
      <c r="K353" s="4">
        <v>2</v>
      </c>
      <c r="L353" s="4">
        <v>1.5</v>
      </c>
      <c r="M353" s="4">
        <v>-3</v>
      </c>
      <c r="N353" s="4">
        <v>3</v>
      </c>
      <c r="O353" s="4">
        <v>2</v>
      </c>
      <c r="P353" s="4">
        <v>1</v>
      </c>
      <c r="Q353" s="7" t="s">
        <v>726</v>
      </c>
      <c r="R353" s="7" t="s">
        <v>19</v>
      </c>
    </row>
    <row r="354" spans="1:18">
      <c r="A354" s="4" t="s">
        <v>727</v>
      </c>
      <c r="B354" s="4">
        <v>4.5</v>
      </c>
      <c r="C354" s="4">
        <v>0</v>
      </c>
      <c r="D354" s="4">
        <v>-4</v>
      </c>
      <c r="E354" s="4">
        <v>-2</v>
      </c>
      <c r="F354" s="4">
        <v>0.5</v>
      </c>
      <c r="G354" s="4">
        <v>0</v>
      </c>
      <c r="H354" s="4">
        <v>6</v>
      </c>
      <c r="I354" s="4">
        <v>4.5</v>
      </c>
      <c r="J354" s="4">
        <v>-8</v>
      </c>
      <c r="K354" s="4">
        <v>4</v>
      </c>
      <c r="L354" s="4">
        <v>5</v>
      </c>
      <c r="M354" s="4">
        <v>-5</v>
      </c>
      <c r="N354" s="4">
        <v>-2</v>
      </c>
      <c r="O354" s="4">
        <v>4.5</v>
      </c>
      <c r="P354" s="4">
        <v>0</v>
      </c>
      <c r="Q354" s="7" t="s">
        <v>728</v>
      </c>
      <c r="R354" s="7" t="s">
        <v>22</v>
      </c>
    </row>
    <row r="355" spans="1:18">
      <c r="A355" s="4" t="s">
        <v>729</v>
      </c>
      <c r="B355" s="4">
        <v>0</v>
      </c>
      <c r="C355" s="4">
        <v>3.5</v>
      </c>
      <c r="D355" s="4">
        <v>0</v>
      </c>
      <c r="E355" s="4">
        <v>4</v>
      </c>
      <c r="F355" s="4">
        <v>3.5</v>
      </c>
      <c r="G355" s="4">
        <v>6</v>
      </c>
      <c r="H355" s="4">
        <v>-4</v>
      </c>
      <c r="I355" s="4">
        <v>5</v>
      </c>
      <c r="J355" s="4">
        <v>4</v>
      </c>
      <c r="K355" s="4">
        <v>2.5</v>
      </c>
      <c r="L355" s="4">
        <v>-1</v>
      </c>
      <c r="M355" s="4">
        <v>0</v>
      </c>
      <c r="N355" s="4">
        <v>0</v>
      </c>
      <c r="O355" s="4">
        <v>4.5</v>
      </c>
      <c r="P355" s="4">
        <v>1</v>
      </c>
      <c r="Q355" s="7" t="s">
        <v>730</v>
      </c>
      <c r="R355" s="7" t="s">
        <v>25</v>
      </c>
    </row>
    <row r="356" spans="1:18">
      <c r="A356" s="4" t="s">
        <v>731</v>
      </c>
      <c r="B356" s="4">
        <v>1</v>
      </c>
      <c r="C356" s="4">
        <v>1</v>
      </c>
      <c r="D356" s="4">
        <v>0</v>
      </c>
      <c r="E356" s="4">
        <v>1</v>
      </c>
      <c r="F356" s="4">
        <v>-3</v>
      </c>
      <c r="G356" s="4">
        <v>-4</v>
      </c>
      <c r="H356" s="4">
        <v>-2</v>
      </c>
      <c r="I356" s="4">
        <v>2</v>
      </c>
      <c r="J356" s="4">
        <v>1</v>
      </c>
      <c r="K356" s="4">
        <v>2</v>
      </c>
      <c r="L356" s="4">
        <v>2.5</v>
      </c>
      <c r="M356" s="4">
        <v>-3</v>
      </c>
      <c r="N356" s="4">
        <v>-2</v>
      </c>
      <c r="O356" s="4">
        <v>-2</v>
      </c>
      <c r="P356" s="4">
        <v>0</v>
      </c>
      <c r="Q356" s="7" t="s">
        <v>732</v>
      </c>
      <c r="R356" s="7" t="s">
        <v>28</v>
      </c>
    </row>
    <row r="357" spans="1:18">
      <c r="A357" s="4" t="s">
        <v>733</v>
      </c>
      <c r="B357" s="4">
        <v>8</v>
      </c>
      <c r="C357" s="4">
        <v>-4</v>
      </c>
      <c r="D357" s="4">
        <v>-3</v>
      </c>
      <c r="E357" s="4">
        <v>-1</v>
      </c>
      <c r="F357" s="4">
        <v>8</v>
      </c>
      <c r="G357" s="4">
        <v>6</v>
      </c>
      <c r="H357" s="4">
        <v>0.5</v>
      </c>
      <c r="I357" s="4">
        <v>4</v>
      </c>
      <c r="J357" s="4">
        <v>4.5</v>
      </c>
      <c r="K357" s="4">
        <v>0</v>
      </c>
      <c r="L357" s="4">
        <v>1</v>
      </c>
      <c r="M357" s="4">
        <v>-4</v>
      </c>
      <c r="N357" s="4">
        <v>-5</v>
      </c>
      <c r="O357" s="4">
        <v>2</v>
      </c>
      <c r="P357" s="4">
        <v>0</v>
      </c>
      <c r="Q357" s="7" t="s">
        <v>734</v>
      </c>
      <c r="R357" s="7" t="s">
        <v>28</v>
      </c>
    </row>
    <row r="358" spans="1:18">
      <c r="A358" s="4" t="s">
        <v>735</v>
      </c>
      <c r="B358" s="4">
        <v>-1</v>
      </c>
      <c r="C358" s="4">
        <v>9</v>
      </c>
      <c r="D358" s="4">
        <v>3</v>
      </c>
      <c r="E358" s="4">
        <v>-2</v>
      </c>
      <c r="F358" s="4">
        <v>4</v>
      </c>
      <c r="G358" s="4">
        <v>-1</v>
      </c>
      <c r="H358" s="4">
        <v>2</v>
      </c>
      <c r="I358" s="4">
        <v>-2</v>
      </c>
      <c r="J358" s="4">
        <v>5</v>
      </c>
      <c r="K358" s="4">
        <v>-1</v>
      </c>
      <c r="L358" s="4">
        <v>0</v>
      </c>
      <c r="M358" s="4">
        <v>9</v>
      </c>
      <c r="N358" s="4">
        <v>6.5</v>
      </c>
      <c r="O358" s="4">
        <v>3</v>
      </c>
      <c r="P358" s="4">
        <v>1</v>
      </c>
      <c r="Q358" s="7" t="s">
        <v>736</v>
      </c>
      <c r="R358" s="7" t="s">
        <v>34</v>
      </c>
    </row>
    <row r="359" spans="1:18">
      <c r="A359" s="4" t="s">
        <v>737</v>
      </c>
      <c r="B359" s="4">
        <v>0</v>
      </c>
      <c r="C359" s="4">
        <v>-3</v>
      </c>
      <c r="D359" s="4">
        <v>-3</v>
      </c>
      <c r="E359" s="4">
        <v>5.5</v>
      </c>
      <c r="F359" s="4">
        <v>-2</v>
      </c>
      <c r="G359" s="4">
        <v>1</v>
      </c>
      <c r="H359" s="4">
        <v>0</v>
      </c>
      <c r="I359" s="4">
        <v>4</v>
      </c>
      <c r="J359" s="4">
        <v>-6</v>
      </c>
      <c r="K359" s="4">
        <v>-2</v>
      </c>
      <c r="L359" s="4">
        <v>-3</v>
      </c>
      <c r="M359" s="4">
        <v>-5</v>
      </c>
      <c r="N359" s="4">
        <v>-2.5</v>
      </c>
      <c r="O359" s="4">
        <v>0</v>
      </c>
      <c r="P359" s="4">
        <v>0</v>
      </c>
      <c r="Q359" s="7" t="s">
        <v>738</v>
      </c>
      <c r="R359" s="7" t="s">
        <v>37</v>
      </c>
    </row>
    <row r="360" spans="1:18">
      <c r="A360" s="4" t="s">
        <v>739</v>
      </c>
      <c r="B360" s="4">
        <v>4</v>
      </c>
      <c r="C360" s="4">
        <v>0.5</v>
      </c>
      <c r="D360" s="4">
        <v>-4</v>
      </c>
      <c r="E360" s="4">
        <v>2</v>
      </c>
      <c r="F360" s="4">
        <v>3</v>
      </c>
      <c r="G360" s="4">
        <v>4</v>
      </c>
      <c r="H360" s="4">
        <v>-1</v>
      </c>
      <c r="I360" s="4">
        <v>4</v>
      </c>
      <c r="J360" s="4">
        <v>-1</v>
      </c>
      <c r="K360" s="4">
        <v>0.5</v>
      </c>
      <c r="L360" s="4">
        <v>3</v>
      </c>
      <c r="M360" s="4">
        <v>0</v>
      </c>
      <c r="N360" s="4">
        <v>4</v>
      </c>
      <c r="O360" s="4">
        <v>1</v>
      </c>
      <c r="P360" s="4">
        <v>1</v>
      </c>
      <c r="Q360" s="7" t="s">
        <v>740</v>
      </c>
      <c r="R360" s="7" t="s">
        <v>40</v>
      </c>
    </row>
    <row r="361" spans="1:18">
      <c r="A361" s="4" t="s">
        <v>741</v>
      </c>
      <c r="B361" s="4">
        <v>1</v>
      </c>
      <c r="C361" s="4">
        <v>1</v>
      </c>
      <c r="D361" s="4">
        <v>-1</v>
      </c>
      <c r="E361" s="4">
        <v>0.5</v>
      </c>
      <c r="F361" s="4">
        <v>-7</v>
      </c>
      <c r="G361" s="4">
        <v>-2</v>
      </c>
      <c r="H361" s="4">
        <v>0</v>
      </c>
      <c r="I361" s="4">
        <v>1</v>
      </c>
      <c r="J361" s="4">
        <v>1</v>
      </c>
      <c r="K361" s="4">
        <v>4</v>
      </c>
      <c r="L361" s="4">
        <v>-3</v>
      </c>
      <c r="M361" s="4">
        <v>-2</v>
      </c>
      <c r="N361" s="4">
        <v>2</v>
      </c>
      <c r="O361" s="4">
        <v>-7</v>
      </c>
      <c r="P361" s="4">
        <v>0</v>
      </c>
      <c r="Q361" s="7" t="s">
        <v>742</v>
      </c>
      <c r="R361" s="7" t="s">
        <v>31</v>
      </c>
    </row>
    <row r="362" spans="1:18">
      <c r="A362" s="4" t="s">
        <v>743</v>
      </c>
      <c r="B362" s="4">
        <v>-1.5</v>
      </c>
      <c r="C362" s="4">
        <v>-1</v>
      </c>
      <c r="D362" s="4">
        <v>-3</v>
      </c>
      <c r="E362" s="4">
        <v>4</v>
      </c>
      <c r="F362" s="4">
        <v>5</v>
      </c>
      <c r="G362" s="4">
        <v>-2</v>
      </c>
      <c r="H362" s="4">
        <v>0</v>
      </c>
      <c r="I362" s="4">
        <v>-1</v>
      </c>
      <c r="J362" s="4">
        <v>0</v>
      </c>
      <c r="K362" s="4">
        <v>-1.5</v>
      </c>
      <c r="L362" s="4">
        <v>1</v>
      </c>
      <c r="M362" s="4">
        <v>-3</v>
      </c>
      <c r="N362" s="4">
        <v>-1</v>
      </c>
      <c r="O362" s="4">
        <v>0</v>
      </c>
      <c r="P362" s="4">
        <v>0</v>
      </c>
      <c r="Q362" s="7" t="s">
        <v>744</v>
      </c>
      <c r="R362" s="7" t="s">
        <v>16</v>
      </c>
    </row>
    <row r="363" spans="1:18">
      <c r="A363" s="5" t="s">
        <v>745</v>
      </c>
      <c r="B363" s="4">
        <v>-4</v>
      </c>
      <c r="C363" s="4">
        <v>-5</v>
      </c>
      <c r="D363" s="4">
        <v>1</v>
      </c>
      <c r="E363" s="4">
        <v>2</v>
      </c>
      <c r="F363" s="4">
        <v>1</v>
      </c>
      <c r="G363" s="4">
        <v>0</v>
      </c>
      <c r="H363" s="4">
        <v>-5</v>
      </c>
      <c r="I363" s="4">
        <v>2</v>
      </c>
      <c r="J363" s="4">
        <v>2</v>
      </c>
      <c r="K363" s="4">
        <v>1</v>
      </c>
      <c r="L363" s="4">
        <v>-4</v>
      </c>
      <c r="M363" s="4">
        <v>-1</v>
      </c>
      <c r="N363" s="4">
        <v>1</v>
      </c>
      <c r="O363" s="4">
        <v>5</v>
      </c>
      <c r="P363" s="4">
        <v>0</v>
      </c>
      <c r="Q363" s="7" t="s">
        <v>746</v>
      </c>
      <c r="R363" s="7" t="s">
        <v>19</v>
      </c>
    </row>
    <row r="364" spans="1:18">
      <c r="A364" s="5" t="s">
        <v>747</v>
      </c>
      <c r="B364" s="4">
        <v>-4</v>
      </c>
      <c r="C364" s="4">
        <v>-3</v>
      </c>
      <c r="D364" s="4">
        <v>-2</v>
      </c>
      <c r="E364" s="4">
        <v>3</v>
      </c>
      <c r="F364" s="4">
        <v>-6</v>
      </c>
      <c r="G364" s="4">
        <v>-3</v>
      </c>
      <c r="H364" s="4">
        <v>-7</v>
      </c>
      <c r="I364" s="4">
        <v>1</v>
      </c>
      <c r="J364" s="4">
        <v>-7</v>
      </c>
      <c r="K364" s="4">
        <v>8</v>
      </c>
      <c r="L364" s="4">
        <v>7.5</v>
      </c>
      <c r="M364" s="4">
        <v>-4</v>
      </c>
      <c r="N364" s="4">
        <v>0.5</v>
      </c>
      <c r="O364" s="4">
        <v>6</v>
      </c>
      <c r="P364" s="4">
        <v>1</v>
      </c>
      <c r="Q364" s="7" t="s">
        <v>748</v>
      </c>
      <c r="R364" s="7" t="s">
        <v>22</v>
      </c>
    </row>
    <row r="365" spans="1:18">
      <c r="A365" s="5" t="s">
        <v>749</v>
      </c>
      <c r="B365" s="4">
        <v>2</v>
      </c>
      <c r="C365" s="4">
        <v>-1</v>
      </c>
      <c r="D365" s="4">
        <v>6</v>
      </c>
      <c r="E365" s="4">
        <v>3</v>
      </c>
      <c r="F365" s="4">
        <v>-1</v>
      </c>
      <c r="G365" s="4">
        <v>4</v>
      </c>
      <c r="H365" s="4">
        <v>-3</v>
      </c>
      <c r="I365" s="4">
        <v>2</v>
      </c>
      <c r="J365" s="4">
        <v>0</v>
      </c>
      <c r="K365" s="4">
        <v>-1</v>
      </c>
      <c r="L365" s="4">
        <v>1</v>
      </c>
      <c r="M365" s="4">
        <v>4</v>
      </c>
      <c r="N365" s="4">
        <v>2</v>
      </c>
      <c r="O365" s="4">
        <v>0</v>
      </c>
      <c r="P365" s="4">
        <v>0</v>
      </c>
      <c r="Q365" s="7" t="s">
        <v>750</v>
      </c>
      <c r="R365" s="7" t="s">
        <v>25</v>
      </c>
    </row>
    <row r="366" spans="1:18">
      <c r="A366" s="5" t="s">
        <v>751</v>
      </c>
      <c r="B366" s="4">
        <v>-4</v>
      </c>
      <c r="C366" s="4">
        <v>0</v>
      </c>
      <c r="D366" s="4">
        <v>-6</v>
      </c>
      <c r="E366" s="4">
        <v>0</v>
      </c>
      <c r="F366" s="4">
        <v>-4</v>
      </c>
      <c r="G366" s="4">
        <v>0</v>
      </c>
      <c r="H366" s="4">
        <v>1</v>
      </c>
      <c r="I366" s="4">
        <v>7</v>
      </c>
      <c r="J366" s="4">
        <v>0</v>
      </c>
      <c r="K366" s="4">
        <v>2</v>
      </c>
      <c r="L366" s="4">
        <v>5</v>
      </c>
      <c r="M366" s="4">
        <v>1</v>
      </c>
      <c r="N366" s="4">
        <v>-1</v>
      </c>
      <c r="O366" s="4">
        <v>-4</v>
      </c>
      <c r="P366" s="4">
        <v>0</v>
      </c>
      <c r="Q366" s="7" t="s">
        <v>752</v>
      </c>
      <c r="R366" s="7" t="s">
        <v>28</v>
      </c>
    </row>
    <row r="367" spans="1:18">
      <c r="A367" s="5" t="s">
        <v>753</v>
      </c>
      <c r="B367" s="4">
        <v>-6</v>
      </c>
      <c r="C367" s="4">
        <v>2</v>
      </c>
      <c r="D367" s="4">
        <v>-6</v>
      </c>
      <c r="E367" s="4">
        <v>5.5</v>
      </c>
      <c r="F367" s="4">
        <v>4</v>
      </c>
      <c r="G367" s="4">
        <v>-2</v>
      </c>
      <c r="H367" s="4">
        <v>2</v>
      </c>
      <c r="I367" s="4">
        <v>4</v>
      </c>
      <c r="J367" s="4">
        <v>-5</v>
      </c>
      <c r="K367" s="4">
        <v>-2</v>
      </c>
      <c r="L367" s="4">
        <v>3</v>
      </c>
      <c r="M367" s="4">
        <v>-2</v>
      </c>
      <c r="N367" s="4">
        <v>1</v>
      </c>
      <c r="O367" s="4">
        <v>7</v>
      </c>
      <c r="P367" s="4">
        <v>0</v>
      </c>
      <c r="Q367" s="7" t="s">
        <v>754</v>
      </c>
      <c r="R367" s="7" t="s">
        <v>31</v>
      </c>
    </row>
    <row r="368" spans="1:18">
      <c r="A368" s="5" t="s">
        <v>755</v>
      </c>
      <c r="B368" s="4">
        <v>3</v>
      </c>
      <c r="C368" s="4">
        <v>-1</v>
      </c>
      <c r="D368" s="4">
        <v>3</v>
      </c>
      <c r="E368" s="4">
        <v>3</v>
      </c>
      <c r="F368" s="4">
        <v>-1</v>
      </c>
      <c r="G368" s="4">
        <v>1</v>
      </c>
      <c r="H368" s="4">
        <v>-2</v>
      </c>
      <c r="I368" s="4">
        <v>-2</v>
      </c>
      <c r="J368" s="4">
        <v>0</v>
      </c>
      <c r="K368" s="4">
        <v>1.5</v>
      </c>
      <c r="L368" s="4">
        <v>-3</v>
      </c>
      <c r="M368" s="4">
        <v>-1</v>
      </c>
      <c r="N368" s="4">
        <v>1.5</v>
      </c>
      <c r="O368" s="4">
        <v>4</v>
      </c>
      <c r="P368" s="4">
        <v>1</v>
      </c>
      <c r="Q368" s="7" t="s">
        <v>756</v>
      </c>
      <c r="R368" s="7" t="s">
        <v>34</v>
      </c>
    </row>
    <row r="369" spans="1:18">
      <c r="A369" s="5" t="s">
        <v>757</v>
      </c>
      <c r="B369" s="4">
        <v>-4</v>
      </c>
      <c r="C369" s="4">
        <v>3</v>
      </c>
      <c r="D369" s="4">
        <v>3</v>
      </c>
      <c r="E369" s="4">
        <v>-2</v>
      </c>
      <c r="F369" s="4">
        <v>-4</v>
      </c>
      <c r="G369" s="4">
        <v>-2</v>
      </c>
      <c r="H369" s="4">
        <v>3.5</v>
      </c>
      <c r="I369" s="4">
        <v>1.5</v>
      </c>
      <c r="J369" s="4">
        <v>-2</v>
      </c>
      <c r="K369" s="4">
        <v>0</v>
      </c>
      <c r="L369" s="4">
        <v>3</v>
      </c>
      <c r="M369" s="4">
        <v>1</v>
      </c>
      <c r="N369" s="4">
        <v>-3</v>
      </c>
      <c r="O369" s="4">
        <v>5</v>
      </c>
      <c r="P369" s="4">
        <v>0</v>
      </c>
      <c r="Q369" s="7" t="s">
        <v>758</v>
      </c>
      <c r="R369" s="7" t="s">
        <v>37</v>
      </c>
    </row>
    <row r="370" spans="1:18">
      <c r="A370" s="5" t="s">
        <v>759</v>
      </c>
      <c r="B370" s="4">
        <v>0</v>
      </c>
      <c r="C370" s="4">
        <v>-4</v>
      </c>
      <c r="D370" s="4">
        <v>-3</v>
      </c>
      <c r="E370" s="4">
        <v>3.5</v>
      </c>
      <c r="F370" s="4">
        <v>4</v>
      </c>
      <c r="G370" s="4">
        <v>0</v>
      </c>
      <c r="H370" s="4">
        <v>0</v>
      </c>
      <c r="I370" s="4">
        <v>3</v>
      </c>
      <c r="J370" s="4">
        <v>3</v>
      </c>
      <c r="K370" s="4">
        <v>-4</v>
      </c>
      <c r="L370" s="4">
        <v>-1</v>
      </c>
      <c r="M370" s="4">
        <v>4</v>
      </c>
      <c r="N370" s="4">
        <v>2</v>
      </c>
      <c r="O370" s="4">
        <v>5</v>
      </c>
      <c r="P370" s="4">
        <v>0</v>
      </c>
      <c r="Q370" s="7" t="s">
        <v>760</v>
      </c>
      <c r="R370" s="7" t="s">
        <v>40</v>
      </c>
    </row>
    <row r="371" spans="1:18">
      <c r="A371" s="5" t="s">
        <v>761</v>
      </c>
      <c r="B371" s="4">
        <v>-3</v>
      </c>
      <c r="C371" s="4">
        <v>-6</v>
      </c>
      <c r="D371" s="4">
        <v>4</v>
      </c>
      <c r="E371" s="4">
        <v>0.5</v>
      </c>
      <c r="F371" s="4">
        <v>-7</v>
      </c>
      <c r="G371" s="4">
        <v>-2</v>
      </c>
      <c r="H371" s="4">
        <v>-3</v>
      </c>
      <c r="I371" s="4">
        <v>6</v>
      </c>
      <c r="J371" s="4">
        <v>-6</v>
      </c>
      <c r="K371" s="4">
        <v>-1</v>
      </c>
      <c r="L371" s="4">
        <v>-3</v>
      </c>
      <c r="M371" s="4">
        <v>-6</v>
      </c>
      <c r="N371" s="4">
        <v>0</v>
      </c>
      <c r="O371" s="4">
        <v>-8</v>
      </c>
      <c r="P371" s="4">
        <v>1</v>
      </c>
      <c r="Q371" s="7" t="s">
        <v>762</v>
      </c>
      <c r="R371" s="7" t="s">
        <v>31</v>
      </c>
    </row>
    <row r="372" spans="1:18">
      <c r="A372" s="5" t="s">
        <v>763</v>
      </c>
      <c r="B372" s="4">
        <v>2</v>
      </c>
      <c r="C372" s="4">
        <v>2</v>
      </c>
      <c r="D372" s="4">
        <v>-12</v>
      </c>
      <c r="E372" s="4">
        <v>-3</v>
      </c>
      <c r="F372" s="4">
        <v>3</v>
      </c>
      <c r="G372" s="4">
        <v>-7.5</v>
      </c>
      <c r="H372" s="4">
        <v>1</v>
      </c>
      <c r="I372" s="4">
        <v>2</v>
      </c>
      <c r="J372" s="4">
        <v>-1.5</v>
      </c>
      <c r="K372" s="4">
        <v>3</v>
      </c>
      <c r="L372" s="4">
        <v>-4</v>
      </c>
      <c r="M372" s="4">
        <v>-9</v>
      </c>
      <c r="N372" s="4">
        <v>-9</v>
      </c>
      <c r="O372" s="4">
        <v>2</v>
      </c>
      <c r="P372" s="4">
        <v>1</v>
      </c>
      <c r="Q372" s="7" t="s">
        <v>764</v>
      </c>
      <c r="R372" s="7" t="s">
        <v>16</v>
      </c>
    </row>
    <row r="373" spans="1:18">
      <c r="A373" s="5" t="s">
        <v>765</v>
      </c>
      <c r="B373" s="4">
        <v>0</v>
      </c>
      <c r="C373" s="4">
        <v>2</v>
      </c>
      <c r="D373" s="4">
        <v>0</v>
      </c>
      <c r="E373" s="4">
        <v>2</v>
      </c>
      <c r="F373" s="4">
        <v>-1</v>
      </c>
      <c r="G373" s="4">
        <v>-4</v>
      </c>
      <c r="H373" s="4">
        <v>2</v>
      </c>
      <c r="I373" s="4">
        <v>-0.5</v>
      </c>
      <c r="J373" s="4">
        <v>0</v>
      </c>
      <c r="K373" s="4">
        <v>-1</v>
      </c>
      <c r="L373" s="4">
        <v>2</v>
      </c>
      <c r="M373" s="4">
        <v>0</v>
      </c>
      <c r="N373" s="4">
        <v>2</v>
      </c>
      <c r="O373" s="4">
        <v>-3</v>
      </c>
      <c r="P373" s="4">
        <v>1</v>
      </c>
      <c r="Q373" s="7" t="s">
        <v>766</v>
      </c>
      <c r="R373" s="7" t="s">
        <v>19</v>
      </c>
    </row>
    <row r="374" spans="1:18">
      <c r="A374" s="5" t="s">
        <v>767</v>
      </c>
      <c r="B374" s="4">
        <v>3</v>
      </c>
      <c r="C374" s="4">
        <v>1</v>
      </c>
      <c r="D374" s="4">
        <v>-1.5</v>
      </c>
      <c r="E374" s="4">
        <v>4</v>
      </c>
      <c r="F374" s="4">
        <v>-4</v>
      </c>
      <c r="G374" s="4">
        <v>1</v>
      </c>
      <c r="H374" s="4">
        <v>8</v>
      </c>
      <c r="I374" s="4">
        <v>2</v>
      </c>
      <c r="J374" s="4">
        <v>-9.5</v>
      </c>
      <c r="K374" s="4">
        <v>3</v>
      </c>
      <c r="L374" s="4">
        <v>3</v>
      </c>
      <c r="M374" s="4">
        <v>-8.5</v>
      </c>
      <c r="N374" s="4">
        <v>1</v>
      </c>
      <c r="O374" s="4">
        <v>-5</v>
      </c>
      <c r="P374" s="4">
        <v>1</v>
      </c>
      <c r="Q374" s="7" t="s">
        <v>768</v>
      </c>
      <c r="R374" s="7" t="s">
        <v>22</v>
      </c>
    </row>
    <row r="375" spans="1:18">
      <c r="A375" s="5" t="s">
        <v>769</v>
      </c>
      <c r="B375" s="4">
        <v>-1</v>
      </c>
      <c r="C375" s="4">
        <v>3</v>
      </c>
      <c r="D375" s="4">
        <v>-3</v>
      </c>
      <c r="E375" s="4">
        <v>-7</v>
      </c>
      <c r="F375" s="4">
        <v>3</v>
      </c>
      <c r="G375" s="4">
        <v>-5</v>
      </c>
      <c r="H375" s="4">
        <v>-1</v>
      </c>
      <c r="I375" s="4">
        <v>-1</v>
      </c>
      <c r="J375" s="4">
        <v>-1</v>
      </c>
      <c r="K375" s="4">
        <v>3</v>
      </c>
      <c r="L375" s="4">
        <v>-1</v>
      </c>
      <c r="M375" s="4">
        <v>-1</v>
      </c>
      <c r="N375" s="4">
        <v>1</v>
      </c>
      <c r="O375" s="4">
        <v>3</v>
      </c>
      <c r="P375" s="4">
        <v>0</v>
      </c>
      <c r="Q375" s="7" t="s">
        <v>770</v>
      </c>
      <c r="R375" s="7" t="s">
        <v>25</v>
      </c>
    </row>
    <row r="376" spans="1:18">
      <c r="A376" s="4" t="s">
        <v>771</v>
      </c>
      <c r="B376" s="4">
        <v>3</v>
      </c>
      <c r="C376" s="4">
        <v>4</v>
      </c>
      <c r="D376" s="4">
        <v>0</v>
      </c>
      <c r="E376" s="4">
        <v>4</v>
      </c>
      <c r="F376" s="4">
        <v>-2</v>
      </c>
      <c r="G376" s="4">
        <v>3</v>
      </c>
      <c r="H376" s="4">
        <v>8</v>
      </c>
      <c r="I376" s="4">
        <v>5</v>
      </c>
      <c r="J376" s="4">
        <v>3</v>
      </c>
      <c r="K376" s="4">
        <v>2</v>
      </c>
      <c r="L376" s="4">
        <v>6</v>
      </c>
      <c r="M376" s="4">
        <v>3</v>
      </c>
      <c r="N376" s="4">
        <v>-1</v>
      </c>
      <c r="O376" s="4">
        <v>-3</v>
      </c>
      <c r="P376" s="4">
        <v>0</v>
      </c>
      <c r="Q376" s="7" t="s">
        <v>772</v>
      </c>
      <c r="R376" s="7" t="s">
        <v>28</v>
      </c>
    </row>
    <row r="377" spans="1:18">
      <c r="A377" s="4" t="s">
        <v>773</v>
      </c>
      <c r="B377" s="4">
        <v>-4</v>
      </c>
      <c r="C377" s="4">
        <v>4</v>
      </c>
      <c r="D377" s="4">
        <v>-7.5</v>
      </c>
      <c r="E377" s="4">
        <v>-6</v>
      </c>
      <c r="F377" s="4">
        <v>-5</v>
      </c>
      <c r="G377" s="4">
        <v>-8</v>
      </c>
      <c r="H377" s="4">
        <v>-1</v>
      </c>
      <c r="I377" s="4">
        <v>4</v>
      </c>
      <c r="J377" s="4">
        <v>1</v>
      </c>
      <c r="K377" s="4">
        <v>3</v>
      </c>
      <c r="L377" s="4">
        <v>2</v>
      </c>
      <c r="M377" s="4">
        <v>-1.5</v>
      </c>
      <c r="N377" s="4">
        <v>-4</v>
      </c>
      <c r="O377" s="4">
        <v>7</v>
      </c>
      <c r="P377" s="4">
        <v>1</v>
      </c>
      <c r="Q377" s="7" t="s">
        <v>774</v>
      </c>
      <c r="R377" s="7" t="s">
        <v>16</v>
      </c>
    </row>
    <row r="378" spans="1:18">
      <c r="A378" s="4" t="s">
        <v>775</v>
      </c>
      <c r="B378" s="4">
        <v>-3</v>
      </c>
      <c r="C378" s="4">
        <v>-8</v>
      </c>
      <c r="D378" s="4">
        <v>-8</v>
      </c>
      <c r="E378" s="4">
        <v>1</v>
      </c>
      <c r="F378" s="4">
        <v>2</v>
      </c>
      <c r="G378" s="4">
        <v>-5</v>
      </c>
      <c r="H378" s="4">
        <v>-2</v>
      </c>
      <c r="I378" s="4">
        <v>-1</v>
      </c>
      <c r="J378" s="4">
        <v>0</v>
      </c>
      <c r="K378" s="4">
        <v>-9</v>
      </c>
      <c r="L378" s="4">
        <v>-3</v>
      </c>
      <c r="M378" s="4">
        <v>-5</v>
      </c>
      <c r="N378" s="4">
        <v>2</v>
      </c>
      <c r="O378" s="4">
        <v>-1</v>
      </c>
      <c r="P378" s="4">
        <v>1</v>
      </c>
      <c r="Q378" s="7" t="s">
        <v>776</v>
      </c>
      <c r="R378" s="7" t="s">
        <v>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8"/>
  <sheetViews>
    <sheetView topLeftCell="A2" workbookViewId="0">
      <selection activeCell="B2" sqref="B2"/>
    </sheetView>
  </sheetViews>
  <sheetFormatPr defaultColWidth="9" defaultRowHeight="13.5"/>
  <cols>
    <col min="1" max="1" width="11.625" customWidth="1"/>
  </cols>
  <sheetData>
    <row r="1" spans="1:15">
      <c r="A1" s="2" t="s">
        <v>0</v>
      </c>
      <c r="B1" s="2" t="s">
        <v>781</v>
      </c>
      <c r="C1" s="2" t="s">
        <v>782</v>
      </c>
      <c r="D1" s="2" t="s">
        <v>783</v>
      </c>
      <c r="E1" s="2" t="s">
        <v>784</v>
      </c>
      <c r="F1" s="2" t="s">
        <v>785</v>
      </c>
      <c r="G1" s="2" t="s">
        <v>786</v>
      </c>
      <c r="H1" s="2" t="s">
        <v>787</v>
      </c>
      <c r="I1" s="2" t="s">
        <v>788</v>
      </c>
      <c r="J1" s="2" t="s">
        <v>789</v>
      </c>
      <c r="K1" s="2" t="s">
        <v>790</v>
      </c>
      <c r="L1" s="2" t="s">
        <v>791</v>
      </c>
      <c r="M1" s="2" t="s">
        <v>792</v>
      </c>
      <c r="N1" s="2" t="s">
        <v>793</v>
      </c>
      <c r="O1" s="2" t="s">
        <v>794</v>
      </c>
    </row>
    <row r="2" spans="1:15">
      <c r="A2" s="4" t="s">
        <v>14</v>
      </c>
      <c r="B2" s="4">
        <f>IF(澳门新定位结果!B2&lt;=0,0,1)</f>
        <v>0</v>
      </c>
      <c r="C2" s="4">
        <f>IF(澳门新定位结果!C2&lt;=0,0,1)</f>
        <v>0</v>
      </c>
      <c r="D2" s="4">
        <f>IF(澳门新定位结果!D2&lt;=0,0,1)</f>
        <v>0</v>
      </c>
      <c r="E2" s="4">
        <f>IF(澳门新定位结果!E2&lt;=0,0,1)</f>
        <v>1</v>
      </c>
      <c r="F2" s="4">
        <f>IF(澳门新定位结果!F2&lt;=0,0,1)</f>
        <v>1</v>
      </c>
      <c r="G2" s="4">
        <f>IF(澳门新定位结果!G2&lt;=0,0,1)</f>
        <v>0</v>
      </c>
      <c r="H2" s="4">
        <f>IF(澳门新定位结果!H2&lt;=0,0,1)</f>
        <v>0</v>
      </c>
      <c r="I2" s="4">
        <f>IF(澳门新定位结果!I2&lt;=0,0,1)</f>
        <v>0</v>
      </c>
      <c r="J2" s="4">
        <f>IF(澳门新定位结果!J2&lt;=0,0,1)</f>
        <v>0</v>
      </c>
      <c r="K2" s="4">
        <f>IF(澳门新定位结果!K2&lt;=0,0,1)</f>
        <v>0</v>
      </c>
      <c r="L2" s="4">
        <f>IF(澳门新定位结果!L2&lt;=0,0,1)</f>
        <v>1</v>
      </c>
      <c r="M2" s="4">
        <f>IF(澳门新定位结果!M2&lt;=0,0,1)</f>
        <v>0</v>
      </c>
      <c r="N2" s="4">
        <f>IF(澳门新定位结果!N2&lt;=0,0,1)</f>
        <v>0</v>
      </c>
      <c r="O2" s="4">
        <f>IF(澳门新定位结果!O2&lt;=0,0,1)</f>
        <v>0</v>
      </c>
    </row>
    <row r="3" spans="1:15">
      <c r="A3" s="4" t="s">
        <v>17</v>
      </c>
      <c r="B3" s="4">
        <f>IF(澳门新定位结果!B3&lt;=0,0,1)</f>
        <v>0</v>
      </c>
      <c r="C3" s="4">
        <f>IF(澳门新定位结果!C3&lt;=0,0,1)</f>
        <v>0</v>
      </c>
      <c r="D3" s="4">
        <f>IF(澳门新定位结果!D3&lt;=0,0,1)</f>
        <v>1</v>
      </c>
      <c r="E3" s="4">
        <f>IF(澳门新定位结果!E3&lt;=0,0,1)</f>
        <v>1</v>
      </c>
      <c r="F3" s="4">
        <f>IF(澳门新定位结果!F3&lt;=0,0,1)</f>
        <v>1</v>
      </c>
      <c r="G3" s="4">
        <f>IF(澳门新定位结果!G3&lt;=0,0,1)</f>
        <v>0</v>
      </c>
      <c r="H3" s="4">
        <f>IF(澳门新定位结果!H3&lt;=0,0,1)</f>
        <v>0</v>
      </c>
      <c r="I3" s="4">
        <f>IF(澳门新定位结果!I3&lt;=0,0,1)</f>
        <v>1</v>
      </c>
      <c r="J3" s="4">
        <f>IF(澳门新定位结果!J3&lt;=0,0,1)</f>
        <v>1</v>
      </c>
      <c r="K3" s="4">
        <f>IF(澳门新定位结果!K3&lt;=0,0,1)</f>
        <v>1</v>
      </c>
      <c r="L3" s="4">
        <f>IF(澳门新定位结果!L3&lt;=0,0,1)</f>
        <v>0</v>
      </c>
      <c r="M3" s="4">
        <f>IF(澳门新定位结果!M3&lt;=0,0,1)</f>
        <v>0</v>
      </c>
      <c r="N3" s="4">
        <f>IF(澳门新定位结果!N3&lt;=0,0,1)</f>
        <v>1</v>
      </c>
      <c r="O3" s="4">
        <f>IF(澳门新定位结果!O3&lt;=0,0,1)</f>
        <v>1</v>
      </c>
    </row>
    <row r="4" spans="1:15">
      <c r="A4" s="4" t="s">
        <v>20</v>
      </c>
      <c r="B4" s="4">
        <f>IF(澳门新定位结果!B4&lt;=0,0,1)</f>
        <v>0</v>
      </c>
      <c r="C4" s="4">
        <f>IF(澳门新定位结果!C4&lt;=0,0,1)</f>
        <v>0</v>
      </c>
      <c r="D4" s="4">
        <f>IF(澳门新定位结果!D4&lt;=0,0,1)</f>
        <v>0</v>
      </c>
      <c r="E4" s="4">
        <f>IF(澳门新定位结果!E4&lt;=0,0,1)</f>
        <v>1</v>
      </c>
      <c r="F4" s="4">
        <f>IF(澳门新定位结果!F4&lt;=0,0,1)</f>
        <v>0</v>
      </c>
      <c r="G4" s="4">
        <f>IF(澳门新定位结果!G4&lt;=0,0,1)</f>
        <v>0</v>
      </c>
      <c r="H4" s="4">
        <f>IF(澳门新定位结果!H4&lt;=0,0,1)</f>
        <v>0</v>
      </c>
      <c r="I4" s="4">
        <f>IF(澳门新定位结果!I4&lt;=0,0,1)</f>
        <v>1</v>
      </c>
      <c r="J4" s="4">
        <f>IF(澳门新定位结果!J4&lt;=0,0,1)</f>
        <v>0</v>
      </c>
      <c r="K4" s="4">
        <f>IF(澳门新定位结果!K4&lt;=0,0,1)</f>
        <v>1</v>
      </c>
      <c r="L4" s="4">
        <f>IF(澳门新定位结果!L4&lt;=0,0,1)</f>
        <v>1</v>
      </c>
      <c r="M4" s="4">
        <f>IF(澳门新定位结果!M4&lt;=0,0,1)</f>
        <v>0</v>
      </c>
      <c r="N4" s="4">
        <f>IF(澳门新定位结果!N4&lt;=0,0,1)</f>
        <v>1</v>
      </c>
      <c r="O4" s="4">
        <f>IF(澳门新定位结果!O4&lt;=0,0,1)</f>
        <v>1</v>
      </c>
    </row>
    <row r="5" spans="1:15">
      <c r="A5" s="4" t="s">
        <v>23</v>
      </c>
      <c r="B5" s="4">
        <f>IF(澳门新定位结果!B5&lt;=0,0,1)</f>
        <v>1</v>
      </c>
      <c r="C5" s="4">
        <f>IF(澳门新定位结果!C5&lt;=0,0,1)</f>
        <v>0</v>
      </c>
      <c r="D5" s="4">
        <f>IF(澳门新定位结果!D5&lt;=0,0,1)</f>
        <v>1</v>
      </c>
      <c r="E5" s="4">
        <f>IF(澳门新定位结果!E5&lt;=0,0,1)</f>
        <v>1</v>
      </c>
      <c r="F5" s="4">
        <f>IF(澳门新定位结果!F5&lt;=0,0,1)</f>
        <v>0</v>
      </c>
      <c r="G5" s="4">
        <f>IF(澳门新定位结果!G5&lt;=0,0,1)</f>
        <v>1</v>
      </c>
      <c r="H5" s="4">
        <f>IF(澳门新定位结果!H5&lt;=0,0,1)</f>
        <v>0</v>
      </c>
      <c r="I5" s="4">
        <f>IF(澳门新定位结果!I5&lt;=0,0,1)</f>
        <v>1</v>
      </c>
      <c r="J5" s="4">
        <f>IF(澳门新定位结果!J5&lt;=0,0,1)</f>
        <v>0</v>
      </c>
      <c r="K5" s="4">
        <f>IF(澳门新定位结果!K5&lt;=0,0,1)</f>
        <v>0</v>
      </c>
      <c r="L5" s="4">
        <f>IF(澳门新定位结果!L5&lt;=0,0,1)</f>
        <v>1</v>
      </c>
      <c r="M5" s="4">
        <f>IF(澳门新定位结果!M5&lt;=0,0,1)</f>
        <v>1</v>
      </c>
      <c r="N5" s="4">
        <f>IF(澳门新定位结果!N5&lt;=0,0,1)</f>
        <v>1</v>
      </c>
      <c r="O5" s="4">
        <f>IF(澳门新定位结果!O5&lt;=0,0,1)</f>
        <v>0</v>
      </c>
    </row>
    <row r="6" spans="1:15">
      <c r="A6" s="4" t="s">
        <v>26</v>
      </c>
      <c r="B6" s="4">
        <f>IF(澳门新定位结果!B6&lt;=0,0,1)</f>
        <v>0</v>
      </c>
      <c r="C6" s="4">
        <f>IF(澳门新定位结果!C6&lt;=0,0,1)</f>
        <v>0</v>
      </c>
      <c r="D6" s="4">
        <f>IF(澳门新定位结果!D6&lt;=0,0,1)</f>
        <v>0</v>
      </c>
      <c r="E6" s="4">
        <f>IF(澳门新定位结果!E6&lt;=0,0,1)</f>
        <v>0</v>
      </c>
      <c r="F6" s="4">
        <f>IF(澳门新定位结果!F6&lt;=0,0,1)</f>
        <v>0</v>
      </c>
      <c r="G6" s="4">
        <f>IF(澳门新定位结果!G6&lt;=0,0,1)</f>
        <v>0</v>
      </c>
      <c r="H6" s="4">
        <f>IF(澳门新定位结果!H6&lt;=0,0,1)</f>
        <v>0</v>
      </c>
      <c r="I6" s="4">
        <f>IF(澳门新定位结果!I6&lt;=0,0,1)</f>
        <v>1</v>
      </c>
      <c r="J6" s="4">
        <f>IF(澳门新定位结果!J6&lt;=0,0,1)</f>
        <v>1</v>
      </c>
      <c r="K6" s="4">
        <f>IF(澳门新定位结果!K6&lt;=0,0,1)</f>
        <v>1</v>
      </c>
      <c r="L6" s="4">
        <f>IF(澳门新定位结果!L6&lt;=0,0,1)</f>
        <v>1</v>
      </c>
      <c r="M6" s="4">
        <f>IF(澳门新定位结果!M6&lt;=0,0,1)</f>
        <v>1</v>
      </c>
      <c r="N6" s="4">
        <f>IF(澳门新定位结果!N6&lt;=0,0,1)</f>
        <v>1</v>
      </c>
      <c r="O6" s="4">
        <f>IF(澳门新定位结果!O6&lt;=0,0,1)</f>
        <v>0</v>
      </c>
    </row>
    <row r="7" spans="1:15">
      <c r="A7" s="4" t="s">
        <v>29</v>
      </c>
      <c r="B7" s="4">
        <f>IF(澳门新定位结果!B7&lt;=0,0,1)</f>
        <v>0</v>
      </c>
      <c r="C7" s="4">
        <f>IF(澳门新定位结果!C7&lt;=0,0,1)</f>
        <v>1</v>
      </c>
      <c r="D7" s="4">
        <f>IF(澳门新定位结果!D7&lt;=0,0,1)</f>
        <v>0</v>
      </c>
      <c r="E7" s="4">
        <f>IF(澳门新定位结果!E7&lt;=0,0,1)</f>
        <v>1</v>
      </c>
      <c r="F7" s="4">
        <f>IF(澳门新定位结果!F7&lt;=0,0,1)</f>
        <v>1</v>
      </c>
      <c r="G7" s="4">
        <f>IF(澳门新定位结果!G7&lt;=0,0,1)</f>
        <v>0</v>
      </c>
      <c r="H7" s="4">
        <f>IF(澳门新定位结果!H7&lt;=0,0,1)</f>
        <v>1</v>
      </c>
      <c r="I7" s="4">
        <f>IF(澳门新定位结果!I7&lt;=0,0,1)</f>
        <v>0</v>
      </c>
      <c r="J7" s="4">
        <f>IF(澳门新定位结果!J7&lt;=0,0,1)</f>
        <v>0</v>
      </c>
      <c r="K7" s="4">
        <f>IF(澳门新定位结果!K7&lt;=0,0,1)</f>
        <v>0</v>
      </c>
      <c r="L7" s="4">
        <f>IF(澳门新定位结果!L7&lt;=0,0,1)</f>
        <v>1</v>
      </c>
      <c r="M7" s="4">
        <f>IF(澳门新定位结果!M7&lt;=0,0,1)</f>
        <v>0</v>
      </c>
      <c r="N7" s="4">
        <f>IF(澳门新定位结果!N7&lt;=0,0,1)</f>
        <v>0</v>
      </c>
      <c r="O7" s="4">
        <f>IF(澳门新定位结果!O7&lt;=0,0,1)</f>
        <v>1</v>
      </c>
    </row>
    <row r="8" spans="1:15">
      <c r="A8" s="4" t="s">
        <v>32</v>
      </c>
      <c r="B8" s="4">
        <f>IF(澳门新定位结果!B8&lt;=0,0,1)</f>
        <v>1</v>
      </c>
      <c r="C8" s="4">
        <f>IF(澳门新定位结果!C8&lt;=0,0,1)</f>
        <v>1</v>
      </c>
      <c r="D8" s="4">
        <f>IF(澳门新定位结果!D8&lt;=0,0,1)</f>
        <v>1</v>
      </c>
      <c r="E8" s="4">
        <f>IF(澳门新定位结果!E8&lt;=0,0,1)</f>
        <v>1</v>
      </c>
      <c r="F8" s="4">
        <f>IF(澳门新定位结果!F8&lt;=0,0,1)</f>
        <v>1</v>
      </c>
      <c r="G8" s="4">
        <f>IF(澳门新定位结果!G8&lt;=0,0,1)</f>
        <v>0</v>
      </c>
      <c r="H8" s="4">
        <f>IF(澳门新定位结果!H8&lt;=0,0,1)</f>
        <v>1</v>
      </c>
      <c r="I8" s="4">
        <f>IF(澳门新定位结果!I8&lt;=0,0,1)</f>
        <v>1</v>
      </c>
      <c r="J8" s="4">
        <f>IF(澳门新定位结果!J8&lt;=0,0,1)</f>
        <v>0</v>
      </c>
      <c r="K8" s="4">
        <f>IF(澳门新定位结果!K8&lt;=0,0,1)</f>
        <v>1</v>
      </c>
      <c r="L8" s="4">
        <f>IF(澳门新定位结果!L8&lt;=0,0,1)</f>
        <v>0</v>
      </c>
      <c r="M8" s="4">
        <f>IF(澳门新定位结果!M8&lt;=0,0,1)</f>
        <v>1</v>
      </c>
      <c r="N8" s="4">
        <f>IF(澳门新定位结果!N8&lt;=0,0,1)</f>
        <v>1</v>
      </c>
      <c r="O8" s="4">
        <f>IF(澳门新定位结果!O8&lt;=0,0,1)</f>
        <v>1</v>
      </c>
    </row>
    <row r="9" spans="1:15">
      <c r="A9" s="4" t="s">
        <v>35</v>
      </c>
      <c r="B9" s="4">
        <f>IF(澳门新定位结果!B9&lt;=0,0,1)</f>
        <v>0</v>
      </c>
      <c r="C9" s="4">
        <f>IF(澳门新定位结果!C9&lt;=0,0,1)</f>
        <v>0</v>
      </c>
      <c r="D9" s="4">
        <f>IF(澳门新定位结果!D9&lt;=0,0,1)</f>
        <v>1</v>
      </c>
      <c r="E9" s="4">
        <f>IF(澳门新定位结果!E9&lt;=0,0,1)</f>
        <v>1</v>
      </c>
      <c r="F9" s="4">
        <f>IF(澳门新定位结果!F9&lt;=0,0,1)</f>
        <v>0</v>
      </c>
      <c r="G9" s="4">
        <f>IF(澳门新定位结果!G9&lt;=0,0,1)</f>
        <v>1</v>
      </c>
      <c r="H9" s="4">
        <f>IF(澳门新定位结果!H9&lt;=0,0,1)</f>
        <v>1</v>
      </c>
      <c r="I9" s="4">
        <f>IF(澳门新定位结果!I9&lt;=0,0,1)</f>
        <v>0</v>
      </c>
      <c r="J9" s="4">
        <f>IF(澳门新定位结果!J9&lt;=0,0,1)</f>
        <v>0</v>
      </c>
      <c r="K9" s="4">
        <f>IF(澳门新定位结果!K9&lt;=0,0,1)</f>
        <v>1</v>
      </c>
      <c r="L9" s="4">
        <f>IF(澳门新定位结果!L9&lt;=0,0,1)</f>
        <v>0</v>
      </c>
      <c r="M9" s="4">
        <f>IF(澳门新定位结果!M9&lt;=0,0,1)</f>
        <v>0</v>
      </c>
      <c r="N9" s="4">
        <f>IF(澳门新定位结果!N9&lt;=0,0,1)</f>
        <v>0</v>
      </c>
      <c r="O9" s="4">
        <f>IF(澳门新定位结果!O9&lt;=0,0,1)</f>
        <v>1</v>
      </c>
    </row>
    <row r="10" spans="1:15">
      <c r="A10" s="4" t="s">
        <v>38</v>
      </c>
      <c r="B10" s="4">
        <f>IF(澳门新定位结果!B10&lt;=0,0,1)</f>
        <v>0</v>
      </c>
      <c r="C10" s="4">
        <f>IF(澳门新定位结果!C10&lt;=0,0,1)</f>
        <v>0</v>
      </c>
      <c r="D10" s="4">
        <f>IF(澳门新定位结果!D10&lt;=0,0,1)</f>
        <v>1</v>
      </c>
      <c r="E10" s="4">
        <f>IF(澳门新定位结果!E10&lt;=0,0,1)</f>
        <v>0</v>
      </c>
      <c r="F10" s="4">
        <f>IF(澳门新定位结果!F10&lt;=0,0,1)</f>
        <v>1</v>
      </c>
      <c r="G10" s="4">
        <f>IF(澳门新定位结果!G10&lt;=0,0,1)</f>
        <v>0</v>
      </c>
      <c r="H10" s="4">
        <f>IF(澳门新定位结果!H10&lt;=0,0,1)</f>
        <v>0</v>
      </c>
      <c r="I10" s="4">
        <f>IF(澳门新定位结果!I10&lt;=0,0,1)</f>
        <v>0</v>
      </c>
      <c r="J10" s="4">
        <f>IF(澳门新定位结果!J10&lt;=0,0,1)</f>
        <v>0</v>
      </c>
      <c r="K10" s="4">
        <f>IF(澳门新定位结果!K10&lt;=0,0,1)</f>
        <v>0</v>
      </c>
      <c r="L10" s="4">
        <f>IF(澳门新定位结果!L10&lt;=0,0,1)</f>
        <v>0</v>
      </c>
      <c r="M10" s="4">
        <f>IF(澳门新定位结果!M10&lt;=0,0,1)</f>
        <v>0</v>
      </c>
      <c r="N10" s="4">
        <f>IF(澳门新定位结果!N10&lt;=0,0,1)</f>
        <v>1</v>
      </c>
      <c r="O10" s="4">
        <f>IF(澳门新定位结果!O10&lt;=0,0,1)</f>
        <v>1</v>
      </c>
    </row>
    <row r="11" spans="1:15">
      <c r="A11" s="4" t="s">
        <v>41</v>
      </c>
      <c r="B11" s="4">
        <f>IF(澳门新定位结果!B11&lt;=0,0,1)</f>
        <v>1</v>
      </c>
      <c r="C11" s="4">
        <f>IF(澳门新定位结果!C11&lt;=0,0,1)</f>
        <v>1</v>
      </c>
      <c r="D11" s="4">
        <f>IF(澳门新定位结果!D11&lt;=0,0,1)</f>
        <v>0</v>
      </c>
      <c r="E11" s="4">
        <f>IF(澳门新定位结果!E11&lt;=0,0,1)</f>
        <v>0</v>
      </c>
      <c r="F11" s="4">
        <f>IF(澳门新定位结果!F11&lt;=0,0,1)</f>
        <v>0</v>
      </c>
      <c r="G11" s="4">
        <f>IF(澳门新定位结果!G11&lt;=0,0,1)</f>
        <v>0</v>
      </c>
      <c r="H11" s="4">
        <f>IF(澳门新定位结果!H11&lt;=0,0,1)</f>
        <v>1</v>
      </c>
      <c r="I11" s="4">
        <f>IF(澳门新定位结果!I11&lt;=0,0,1)</f>
        <v>0</v>
      </c>
      <c r="J11" s="4">
        <f>IF(澳门新定位结果!J11&lt;=0,0,1)</f>
        <v>1</v>
      </c>
      <c r="K11" s="4">
        <f>IF(澳门新定位结果!K11&lt;=0,0,1)</f>
        <v>1</v>
      </c>
      <c r="L11" s="4">
        <f>IF(澳门新定位结果!L11&lt;=0,0,1)</f>
        <v>1</v>
      </c>
      <c r="M11" s="4">
        <f>IF(澳门新定位结果!M11&lt;=0,0,1)</f>
        <v>0</v>
      </c>
      <c r="N11" s="4">
        <f>IF(澳门新定位结果!N11&lt;=0,0,1)</f>
        <v>0</v>
      </c>
      <c r="O11" s="4">
        <f>IF(澳门新定位结果!O11&lt;=0,0,1)</f>
        <v>0</v>
      </c>
    </row>
    <row r="12" spans="1:15">
      <c r="A12" s="4" t="s">
        <v>43</v>
      </c>
      <c r="B12" s="4">
        <f>IF(澳门新定位结果!B12&lt;=0,0,1)</f>
        <v>1</v>
      </c>
      <c r="C12" s="4">
        <f>IF(澳门新定位结果!C12&lt;=0,0,1)</f>
        <v>1</v>
      </c>
      <c r="D12" s="4">
        <f>IF(澳门新定位结果!D12&lt;=0,0,1)</f>
        <v>0</v>
      </c>
      <c r="E12" s="4">
        <f>IF(澳门新定位结果!E12&lt;=0,0,1)</f>
        <v>0</v>
      </c>
      <c r="F12" s="4">
        <f>IF(澳门新定位结果!F12&lt;=0,0,1)</f>
        <v>1</v>
      </c>
      <c r="G12" s="4">
        <f>IF(澳门新定位结果!G12&lt;=0,0,1)</f>
        <v>0</v>
      </c>
      <c r="H12" s="4">
        <f>IF(澳门新定位结果!H12&lt;=0,0,1)</f>
        <v>1</v>
      </c>
      <c r="I12" s="4">
        <f>IF(澳门新定位结果!I12&lt;=0,0,1)</f>
        <v>1</v>
      </c>
      <c r="J12" s="4">
        <f>IF(澳门新定位结果!J12&lt;=0,0,1)</f>
        <v>0</v>
      </c>
      <c r="K12" s="4">
        <f>IF(澳门新定位结果!K12&lt;=0,0,1)</f>
        <v>1</v>
      </c>
      <c r="L12" s="4">
        <f>IF(澳门新定位结果!L12&lt;=0,0,1)</f>
        <v>0</v>
      </c>
      <c r="M12" s="4">
        <f>IF(澳门新定位结果!M12&lt;=0,0,1)</f>
        <v>0</v>
      </c>
      <c r="N12" s="4">
        <f>IF(澳门新定位结果!N12&lt;=0,0,1)</f>
        <v>0</v>
      </c>
      <c r="O12" s="4">
        <f>IF(澳门新定位结果!O12&lt;=0,0,1)</f>
        <v>1</v>
      </c>
    </row>
    <row r="13" spans="1:15">
      <c r="A13" s="4" t="s">
        <v>45</v>
      </c>
      <c r="B13" s="4">
        <f>IF(澳门新定位结果!B13&lt;=0,0,1)</f>
        <v>0</v>
      </c>
      <c r="C13" s="4">
        <f>IF(澳门新定位结果!C13&lt;=0,0,1)</f>
        <v>1</v>
      </c>
      <c r="D13" s="4">
        <f>IF(澳门新定位结果!D13&lt;=0,0,1)</f>
        <v>0</v>
      </c>
      <c r="E13" s="4">
        <f>IF(澳门新定位结果!E13&lt;=0,0,1)</f>
        <v>1</v>
      </c>
      <c r="F13" s="4">
        <f>IF(澳门新定位结果!F13&lt;=0,0,1)</f>
        <v>0</v>
      </c>
      <c r="G13" s="4">
        <f>IF(澳门新定位结果!G13&lt;=0,0,1)</f>
        <v>0</v>
      </c>
      <c r="H13" s="4">
        <f>IF(澳门新定位结果!H13&lt;=0,0,1)</f>
        <v>1</v>
      </c>
      <c r="I13" s="4">
        <f>IF(澳门新定位结果!I13&lt;=0,0,1)</f>
        <v>0</v>
      </c>
      <c r="J13" s="4">
        <f>IF(澳门新定位结果!J13&lt;=0,0,1)</f>
        <v>0</v>
      </c>
      <c r="K13" s="4">
        <f>IF(澳门新定位结果!K13&lt;=0,0,1)</f>
        <v>0</v>
      </c>
      <c r="L13" s="4">
        <f>IF(澳门新定位结果!L13&lt;=0,0,1)</f>
        <v>1</v>
      </c>
      <c r="M13" s="4">
        <f>IF(澳门新定位结果!M13&lt;=0,0,1)</f>
        <v>0</v>
      </c>
      <c r="N13" s="4">
        <f>IF(澳门新定位结果!N13&lt;=0,0,1)</f>
        <v>1</v>
      </c>
      <c r="O13" s="4">
        <f>IF(澳门新定位结果!O13&lt;=0,0,1)</f>
        <v>0</v>
      </c>
    </row>
    <row r="14" spans="1:15">
      <c r="A14" s="4" t="s">
        <v>47</v>
      </c>
      <c r="B14" s="4">
        <f>IF(澳门新定位结果!B14&lt;=0,0,1)</f>
        <v>1</v>
      </c>
      <c r="C14" s="4">
        <f>IF(澳门新定位结果!C14&lt;=0,0,1)</f>
        <v>1</v>
      </c>
      <c r="D14" s="4">
        <f>IF(澳门新定位结果!D14&lt;=0,0,1)</f>
        <v>0</v>
      </c>
      <c r="E14" s="4">
        <f>IF(澳门新定位结果!E14&lt;=0,0,1)</f>
        <v>1</v>
      </c>
      <c r="F14" s="4">
        <f>IF(澳门新定位结果!F14&lt;=0,0,1)</f>
        <v>0</v>
      </c>
      <c r="G14" s="4">
        <f>IF(澳门新定位结果!G14&lt;=0,0,1)</f>
        <v>1</v>
      </c>
      <c r="H14" s="4">
        <f>IF(澳门新定位结果!H14&lt;=0,0,1)</f>
        <v>1</v>
      </c>
      <c r="I14" s="4">
        <f>IF(澳门新定位结果!I14&lt;=0,0,1)</f>
        <v>1</v>
      </c>
      <c r="J14" s="4">
        <f>IF(澳门新定位结果!J14&lt;=0,0,1)</f>
        <v>0</v>
      </c>
      <c r="K14" s="4">
        <f>IF(澳门新定位结果!K14&lt;=0,0,1)</f>
        <v>1</v>
      </c>
      <c r="L14" s="4">
        <f>IF(澳门新定位结果!L14&lt;=0,0,1)</f>
        <v>1</v>
      </c>
      <c r="M14" s="4">
        <f>IF(澳门新定位结果!M14&lt;=0,0,1)</f>
        <v>0</v>
      </c>
      <c r="N14" s="4">
        <f>IF(澳门新定位结果!N14&lt;=0,0,1)</f>
        <v>1</v>
      </c>
      <c r="O14" s="4">
        <f>IF(澳门新定位结果!O14&lt;=0,0,1)</f>
        <v>0</v>
      </c>
    </row>
    <row r="15" spans="1:15">
      <c r="A15" s="4" t="s">
        <v>49</v>
      </c>
      <c r="B15" s="4">
        <f>IF(澳门新定位结果!B15&lt;=0,0,1)</f>
        <v>0</v>
      </c>
      <c r="C15" s="4">
        <f>IF(澳门新定位结果!C15&lt;=0,0,1)</f>
        <v>1</v>
      </c>
      <c r="D15" s="4">
        <f>IF(澳门新定位结果!D15&lt;=0,0,1)</f>
        <v>0</v>
      </c>
      <c r="E15" s="4">
        <f>IF(澳门新定位结果!E15&lt;=0,0,1)</f>
        <v>0</v>
      </c>
      <c r="F15" s="4">
        <f>IF(澳门新定位结果!F15&lt;=0,0,1)</f>
        <v>1</v>
      </c>
      <c r="G15" s="4">
        <f>IF(澳门新定位结果!G15&lt;=0,0,1)</f>
        <v>0</v>
      </c>
      <c r="H15" s="4">
        <f>IF(澳门新定位结果!H15&lt;=0,0,1)</f>
        <v>0</v>
      </c>
      <c r="I15" s="4">
        <f>IF(澳门新定位结果!I15&lt;=0,0,1)</f>
        <v>0</v>
      </c>
      <c r="J15" s="4">
        <f>IF(澳门新定位结果!J15&lt;=0,0,1)</f>
        <v>0</v>
      </c>
      <c r="K15" s="4">
        <f>IF(澳门新定位结果!K15&lt;=0,0,1)</f>
        <v>1</v>
      </c>
      <c r="L15" s="4">
        <f>IF(澳门新定位结果!L15&lt;=0,0,1)</f>
        <v>0</v>
      </c>
      <c r="M15" s="4">
        <f>IF(澳门新定位结果!M15&lt;=0,0,1)</f>
        <v>0</v>
      </c>
      <c r="N15" s="4">
        <f>IF(澳门新定位结果!N15&lt;=0,0,1)</f>
        <v>1</v>
      </c>
      <c r="O15" s="4">
        <f>IF(澳门新定位结果!O15&lt;=0,0,1)</f>
        <v>1</v>
      </c>
    </row>
    <row r="16" spans="1:15">
      <c r="A16" s="4" t="s">
        <v>51</v>
      </c>
      <c r="B16" s="4">
        <f>IF(澳门新定位结果!B16&lt;=0,0,1)</f>
        <v>1</v>
      </c>
      <c r="C16" s="4">
        <f>IF(澳门新定位结果!C16&lt;=0,0,1)</f>
        <v>1</v>
      </c>
      <c r="D16" s="4">
        <f>IF(澳门新定位结果!D16&lt;=0,0,1)</f>
        <v>0</v>
      </c>
      <c r="E16" s="4">
        <f>IF(澳门新定位结果!E16&lt;=0,0,1)</f>
        <v>1</v>
      </c>
      <c r="F16" s="4">
        <f>IF(澳门新定位结果!F16&lt;=0,0,1)</f>
        <v>0</v>
      </c>
      <c r="G16" s="4">
        <f>IF(澳门新定位结果!G16&lt;=0,0,1)</f>
        <v>1</v>
      </c>
      <c r="H16" s="4">
        <f>IF(澳门新定位结果!H16&lt;=0,0,1)</f>
        <v>1</v>
      </c>
      <c r="I16" s="4">
        <f>IF(澳门新定位结果!I16&lt;=0,0,1)</f>
        <v>1</v>
      </c>
      <c r="J16" s="4">
        <f>IF(澳门新定位结果!J16&lt;=0,0,1)</f>
        <v>1</v>
      </c>
      <c r="K16" s="4">
        <f>IF(澳门新定位结果!K16&lt;=0,0,1)</f>
        <v>1</v>
      </c>
      <c r="L16" s="4">
        <f>IF(澳门新定位结果!L16&lt;=0,0,1)</f>
        <v>1</v>
      </c>
      <c r="M16" s="4">
        <f>IF(澳门新定位结果!M16&lt;=0,0,1)</f>
        <v>1</v>
      </c>
      <c r="N16" s="4">
        <f>IF(澳门新定位结果!N16&lt;=0,0,1)</f>
        <v>0</v>
      </c>
      <c r="O16" s="4">
        <f>IF(澳门新定位结果!O16&lt;=0,0,1)</f>
        <v>0</v>
      </c>
    </row>
    <row r="17" spans="1:15">
      <c r="A17" s="4" t="s">
        <v>53</v>
      </c>
      <c r="B17" s="4">
        <f>IF(澳门新定位结果!B17&lt;=0,0,1)</f>
        <v>0</v>
      </c>
      <c r="C17" s="4">
        <f>IF(澳门新定位结果!C17&lt;=0,0,1)</f>
        <v>1</v>
      </c>
      <c r="D17" s="4">
        <f>IF(澳门新定位结果!D17&lt;=0,0,1)</f>
        <v>0</v>
      </c>
      <c r="E17" s="4">
        <f>IF(澳门新定位结果!E17&lt;=0,0,1)</f>
        <v>0</v>
      </c>
      <c r="F17" s="4">
        <f>IF(澳门新定位结果!F17&lt;=0,0,1)</f>
        <v>0</v>
      </c>
      <c r="G17" s="4">
        <f>IF(澳门新定位结果!G17&lt;=0,0,1)</f>
        <v>0</v>
      </c>
      <c r="H17" s="4">
        <f>IF(澳门新定位结果!H17&lt;=0,0,1)</f>
        <v>0</v>
      </c>
      <c r="I17" s="4">
        <f>IF(澳门新定位结果!I17&lt;=0,0,1)</f>
        <v>1</v>
      </c>
      <c r="J17" s="4">
        <f>IF(澳门新定位结果!J17&lt;=0,0,1)</f>
        <v>1</v>
      </c>
      <c r="K17" s="4">
        <f>IF(澳门新定位结果!K17&lt;=0,0,1)</f>
        <v>1</v>
      </c>
      <c r="L17" s="4">
        <f>IF(澳门新定位结果!L17&lt;=0,0,1)</f>
        <v>1</v>
      </c>
      <c r="M17" s="4">
        <f>IF(澳门新定位结果!M17&lt;=0,0,1)</f>
        <v>0</v>
      </c>
      <c r="N17" s="4">
        <f>IF(澳门新定位结果!N17&lt;=0,0,1)</f>
        <v>0</v>
      </c>
      <c r="O17" s="4">
        <f>IF(澳门新定位结果!O17&lt;=0,0,1)</f>
        <v>1</v>
      </c>
    </row>
    <row r="18" spans="1:15">
      <c r="A18" s="4" t="s">
        <v>55</v>
      </c>
      <c r="B18" s="4">
        <f>IF(澳门新定位结果!B18&lt;=0,0,1)</f>
        <v>0</v>
      </c>
      <c r="C18" s="4">
        <f>IF(澳门新定位结果!C18&lt;=0,0,1)</f>
        <v>0</v>
      </c>
      <c r="D18" s="4">
        <f>IF(澳门新定位结果!D18&lt;=0,0,1)</f>
        <v>0</v>
      </c>
      <c r="E18" s="4">
        <f>IF(澳门新定位结果!E18&lt;=0,0,1)</f>
        <v>1</v>
      </c>
      <c r="F18" s="4">
        <f>IF(澳门新定位结果!F18&lt;=0,0,1)</f>
        <v>1</v>
      </c>
      <c r="G18" s="4">
        <f>IF(澳门新定位结果!G18&lt;=0,0,1)</f>
        <v>0</v>
      </c>
      <c r="H18" s="4">
        <f>IF(澳门新定位结果!H18&lt;=0,0,1)</f>
        <v>0</v>
      </c>
      <c r="I18" s="4">
        <f>IF(澳门新定位结果!I18&lt;=0,0,1)</f>
        <v>0</v>
      </c>
      <c r="J18" s="4">
        <f>IF(澳门新定位结果!J18&lt;=0,0,1)</f>
        <v>0</v>
      </c>
      <c r="K18" s="4">
        <f>IF(澳门新定位结果!K18&lt;=0,0,1)</f>
        <v>0</v>
      </c>
      <c r="L18" s="4">
        <f>IF(澳门新定位结果!L18&lt;=0,0,1)</f>
        <v>0</v>
      </c>
      <c r="M18" s="4">
        <f>IF(澳门新定位结果!M18&lt;=0,0,1)</f>
        <v>0</v>
      </c>
      <c r="N18" s="4">
        <f>IF(澳门新定位结果!N18&lt;=0,0,1)</f>
        <v>1</v>
      </c>
      <c r="O18" s="4">
        <f>IF(澳门新定位结果!O18&lt;=0,0,1)</f>
        <v>0</v>
      </c>
    </row>
    <row r="19" spans="1:15">
      <c r="A19" s="4" t="s">
        <v>57</v>
      </c>
      <c r="B19" s="4">
        <f>IF(澳门新定位结果!B19&lt;=0,0,1)</f>
        <v>0</v>
      </c>
      <c r="C19" s="4">
        <f>IF(澳门新定位结果!C19&lt;=0,0,1)</f>
        <v>0</v>
      </c>
      <c r="D19" s="4">
        <f>IF(澳门新定位结果!D19&lt;=0,0,1)</f>
        <v>0</v>
      </c>
      <c r="E19" s="4">
        <f>IF(澳门新定位结果!E19&lt;=0,0,1)</f>
        <v>1</v>
      </c>
      <c r="F19" s="4">
        <f>IF(澳门新定位结果!F19&lt;=0,0,1)</f>
        <v>0</v>
      </c>
      <c r="G19" s="4">
        <f>IF(澳门新定位结果!G19&lt;=0,0,1)</f>
        <v>0</v>
      </c>
      <c r="H19" s="4">
        <f>IF(澳门新定位结果!H19&lt;=0,0,1)</f>
        <v>0</v>
      </c>
      <c r="I19" s="4">
        <f>IF(澳门新定位结果!I19&lt;=0,0,1)</f>
        <v>0</v>
      </c>
      <c r="J19" s="4">
        <f>IF(澳门新定位结果!J19&lt;=0,0,1)</f>
        <v>0</v>
      </c>
      <c r="K19" s="4">
        <f>IF(澳门新定位结果!K19&lt;=0,0,1)</f>
        <v>0</v>
      </c>
      <c r="L19" s="4">
        <f>IF(澳门新定位结果!L19&lt;=0,0,1)</f>
        <v>0</v>
      </c>
      <c r="M19" s="4">
        <f>IF(澳门新定位结果!M19&lt;=0,0,1)</f>
        <v>0</v>
      </c>
      <c r="N19" s="4">
        <f>IF(澳门新定位结果!N19&lt;=0,0,1)</f>
        <v>1</v>
      </c>
      <c r="O19" s="4">
        <f>IF(澳门新定位结果!O19&lt;=0,0,1)</f>
        <v>1</v>
      </c>
    </row>
    <row r="20" spans="1:15">
      <c r="A20" s="4" t="s">
        <v>59</v>
      </c>
      <c r="B20" s="4">
        <f>IF(澳门新定位结果!B20&lt;=0,0,1)</f>
        <v>0</v>
      </c>
      <c r="C20" s="4">
        <f>IF(澳门新定位结果!C20&lt;=0,0,1)</f>
        <v>1</v>
      </c>
      <c r="D20" s="4">
        <f>IF(澳门新定位结果!D20&lt;=0,0,1)</f>
        <v>1</v>
      </c>
      <c r="E20" s="4">
        <f>IF(澳门新定位结果!E20&lt;=0,0,1)</f>
        <v>0</v>
      </c>
      <c r="F20" s="4">
        <f>IF(澳门新定位结果!F20&lt;=0,0,1)</f>
        <v>0</v>
      </c>
      <c r="G20" s="4">
        <f>IF(澳门新定位结果!G20&lt;=0,0,1)</f>
        <v>0</v>
      </c>
      <c r="H20" s="4">
        <f>IF(澳门新定位结果!H20&lt;=0,0,1)</f>
        <v>0</v>
      </c>
      <c r="I20" s="4">
        <f>IF(澳门新定位结果!I20&lt;=0,0,1)</f>
        <v>1</v>
      </c>
      <c r="J20" s="4">
        <f>IF(澳门新定位结果!J20&lt;=0,0,1)</f>
        <v>0</v>
      </c>
      <c r="K20" s="4">
        <f>IF(澳门新定位结果!K20&lt;=0,0,1)</f>
        <v>1</v>
      </c>
      <c r="L20" s="4">
        <f>IF(澳门新定位结果!L20&lt;=0,0,1)</f>
        <v>0</v>
      </c>
      <c r="M20" s="4">
        <f>IF(澳门新定位结果!M20&lt;=0,0,1)</f>
        <v>0</v>
      </c>
      <c r="N20" s="4">
        <f>IF(澳门新定位结果!N20&lt;=0,0,1)</f>
        <v>0</v>
      </c>
      <c r="O20" s="4">
        <f>IF(澳门新定位结果!O20&lt;=0,0,1)</f>
        <v>0</v>
      </c>
    </row>
    <row r="21" spans="1:15">
      <c r="A21" s="4" t="s">
        <v>61</v>
      </c>
      <c r="B21" s="4">
        <f>IF(澳门新定位结果!B21&lt;=0,0,1)</f>
        <v>0</v>
      </c>
      <c r="C21" s="4">
        <f>IF(澳门新定位结果!C21&lt;=0,0,1)</f>
        <v>0</v>
      </c>
      <c r="D21" s="4">
        <f>IF(澳门新定位结果!D21&lt;=0,0,1)</f>
        <v>0</v>
      </c>
      <c r="E21" s="4">
        <f>IF(澳门新定位结果!E21&lt;=0,0,1)</f>
        <v>1</v>
      </c>
      <c r="F21" s="4">
        <f>IF(澳门新定位结果!F21&lt;=0,0,1)</f>
        <v>0</v>
      </c>
      <c r="G21" s="4">
        <f>IF(澳门新定位结果!G21&lt;=0,0,1)</f>
        <v>0</v>
      </c>
      <c r="H21" s="4">
        <f>IF(澳门新定位结果!H21&lt;=0,0,1)</f>
        <v>1</v>
      </c>
      <c r="I21" s="4">
        <f>IF(澳门新定位结果!I21&lt;=0,0,1)</f>
        <v>1</v>
      </c>
      <c r="J21" s="4">
        <f>IF(澳门新定位结果!J21&lt;=0,0,1)</f>
        <v>0</v>
      </c>
      <c r="K21" s="4">
        <f>IF(澳门新定位结果!K21&lt;=0,0,1)</f>
        <v>1</v>
      </c>
      <c r="L21" s="4">
        <f>IF(澳门新定位结果!L21&lt;=0,0,1)</f>
        <v>1</v>
      </c>
      <c r="M21" s="4">
        <f>IF(澳门新定位结果!M21&lt;=0,0,1)</f>
        <v>1</v>
      </c>
      <c r="N21" s="4">
        <f>IF(澳门新定位结果!N21&lt;=0,0,1)</f>
        <v>1</v>
      </c>
      <c r="O21" s="4">
        <f>IF(澳门新定位结果!O21&lt;=0,0,1)</f>
        <v>0</v>
      </c>
    </row>
    <row r="22" spans="1:15">
      <c r="A22" s="4" t="s">
        <v>63</v>
      </c>
      <c r="B22" s="4">
        <f>IF(澳门新定位结果!B22&lt;=0,0,1)</f>
        <v>1</v>
      </c>
      <c r="C22" s="4">
        <f>IF(澳门新定位结果!C22&lt;=0,0,1)</f>
        <v>1</v>
      </c>
      <c r="D22" s="4">
        <f>IF(澳门新定位结果!D22&lt;=0,0,1)</f>
        <v>0</v>
      </c>
      <c r="E22" s="4">
        <f>IF(澳门新定位结果!E22&lt;=0,0,1)</f>
        <v>0</v>
      </c>
      <c r="F22" s="4">
        <f>IF(澳门新定位结果!F22&lt;=0,0,1)</f>
        <v>1</v>
      </c>
      <c r="G22" s="4">
        <f>IF(澳门新定位结果!G22&lt;=0,0,1)</f>
        <v>1</v>
      </c>
      <c r="H22" s="4">
        <f>IF(澳门新定位结果!H22&lt;=0,0,1)</f>
        <v>1</v>
      </c>
      <c r="I22" s="4">
        <f>IF(澳门新定位结果!I22&lt;=0,0,1)</f>
        <v>1</v>
      </c>
      <c r="J22" s="4">
        <f>IF(澳门新定位结果!J22&lt;=0,0,1)</f>
        <v>1</v>
      </c>
      <c r="K22" s="4">
        <f>IF(澳门新定位结果!K22&lt;=0,0,1)</f>
        <v>1</v>
      </c>
      <c r="L22" s="4">
        <f>IF(澳门新定位结果!L22&lt;=0,0,1)</f>
        <v>1</v>
      </c>
      <c r="M22" s="4">
        <f>IF(澳门新定位结果!M22&lt;=0,0,1)</f>
        <v>1</v>
      </c>
      <c r="N22" s="4">
        <f>IF(澳门新定位结果!N22&lt;=0,0,1)</f>
        <v>0</v>
      </c>
      <c r="O22" s="4">
        <f>IF(澳门新定位结果!O22&lt;=0,0,1)</f>
        <v>1</v>
      </c>
    </row>
    <row r="23" spans="1:15">
      <c r="A23" s="4" t="s">
        <v>65</v>
      </c>
      <c r="B23" s="4">
        <f>IF(澳门新定位结果!B23&lt;=0,0,1)</f>
        <v>1</v>
      </c>
      <c r="C23" s="4">
        <f>IF(澳门新定位结果!C23&lt;=0,0,1)</f>
        <v>1</v>
      </c>
      <c r="D23" s="4">
        <f>IF(澳门新定位结果!D23&lt;=0,0,1)</f>
        <v>1</v>
      </c>
      <c r="E23" s="4">
        <f>IF(澳门新定位结果!E23&lt;=0,0,1)</f>
        <v>1</v>
      </c>
      <c r="F23" s="4">
        <f>IF(澳门新定位结果!F23&lt;=0,0,1)</f>
        <v>0</v>
      </c>
      <c r="G23" s="4">
        <f>IF(澳门新定位结果!G23&lt;=0,0,1)</f>
        <v>0</v>
      </c>
      <c r="H23" s="4">
        <f>IF(澳门新定位结果!H23&lt;=0,0,1)</f>
        <v>1</v>
      </c>
      <c r="I23" s="4">
        <f>IF(澳门新定位结果!I23&lt;=0,0,1)</f>
        <v>1</v>
      </c>
      <c r="J23" s="4">
        <f>IF(澳门新定位结果!J23&lt;=0,0,1)</f>
        <v>1</v>
      </c>
      <c r="K23" s="4">
        <f>IF(澳门新定位结果!K23&lt;=0,0,1)</f>
        <v>0</v>
      </c>
      <c r="L23" s="4">
        <f>IF(澳门新定位结果!L23&lt;=0,0,1)</f>
        <v>0</v>
      </c>
      <c r="M23" s="4">
        <f>IF(澳门新定位结果!M23&lt;=0,0,1)</f>
        <v>0</v>
      </c>
      <c r="N23" s="4">
        <f>IF(澳门新定位结果!N23&lt;=0,0,1)</f>
        <v>0</v>
      </c>
      <c r="O23" s="4">
        <f>IF(澳门新定位结果!O23&lt;=0,0,1)</f>
        <v>0</v>
      </c>
    </row>
    <row r="24" spans="1:15">
      <c r="A24" s="4" t="s">
        <v>67</v>
      </c>
      <c r="B24" s="4">
        <f>IF(澳门新定位结果!B24&lt;=0,0,1)</f>
        <v>1</v>
      </c>
      <c r="C24" s="4">
        <f>IF(澳门新定位结果!C24&lt;=0,0,1)</f>
        <v>0</v>
      </c>
      <c r="D24" s="4">
        <f>IF(澳门新定位结果!D24&lt;=0,0,1)</f>
        <v>0</v>
      </c>
      <c r="E24" s="4">
        <f>IF(澳门新定位结果!E24&lt;=0,0,1)</f>
        <v>0</v>
      </c>
      <c r="F24" s="4">
        <f>IF(澳门新定位结果!F24&lt;=0,0,1)</f>
        <v>0</v>
      </c>
      <c r="G24" s="4">
        <f>IF(澳门新定位结果!G24&lt;=0,0,1)</f>
        <v>0</v>
      </c>
      <c r="H24" s="4">
        <f>IF(澳门新定位结果!H24&lt;=0,0,1)</f>
        <v>0</v>
      </c>
      <c r="I24" s="4">
        <f>IF(澳门新定位结果!I24&lt;=0,0,1)</f>
        <v>1</v>
      </c>
      <c r="J24" s="4">
        <f>IF(澳门新定位结果!J24&lt;=0,0,1)</f>
        <v>0</v>
      </c>
      <c r="K24" s="4">
        <f>IF(澳门新定位结果!K24&lt;=0,0,1)</f>
        <v>1</v>
      </c>
      <c r="L24" s="4">
        <f>IF(澳门新定位结果!L24&lt;=0,0,1)</f>
        <v>0</v>
      </c>
      <c r="M24" s="4">
        <f>IF(澳门新定位结果!M24&lt;=0,0,1)</f>
        <v>0</v>
      </c>
      <c r="N24" s="4">
        <f>IF(澳门新定位结果!N24&lt;=0,0,1)</f>
        <v>1</v>
      </c>
      <c r="O24" s="4">
        <f>IF(澳门新定位结果!O24&lt;=0,0,1)</f>
        <v>1</v>
      </c>
    </row>
    <row r="25" spans="1:15">
      <c r="A25" s="4" t="s">
        <v>69</v>
      </c>
      <c r="B25" s="4">
        <f>IF(澳门新定位结果!B25&lt;=0,0,1)</f>
        <v>0</v>
      </c>
      <c r="C25" s="4">
        <f>IF(澳门新定位结果!C25&lt;=0,0,1)</f>
        <v>1</v>
      </c>
      <c r="D25" s="4">
        <f>IF(澳门新定位结果!D25&lt;=0,0,1)</f>
        <v>0</v>
      </c>
      <c r="E25" s="4">
        <f>IF(澳门新定位结果!E25&lt;=0,0,1)</f>
        <v>1</v>
      </c>
      <c r="F25" s="4">
        <f>IF(澳门新定位结果!F25&lt;=0,0,1)</f>
        <v>1</v>
      </c>
      <c r="G25" s="4">
        <f>IF(澳门新定位结果!G25&lt;=0,0,1)</f>
        <v>0</v>
      </c>
      <c r="H25" s="4">
        <f>IF(澳门新定位结果!H25&lt;=0,0,1)</f>
        <v>0</v>
      </c>
      <c r="I25" s="4">
        <f>IF(澳门新定位结果!I25&lt;=0,0,1)</f>
        <v>0</v>
      </c>
      <c r="J25" s="4">
        <f>IF(澳门新定位结果!J25&lt;=0,0,1)</f>
        <v>0</v>
      </c>
      <c r="K25" s="4">
        <f>IF(澳门新定位结果!K25&lt;=0,0,1)</f>
        <v>0</v>
      </c>
      <c r="L25" s="4">
        <f>IF(澳门新定位结果!L25&lt;=0,0,1)</f>
        <v>1</v>
      </c>
      <c r="M25" s="4">
        <f>IF(澳门新定位结果!M25&lt;=0,0,1)</f>
        <v>1</v>
      </c>
      <c r="N25" s="4">
        <f>IF(澳门新定位结果!N25&lt;=0,0,1)</f>
        <v>1</v>
      </c>
      <c r="O25" s="4">
        <f>IF(澳门新定位结果!O25&lt;=0,0,1)</f>
        <v>0</v>
      </c>
    </row>
    <row r="26" spans="1:15">
      <c r="A26" s="4" t="s">
        <v>71</v>
      </c>
      <c r="B26" s="4">
        <f>IF(澳门新定位结果!B26&lt;=0,0,1)</f>
        <v>0</v>
      </c>
      <c r="C26" s="4">
        <f>IF(澳门新定位结果!C26&lt;=0,0,1)</f>
        <v>1</v>
      </c>
      <c r="D26" s="4">
        <f>IF(澳门新定位结果!D26&lt;=0,0,1)</f>
        <v>0</v>
      </c>
      <c r="E26" s="4">
        <f>IF(澳门新定位结果!E26&lt;=0,0,1)</f>
        <v>1</v>
      </c>
      <c r="F26" s="4">
        <f>IF(澳门新定位结果!F26&lt;=0,0,1)</f>
        <v>0</v>
      </c>
      <c r="G26" s="4">
        <f>IF(澳门新定位结果!G26&lt;=0,0,1)</f>
        <v>0</v>
      </c>
      <c r="H26" s="4">
        <f>IF(澳门新定位结果!H26&lt;=0,0,1)</f>
        <v>1</v>
      </c>
      <c r="I26" s="4">
        <f>IF(澳门新定位结果!I26&lt;=0,0,1)</f>
        <v>0</v>
      </c>
      <c r="J26" s="4">
        <f>IF(澳门新定位结果!J26&lt;=0,0,1)</f>
        <v>1</v>
      </c>
      <c r="K26" s="4">
        <f>IF(澳门新定位结果!K26&lt;=0,0,1)</f>
        <v>0</v>
      </c>
      <c r="L26" s="4">
        <f>IF(澳门新定位结果!L26&lt;=0,0,1)</f>
        <v>1</v>
      </c>
      <c r="M26" s="4">
        <f>IF(澳门新定位结果!M26&lt;=0,0,1)</f>
        <v>0</v>
      </c>
      <c r="N26" s="4">
        <f>IF(澳门新定位结果!N26&lt;=0,0,1)</f>
        <v>0</v>
      </c>
      <c r="O26" s="4">
        <f>IF(澳门新定位结果!O26&lt;=0,0,1)</f>
        <v>0</v>
      </c>
    </row>
    <row r="27" spans="1:15">
      <c r="A27" s="4" t="s">
        <v>73</v>
      </c>
      <c r="B27" s="4">
        <f>IF(澳门新定位结果!B27&lt;=0,0,1)</f>
        <v>0</v>
      </c>
      <c r="C27" s="4">
        <f>IF(澳门新定位结果!C27&lt;=0,0,1)</f>
        <v>1</v>
      </c>
      <c r="D27" s="4">
        <f>IF(澳门新定位结果!D27&lt;=0,0,1)</f>
        <v>0</v>
      </c>
      <c r="E27" s="4">
        <f>IF(澳门新定位结果!E27&lt;=0,0,1)</f>
        <v>1</v>
      </c>
      <c r="F27" s="4">
        <f>IF(澳门新定位结果!F27&lt;=0,0,1)</f>
        <v>1</v>
      </c>
      <c r="G27" s="4">
        <f>IF(澳门新定位结果!G27&lt;=0,0,1)</f>
        <v>0</v>
      </c>
      <c r="H27" s="4">
        <f>IF(澳门新定位结果!H27&lt;=0,0,1)</f>
        <v>1</v>
      </c>
      <c r="I27" s="4">
        <f>IF(澳门新定位结果!I27&lt;=0,0,1)</f>
        <v>1</v>
      </c>
      <c r="J27" s="4">
        <f>IF(澳门新定位结果!J27&lt;=0,0,1)</f>
        <v>1</v>
      </c>
      <c r="K27" s="4">
        <f>IF(澳门新定位结果!K27&lt;=0,0,1)</f>
        <v>0</v>
      </c>
      <c r="L27" s="4">
        <f>IF(澳门新定位结果!L27&lt;=0,0,1)</f>
        <v>0</v>
      </c>
      <c r="M27" s="4">
        <f>IF(澳门新定位结果!M27&lt;=0,0,1)</f>
        <v>1</v>
      </c>
      <c r="N27" s="4">
        <f>IF(澳门新定位结果!N27&lt;=0,0,1)</f>
        <v>0</v>
      </c>
      <c r="O27" s="4">
        <f>IF(澳门新定位结果!O27&lt;=0,0,1)</f>
        <v>1</v>
      </c>
    </row>
    <row r="28" spans="1:15">
      <c r="A28" s="4" t="s">
        <v>75</v>
      </c>
      <c r="B28" s="4">
        <f>IF(澳门新定位结果!B28&lt;=0,0,1)</f>
        <v>1</v>
      </c>
      <c r="C28" s="4">
        <f>IF(澳门新定位结果!C28&lt;=0,0,1)</f>
        <v>1</v>
      </c>
      <c r="D28" s="4">
        <f>IF(澳门新定位结果!D28&lt;=0,0,1)</f>
        <v>1</v>
      </c>
      <c r="E28" s="4">
        <f>IF(澳门新定位结果!E28&lt;=0,0,1)</f>
        <v>1</v>
      </c>
      <c r="F28" s="4">
        <f>IF(澳门新定位结果!F28&lt;=0,0,1)</f>
        <v>1</v>
      </c>
      <c r="G28" s="4">
        <f>IF(澳门新定位结果!G28&lt;=0,0,1)</f>
        <v>0</v>
      </c>
      <c r="H28" s="4">
        <f>IF(澳门新定位结果!H28&lt;=0,0,1)</f>
        <v>1</v>
      </c>
      <c r="I28" s="4">
        <f>IF(澳门新定位结果!I28&lt;=0,0,1)</f>
        <v>1</v>
      </c>
      <c r="J28" s="4">
        <f>IF(澳门新定位结果!J28&lt;=0,0,1)</f>
        <v>1</v>
      </c>
      <c r="K28" s="4">
        <f>IF(澳门新定位结果!K28&lt;=0,0,1)</f>
        <v>1</v>
      </c>
      <c r="L28" s="4">
        <f>IF(澳门新定位结果!L28&lt;=0,0,1)</f>
        <v>0</v>
      </c>
      <c r="M28" s="4">
        <f>IF(澳门新定位结果!M28&lt;=0,0,1)</f>
        <v>1</v>
      </c>
      <c r="N28" s="4">
        <f>IF(澳门新定位结果!N28&lt;=0,0,1)</f>
        <v>0</v>
      </c>
      <c r="O28" s="4">
        <f>IF(澳门新定位结果!O28&lt;=0,0,1)</f>
        <v>1</v>
      </c>
    </row>
    <row r="29" spans="1:15">
      <c r="A29" s="4" t="s">
        <v>77</v>
      </c>
      <c r="B29" s="4">
        <f>IF(澳门新定位结果!B29&lt;=0,0,1)</f>
        <v>0</v>
      </c>
      <c r="C29" s="4">
        <f>IF(澳门新定位结果!C29&lt;=0,0,1)</f>
        <v>1</v>
      </c>
      <c r="D29" s="4">
        <f>IF(澳门新定位结果!D29&lt;=0,0,1)</f>
        <v>0</v>
      </c>
      <c r="E29" s="4">
        <f>IF(澳门新定位结果!E29&lt;=0,0,1)</f>
        <v>0</v>
      </c>
      <c r="F29" s="4">
        <f>IF(澳门新定位结果!F29&lt;=0,0,1)</f>
        <v>0</v>
      </c>
      <c r="G29" s="4">
        <f>IF(澳门新定位结果!G29&lt;=0,0,1)</f>
        <v>0</v>
      </c>
      <c r="H29" s="4">
        <f>IF(澳门新定位结果!H29&lt;=0,0,1)</f>
        <v>0</v>
      </c>
      <c r="I29" s="4">
        <f>IF(澳门新定位结果!I29&lt;=0,0,1)</f>
        <v>0</v>
      </c>
      <c r="J29" s="4">
        <f>IF(澳门新定位结果!J29&lt;=0,0,1)</f>
        <v>0</v>
      </c>
      <c r="K29" s="4">
        <f>IF(澳门新定位结果!K29&lt;=0,0,1)</f>
        <v>1</v>
      </c>
      <c r="L29" s="4">
        <f>IF(澳门新定位结果!L29&lt;=0,0,1)</f>
        <v>1</v>
      </c>
      <c r="M29" s="4">
        <f>IF(澳门新定位结果!M29&lt;=0,0,1)</f>
        <v>1</v>
      </c>
      <c r="N29" s="4">
        <f>IF(澳门新定位结果!N29&lt;=0,0,1)</f>
        <v>0</v>
      </c>
      <c r="O29" s="4">
        <f>IF(澳门新定位结果!O29&lt;=0,0,1)</f>
        <v>1</v>
      </c>
    </row>
    <row r="30" spans="1:15">
      <c r="A30" s="4" t="s">
        <v>79</v>
      </c>
      <c r="B30" s="4">
        <f>IF(澳门新定位结果!B30&lt;=0,0,1)</f>
        <v>1</v>
      </c>
      <c r="C30" s="4">
        <f>IF(澳门新定位结果!C30&lt;=0,0,1)</f>
        <v>0</v>
      </c>
      <c r="D30" s="4">
        <f>IF(澳门新定位结果!D30&lt;=0,0,1)</f>
        <v>1</v>
      </c>
      <c r="E30" s="4">
        <f>IF(澳门新定位结果!E30&lt;=0,0,1)</f>
        <v>1</v>
      </c>
      <c r="F30" s="4">
        <f>IF(澳门新定位结果!F30&lt;=0,0,1)</f>
        <v>1</v>
      </c>
      <c r="G30" s="4">
        <f>IF(澳门新定位结果!G30&lt;=0,0,1)</f>
        <v>0</v>
      </c>
      <c r="H30" s="4">
        <f>IF(澳门新定位结果!H30&lt;=0,0,1)</f>
        <v>0</v>
      </c>
      <c r="I30" s="4">
        <f>IF(澳门新定位结果!I30&lt;=0,0,1)</f>
        <v>1</v>
      </c>
      <c r="J30" s="4">
        <f>IF(澳门新定位结果!J30&lt;=0,0,1)</f>
        <v>1</v>
      </c>
      <c r="K30" s="4">
        <f>IF(澳门新定位结果!K30&lt;=0,0,1)</f>
        <v>0</v>
      </c>
      <c r="L30" s="4">
        <f>IF(澳门新定位结果!L30&lt;=0,0,1)</f>
        <v>1</v>
      </c>
      <c r="M30" s="4">
        <f>IF(澳门新定位结果!M30&lt;=0,0,1)</f>
        <v>0</v>
      </c>
      <c r="N30" s="4">
        <f>IF(澳门新定位结果!N30&lt;=0,0,1)</f>
        <v>1</v>
      </c>
      <c r="O30" s="4">
        <f>IF(澳门新定位结果!O30&lt;=0,0,1)</f>
        <v>1</v>
      </c>
    </row>
    <row r="31" spans="1:15">
      <c r="A31" s="4" t="s">
        <v>81</v>
      </c>
      <c r="B31" s="4">
        <f>IF(澳门新定位结果!B31&lt;=0,0,1)</f>
        <v>1</v>
      </c>
      <c r="C31" s="4">
        <f>IF(澳门新定位结果!C31&lt;=0,0,1)</f>
        <v>1</v>
      </c>
      <c r="D31" s="4">
        <f>IF(澳门新定位结果!D31&lt;=0,0,1)</f>
        <v>1</v>
      </c>
      <c r="E31" s="4">
        <f>IF(澳门新定位结果!E31&lt;=0,0,1)</f>
        <v>0</v>
      </c>
      <c r="F31" s="4">
        <f>IF(澳门新定位结果!F31&lt;=0,0,1)</f>
        <v>0</v>
      </c>
      <c r="G31" s="4">
        <f>IF(澳门新定位结果!G31&lt;=0,0,1)</f>
        <v>0</v>
      </c>
      <c r="H31" s="4">
        <f>IF(澳门新定位结果!H31&lt;=0,0,1)</f>
        <v>1</v>
      </c>
      <c r="I31" s="4">
        <f>IF(澳门新定位结果!I31&lt;=0,0,1)</f>
        <v>0</v>
      </c>
      <c r="J31" s="4">
        <f>IF(澳门新定位结果!J31&lt;=0,0,1)</f>
        <v>1</v>
      </c>
      <c r="K31" s="4">
        <f>IF(澳门新定位结果!K31&lt;=0,0,1)</f>
        <v>1</v>
      </c>
      <c r="L31" s="4">
        <f>IF(澳门新定位结果!L31&lt;=0,0,1)</f>
        <v>0</v>
      </c>
      <c r="M31" s="4">
        <f>IF(澳门新定位结果!M31&lt;=0,0,1)</f>
        <v>1</v>
      </c>
      <c r="N31" s="4">
        <f>IF(澳门新定位结果!N31&lt;=0,0,1)</f>
        <v>1</v>
      </c>
      <c r="O31" s="4">
        <f>IF(澳门新定位结果!O31&lt;=0,0,1)</f>
        <v>0</v>
      </c>
    </row>
    <row r="32" spans="1:15">
      <c r="A32" s="4" t="s">
        <v>83</v>
      </c>
      <c r="B32" s="4">
        <f>IF(澳门新定位结果!B32&lt;=0,0,1)</f>
        <v>0</v>
      </c>
      <c r="C32" s="4">
        <f>IF(澳门新定位结果!C32&lt;=0,0,1)</f>
        <v>0</v>
      </c>
      <c r="D32" s="4">
        <f>IF(澳门新定位结果!D32&lt;=0,0,1)</f>
        <v>0</v>
      </c>
      <c r="E32" s="4">
        <f>IF(澳门新定位结果!E32&lt;=0,0,1)</f>
        <v>0</v>
      </c>
      <c r="F32" s="4">
        <f>IF(澳门新定位结果!F32&lt;=0,0,1)</f>
        <v>1</v>
      </c>
      <c r="G32" s="4">
        <f>IF(澳门新定位结果!G32&lt;=0,0,1)</f>
        <v>1</v>
      </c>
      <c r="H32" s="4">
        <f>IF(澳门新定位结果!H32&lt;=0,0,1)</f>
        <v>0</v>
      </c>
      <c r="I32" s="4">
        <f>IF(澳门新定位结果!I32&lt;=0,0,1)</f>
        <v>0</v>
      </c>
      <c r="J32" s="4">
        <f>IF(澳门新定位结果!J32&lt;=0,0,1)</f>
        <v>1</v>
      </c>
      <c r="K32" s="4">
        <f>IF(澳门新定位结果!K32&lt;=0,0,1)</f>
        <v>0</v>
      </c>
      <c r="L32" s="4">
        <f>IF(澳门新定位结果!L32&lt;=0,0,1)</f>
        <v>1</v>
      </c>
      <c r="M32" s="4">
        <f>IF(澳门新定位结果!M32&lt;=0,0,1)</f>
        <v>0</v>
      </c>
      <c r="N32" s="4">
        <f>IF(澳门新定位结果!N32&lt;=0,0,1)</f>
        <v>0</v>
      </c>
      <c r="O32" s="4">
        <f>IF(澳门新定位结果!O32&lt;=0,0,1)</f>
        <v>1</v>
      </c>
    </row>
    <row r="33" spans="1:15">
      <c r="A33" s="4" t="s">
        <v>85</v>
      </c>
      <c r="B33" s="4">
        <f>IF(澳门新定位结果!B33&lt;=0,0,1)</f>
        <v>0</v>
      </c>
      <c r="C33" s="4">
        <f>IF(澳门新定位结果!C33&lt;=0,0,1)</f>
        <v>1</v>
      </c>
      <c r="D33" s="4">
        <f>IF(澳门新定位结果!D33&lt;=0,0,1)</f>
        <v>0</v>
      </c>
      <c r="E33" s="4">
        <f>IF(澳门新定位结果!E33&lt;=0,0,1)</f>
        <v>0</v>
      </c>
      <c r="F33" s="4">
        <f>IF(澳门新定位结果!F33&lt;=0,0,1)</f>
        <v>0</v>
      </c>
      <c r="G33" s="4">
        <f>IF(澳门新定位结果!G33&lt;=0,0,1)</f>
        <v>0</v>
      </c>
      <c r="H33" s="4">
        <f>IF(澳门新定位结果!H33&lt;=0,0,1)</f>
        <v>1</v>
      </c>
      <c r="I33" s="4">
        <f>IF(澳门新定位结果!I33&lt;=0,0,1)</f>
        <v>0</v>
      </c>
      <c r="J33" s="4">
        <f>IF(澳门新定位结果!J33&lt;=0,0,1)</f>
        <v>0</v>
      </c>
      <c r="K33" s="4">
        <f>IF(澳门新定位结果!K33&lt;=0,0,1)</f>
        <v>0</v>
      </c>
      <c r="L33" s="4">
        <f>IF(澳门新定位结果!L33&lt;=0,0,1)</f>
        <v>0</v>
      </c>
      <c r="M33" s="4">
        <f>IF(澳门新定位结果!M33&lt;=0,0,1)</f>
        <v>1</v>
      </c>
      <c r="N33" s="4">
        <f>IF(澳门新定位结果!N33&lt;=0,0,1)</f>
        <v>0</v>
      </c>
      <c r="O33" s="4">
        <f>IF(澳门新定位结果!O33&lt;=0,0,1)</f>
        <v>1</v>
      </c>
    </row>
    <row r="34" spans="1:15">
      <c r="A34" s="4" t="s">
        <v>87</v>
      </c>
      <c r="B34" s="4">
        <f>IF(澳门新定位结果!B34&lt;=0,0,1)</f>
        <v>0</v>
      </c>
      <c r="C34" s="4">
        <f>IF(澳门新定位结果!C34&lt;=0,0,1)</f>
        <v>0</v>
      </c>
      <c r="D34" s="4">
        <f>IF(澳门新定位结果!D34&lt;=0,0,1)</f>
        <v>0</v>
      </c>
      <c r="E34" s="4">
        <f>IF(澳门新定位结果!E34&lt;=0,0,1)</f>
        <v>0</v>
      </c>
      <c r="F34" s="4">
        <f>IF(澳门新定位结果!F34&lt;=0,0,1)</f>
        <v>0</v>
      </c>
      <c r="G34" s="4">
        <f>IF(澳门新定位结果!G34&lt;=0,0,1)</f>
        <v>0</v>
      </c>
      <c r="H34" s="4">
        <f>IF(澳门新定位结果!H34&lt;=0,0,1)</f>
        <v>0</v>
      </c>
      <c r="I34" s="4">
        <f>IF(澳门新定位结果!I34&lt;=0,0,1)</f>
        <v>0</v>
      </c>
      <c r="J34" s="4">
        <f>IF(澳门新定位结果!J34&lt;=0,0,1)</f>
        <v>0</v>
      </c>
      <c r="K34" s="4">
        <f>IF(澳门新定位结果!K34&lt;=0,0,1)</f>
        <v>1</v>
      </c>
      <c r="L34" s="4">
        <f>IF(澳门新定位结果!L34&lt;=0,0,1)</f>
        <v>0</v>
      </c>
      <c r="M34" s="4">
        <f>IF(澳门新定位结果!M34&lt;=0,0,1)</f>
        <v>0</v>
      </c>
      <c r="N34" s="4">
        <f>IF(澳门新定位结果!N34&lt;=0,0,1)</f>
        <v>1</v>
      </c>
      <c r="O34" s="4">
        <f>IF(澳门新定位结果!O34&lt;=0,0,1)</f>
        <v>0</v>
      </c>
    </row>
    <row r="35" spans="1:15">
      <c r="A35" s="4" t="s">
        <v>89</v>
      </c>
      <c r="B35" s="4">
        <f>IF(澳门新定位结果!B35&lt;=0,0,1)</f>
        <v>0</v>
      </c>
      <c r="C35" s="4">
        <f>IF(澳门新定位结果!C35&lt;=0,0,1)</f>
        <v>1</v>
      </c>
      <c r="D35" s="4">
        <f>IF(澳门新定位结果!D35&lt;=0,0,1)</f>
        <v>0</v>
      </c>
      <c r="E35" s="4">
        <f>IF(澳门新定位结果!E35&lt;=0,0,1)</f>
        <v>0</v>
      </c>
      <c r="F35" s="4">
        <f>IF(澳门新定位结果!F35&lt;=0,0,1)</f>
        <v>1</v>
      </c>
      <c r="G35" s="4">
        <f>IF(澳门新定位结果!G35&lt;=0,0,1)</f>
        <v>1</v>
      </c>
      <c r="H35" s="4">
        <f>IF(澳门新定位结果!H35&lt;=0,0,1)</f>
        <v>0</v>
      </c>
      <c r="I35" s="4">
        <f>IF(澳门新定位结果!I35&lt;=0,0,1)</f>
        <v>1</v>
      </c>
      <c r="J35" s="4">
        <f>IF(澳门新定位结果!J35&lt;=0,0,1)</f>
        <v>1</v>
      </c>
      <c r="K35" s="4">
        <f>IF(澳门新定位结果!K35&lt;=0,0,1)</f>
        <v>1</v>
      </c>
      <c r="L35" s="4">
        <f>IF(澳门新定位结果!L35&lt;=0,0,1)</f>
        <v>1</v>
      </c>
      <c r="M35" s="4">
        <f>IF(澳门新定位结果!M35&lt;=0,0,1)</f>
        <v>0</v>
      </c>
      <c r="N35" s="4">
        <f>IF(澳门新定位结果!N35&lt;=0,0,1)</f>
        <v>1</v>
      </c>
      <c r="O35" s="4">
        <f>IF(澳门新定位结果!O35&lt;=0,0,1)</f>
        <v>1</v>
      </c>
    </row>
    <row r="36" spans="1:15">
      <c r="A36" s="4" t="s">
        <v>91</v>
      </c>
      <c r="B36" s="4">
        <f>IF(澳门新定位结果!B36&lt;=0,0,1)</f>
        <v>1</v>
      </c>
      <c r="C36" s="4">
        <f>IF(澳门新定位结果!C36&lt;=0,0,1)</f>
        <v>0</v>
      </c>
      <c r="D36" s="4">
        <f>IF(澳门新定位结果!D36&lt;=0,0,1)</f>
        <v>1</v>
      </c>
      <c r="E36" s="4">
        <f>IF(澳门新定位结果!E36&lt;=0,0,1)</f>
        <v>0</v>
      </c>
      <c r="F36" s="4">
        <f>IF(澳门新定位结果!F36&lt;=0,0,1)</f>
        <v>0</v>
      </c>
      <c r="G36" s="4">
        <f>IF(澳门新定位结果!G36&lt;=0,0,1)</f>
        <v>1</v>
      </c>
      <c r="H36" s="4">
        <f>IF(澳门新定位结果!H36&lt;=0,0,1)</f>
        <v>1</v>
      </c>
      <c r="I36" s="4">
        <f>IF(澳门新定位结果!I36&lt;=0,0,1)</f>
        <v>1</v>
      </c>
      <c r="J36" s="4">
        <f>IF(澳门新定位结果!J36&lt;=0,0,1)</f>
        <v>1</v>
      </c>
      <c r="K36" s="4">
        <f>IF(澳门新定位结果!K36&lt;=0,0,1)</f>
        <v>0</v>
      </c>
      <c r="L36" s="4">
        <f>IF(澳门新定位结果!L36&lt;=0,0,1)</f>
        <v>0</v>
      </c>
      <c r="M36" s="4">
        <f>IF(澳门新定位结果!M36&lt;=0,0,1)</f>
        <v>1</v>
      </c>
      <c r="N36" s="4">
        <f>IF(澳门新定位结果!N36&lt;=0,0,1)</f>
        <v>0</v>
      </c>
      <c r="O36" s="4">
        <f>IF(澳门新定位结果!O36&lt;=0,0,1)</f>
        <v>0</v>
      </c>
    </row>
    <row r="37" spans="1:15">
      <c r="A37" s="4" t="s">
        <v>93</v>
      </c>
      <c r="B37" s="4">
        <f>IF(澳门新定位结果!B37&lt;=0,0,1)</f>
        <v>0</v>
      </c>
      <c r="C37" s="4">
        <f>IF(澳门新定位结果!C37&lt;=0,0,1)</f>
        <v>1</v>
      </c>
      <c r="D37" s="4">
        <f>IF(澳门新定位结果!D37&lt;=0,0,1)</f>
        <v>0</v>
      </c>
      <c r="E37" s="4">
        <f>IF(澳门新定位结果!E37&lt;=0,0,1)</f>
        <v>0</v>
      </c>
      <c r="F37" s="4">
        <f>IF(澳门新定位结果!F37&lt;=0,0,1)</f>
        <v>1</v>
      </c>
      <c r="G37" s="4">
        <f>IF(澳门新定位结果!G37&lt;=0,0,1)</f>
        <v>0</v>
      </c>
      <c r="H37" s="4">
        <f>IF(澳门新定位结果!H37&lt;=0,0,1)</f>
        <v>0</v>
      </c>
      <c r="I37" s="4">
        <f>IF(澳门新定位结果!I37&lt;=0,0,1)</f>
        <v>1</v>
      </c>
      <c r="J37" s="4">
        <f>IF(澳门新定位结果!J37&lt;=0,0,1)</f>
        <v>0</v>
      </c>
      <c r="K37" s="4">
        <f>IF(澳门新定位结果!K37&lt;=0,0,1)</f>
        <v>1</v>
      </c>
      <c r="L37" s="4">
        <f>IF(澳门新定位结果!L37&lt;=0,0,1)</f>
        <v>0</v>
      </c>
      <c r="M37" s="4">
        <f>IF(澳门新定位结果!M37&lt;=0,0,1)</f>
        <v>0</v>
      </c>
      <c r="N37" s="4">
        <f>IF(澳门新定位结果!N37&lt;=0,0,1)</f>
        <v>0</v>
      </c>
      <c r="O37" s="4">
        <f>IF(澳门新定位结果!O37&lt;=0,0,1)</f>
        <v>0</v>
      </c>
    </row>
    <row r="38" spans="1:15">
      <c r="A38" s="4" t="s">
        <v>95</v>
      </c>
      <c r="B38" s="4">
        <f>IF(澳门新定位结果!B38&lt;=0,0,1)</f>
        <v>0</v>
      </c>
      <c r="C38" s="4">
        <f>IF(澳门新定位结果!C38&lt;=0,0,1)</f>
        <v>1</v>
      </c>
      <c r="D38" s="4">
        <f>IF(澳门新定位结果!D38&lt;=0,0,1)</f>
        <v>1</v>
      </c>
      <c r="E38" s="4">
        <f>IF(澳门新定位结果!E38&lt;=0,0,1)</f>
        <v>0</v>
      </c>
      <c r="F38" s="4">
        <f>IF(澳门新定位结果!F38&lt;=0,0,1)</f>
        <v>1</v>
      </c>
      <c r="G38" s="4">
        <f>IF(澳门新定位结果!G38&lt;=0,0,1)</f>
        <v>0</v>
      </c>
      <c r="H38" s="4">
        <f>IF(澳门新定位结果!H38&lt;=0,0,1)</f>
        <v>1</v>
      </c>
      <c r="I38" s="4">
        <f>IF(澳门新定位结果!I38&lt;=0,0,1)</f>
        <v>0</v>
      </c>
      <c r="J38" s="4">
        <f>IF(澳门新定位结果!J38&lt;=0,0,1)</f>
        <v>1</v>
      </c>
      <c r="K38" s="4">
        <f>IF(澳门新定位结果!K38&lt;=0,0,1)</f>
        <v>0</v>
      </c>
      <c r="L38" s="4">
        <f>IF(澳门新定位结果!L38&lt;=0,0,1)</f>
        <v>0</v>
      </c>
      <c r="M38" s="4">
        <f>IF(澳门新定位结果!M38&lt;=0,0,1)</f>
        <v>1</v>
      </c>
      <c r="N38" s="4">
        <f>IF(澳门新定位结果!N38&lt;=0,0,1)</f>
        <v>0</v>
      </c>
      <c r="O38" s="4">
        <f>IF(澳门新定位结果!O38&lt;=0,0,1)</f>
        <v>0</v>
      </c>
    </row>
    <row r="39" spans="1:15">
      <c r="A39" s="4" t="s">
        <v>97</v>
      </c>
      <c r="B39" s="4">
        <f>IF(澳门新定位结果!B39&lt;=0,0,1)</f>
        <v>1</v>
      </c>
      <c r="C39" s="4">
        <f>IF(澳门新定位结果!C39&lt;=0,0,1)</f>
        <v>1</v>
      </c>
      <c r="D39" s="4">
        <f>IF(澳门新定位结果!D39&lt;=0,0,1)</f>
        <v>1</v>
      </c>
      <c r="E39" s="4">
        <f>IF(澳门新定位结果!E39&lt;=0,0,1)</f>
        <v>0</v>
      </c>
      <c r="F39" s="4">
        <f>IF(澳门新定位结果!F39&lt;=0,0,1)</f>
        <v>0</v>
      </c>
      <c r="G39" s="4">
        <f>IF(澳门新定位结果!G39&lt;=0,0,1)</f>
        <v>1</v>
      </c>
      <c r="H39" s="4">
        <f>IF(澳门新定位结果!H39&lt;=0,0,1)</f>
        <v>1</v>
      </c>
      <c r="I39" s="4">
        <f>IF(澳门新定位结果!I39&lt;=0,0,1)</f>
        <v>1</v>
      </c>
      <c r="J39" s="4">
        <f>IF(澳门新定位结果!J39&lt;=0,0,1)</f>
        <v>0</v>
      </c>
      <c r="K39" s="4">
        <f>IF(澳门新定位结果!K39&lt;=0,0,1)</f>
        <v>1</v>
      </c>
      <c r="L39" s="4">
        <f>IF(澳门新定位结果!L39&lt;=0,0,1)</f>
        <v>1</v>
      </c>
      <c r="M39" s="4">
        <f>IF(澳门新定位结果!M39&lt;=0,0,1)</f>
        <v>0</v>
      </c>
      <c r="N39" s="4">
        <f>IF(澳门新定位结果!N39&lt;=0,0,1)</f>
        <v>1</v>
      </c>
      <c r="O39" s="4">
        <f>IF(澳门新定位结果!O39&lt;=0,0,1)</f>
        <v>0</v>
      </c>
    </row>
    <row r="40" spans="1:15">
      <c r="A40" s="4" t="s">
        <v>99</v>
      </c>
      <c r="B40" s="4">
        <f>IF(澳门新定位结果!B40&lt;=0,0,1)</f>
        <v>0</v>
      </c>
      <c r="C40" s="4">
        <f>IF(澳门新定位结果!C40&lt;=0,0,1)</f>
        <v>1</v>
      </c>
      <c r="D40" s="4">
        <f>IF(澳门新定位结果!D40&lt;=0,0,1)</f>
        <v>0</v>
      </c>
      <c r="E40" s="4">
        <f>IF(澳门新定位结果!E40&lt;=0,0,1)</f>
        <v>1</v>
      </c>
      <c r="F40" s="4">
        <f>IF(澳门新定位结果!F40&lt;=0,0,1)</f>
        <v>1</v>
      </c>
      <c r="G40" s="4">
        <f>IF(澳门新定位结果!G40&lt;=0,0,1)</f>
        <v>0</v>
      </c>
      <c r="H40" s="4">
        <f>IF(澳门新定位结果!H40&lt;=0,0,1)</f>
        <v>0</v>
      </c>
      <c r="I40" s="4">
        <f>IF(澳门新定位结果!I40&lt;=0,0,1)</f>
        <v>0</v>
      </c>
      <c r="J40" s="4">
        <f>IF(澳门新定位结果!J40&lt;=0,0,1)</f>
        <v>1</v>
      </c>
      <c r="K40" s="4">
        <f>IF(澳门新定位结果!K40&lt;=0,0,1)</f>
        <v>1</v>
      </c>
      <c r="L40" s="4">
        <f>IF(澳门新定位结果!L40&lt;=0,0,1)</f>
        <v>0</v>
      </c>
      <c r="M40" s="4">
        <f>IF(澳门新定位结果!M40&lt;=0,0,1)</f>
        <v>0</v>
      </c>
      <c r="N40" s="4">
        <f>IF(澳门新定位结果!N40&lt;=0,0,1)</f>
        <v>1</v>
      </c>
      <c r="O40" s="4">
        <f>IF(澳门新定位结果!O40&lt;=0,0,1)</f>
        <v>1</v>
      </c>
    </row>
    <row r="41" spans="1:15">
      <c r="A41" s="4" t="s">
        <v>101</v>
      </c>
      <c r="B41" s="4">
        <f>IF(澳门新定位结果!B41&lt;=0,0,1)</f>
        <v>0</v>
      </c>
      <c r="C41" s="4">
        <f>IF(澳门新定位结果!C41&lt;=0,0,1)</f>
        <v>0</v>
      </c>
      <c r="D41" s="4">
        <f>IF(澳门新定位结果!D41&lt;=0,0,1)</f>
        <v>0</v>
      </c>
      <c r="E41" s="4">
        <f>IF(澳门新定位结果!E41&lt;=0,0,1)</f>
        <v>1</v>
      </c>
      <c r="F41" s="4">
        <f>IF(澳门新定位结果!F41&lt;=0,0,1)</f>
        <v>0</v>
      </c>
      <c r="G41" s="4">
        <f>IF(澳门新定位结果!G41&lt;=0,0,1)</f>
        <v>1</v>
      </c>
      <c r="H41" s="4">
        <f>IF(澳门新定位结果!H41&lt;=0,0,1)</f>
        <v>0</v>
      </c>
      <c r="I41" s="4">
        <f>IF(澳门新定位结果!I41&lt;=0,0,1)</f>
        <v>1</v>
      </c>
      <c r="J41" s="4">
        <f>IF(澳门新定位结果!J41&lt;=0,0,1)</f>
        <v>0</v>
      </c>
      <c r="K41" s="4">
        <f>IF(澳门新定位结果!K41&lt;=0,0,1)</f>
        <v>0</v>
      </c>
      <c r="L41" s="4">
        <f>IF(澳门新定位结果!L41&lt;=0,0,1)</f>
        <v>0</v>
      </c>
      <c r="M41" s="4">
        <f>IF(澳门新定位结果!M41&lt;=0,0,1)</f>
        <v>1</v>
      </c>
      <c r="N41" s="4">
        <f>IF(澳门新定位结果!N41&lt;=0,0,1)</f>
        <v>0</v>
      </c>
      <c r="O41" s="4">
        <f>IF(澳门新定位结果!O41&lt;=0,0,1)</f>
        <v>0</v>
      </c>
    </row>
    <row r="42" spans="1:15">
      <c r="A42" s="4" t="s">
        <v>103</v>
      </c>
      <c r="B42" s="4">
        <f>IF(澳门新定位结果!B42&lt;=0,0,1)</f>
        <v>1</v>
      </c>
      <c r="C42" s="4">
        <f>IF(澳门新定位结果!C42&lt;=0,0,1)</f>
        <v>1</v>
      </c>
      <c r="D42" s="4">
        <f>IF(澳门新定位结果!D42&lt;=0,0,1)</f>
        <v>0</v>
      </c>
      <c r="E42" s="4">
        <f>IF(澳门新定位结果!E42&lt;=0,0,1)</f>
        <v>0</v>
      </c>
      <c r="F42" s="4">
        <f>IF(澳门新定位结果!F42&lt;=0,0,1)</f>
        <v>1</v>
      </c>
      <c r="G42" s="4">
        <f>IF(澳门新定位结果!G42&lt;=0,0,1)</f>
        <v>0</v>
      </c>
      <c r="H42" s="4">
        <f>IF(澳门新定位结果!H42&lt;=0,0,1)</f>
        <v>1</v>
      </c>
      <c r="I42" s="4">
        <f>IF(澳门新定位结果!I42&lt;=0,0,1)</f>
        <v>1</v>
      </c>
      <c r="J42" s="4">
        <f>IF(澳门新定位结果!J42&lt;=0,0,1)</f>
        <v>1</v>
      </c>
      <c r="K42" s="4">
        <f>IF(澳门新定位结果!K42&lt;=0,0,1)</f>
        <v>1</v>
      </c>
      <c r="L42" s="4">
        <f>IF(澳门新定位结果!L42&lt;=0,0,1)</f>
        <v>1</v>
      </c>
      <c r="M42" s="4">
        <f>IF(澳门新定位结果!M42&lt;=0,0,1)</f>
        <v>0</v>
      </c>
      <c r="N42" s="4">
        <f>IF(澳门新定位结果!N42&lt;=0,0,1)</f>
        <v>0</v>
      </c>
      <c r="O42" s="4">
        <f>IF(澳门新定位结果!O42&lt;=0,0,1)</f>
        <v>1</v>
      </c>
    </row>
    <row r="43" spans="1:15">
      <c r="A43" s="4" t="s">
        <v>105</v>
      </c>
      <c r="B43" s="4">
        <f>IF(澳门新定位结果!B43&lt;=0,0,1)</f>
        <v>0</v>
      </c>
      <c r="C43" s="4">
        <f>IF(澳门新定位结果!C43&lt;=0,0,1)</f>
        <v>1</v>
      </c>
      <c r="D43" s="4">
        <f>IF(澳门新定位结果!D43&lt;=0,0,1)</f>
        <v>0</v>
      </c>
      <c r="E43" s="4">
        <f>IF(澳门新定位结果!E43&lt;=0,0,1)</f>
        <v>1</v>
      </c>
      <c r="F43" s="4">
        <f>IF(澳门新定位结果!F43&lt;=0,0,1)</f>
        <v>1</v>
      </c>
      <c r="G43" s="4">
        <f>IF(澳门新定位结果!G43&lt;=0,0,1)</f>
        <v>0</v>
      </c>
      <c r="H43" s="4">
        <f>IF(澳门新定位结果!H43&lt;=0,0,1)</f>
        <v>1</v>
      </c>
      <c r="I43" s="4">
        <f>IF(澳门新定位结果!I43&lt;=0,0,1)</f>
        <v>1</v>
      </c>
      <c r="J43" s="4">
        <f>IF(澳门新定位结果!J43&lt;=0,0,1)</f>
        <v>0</v>
      </c>
      <c r="K43" s="4">
        <f>IF(澳门新定位结果!K43&lt;=0,0,1)</f>
        <v>0</v>
      </c>
      <c r="L43" s="4">
        <f>IF(澳门新定位结果!L43&lt;=0,0,1)</f>
        <v>1</v>
      </c>
      <c r="M43" s="4">
        <f>IF(澳门新定位结果!M43&lt;=0,0,1)</f>
        <v>0</v>
      </c>
      <c r="N43" s="4">
        <f>IF(澳门新定位结果!N43&lt;=0,0,1)</f>
        <v>1</v>
      </c>
      <c r="O43" s="4">
        <f>IF(澳门新定位结果!O43&lt;=0,0,1)</f>
        <v>1</v>
      </c>
    </row>
    <row r="44" spans="1:15">
      <c r="A44" s="4" t="s">
        <v>107</v>
      </c>
      <c r="B44" s="4">
        <f>IF(澳门新定位结果!B44&lt;=0,0,1)</f>
        <v>0</v>
      </c>
      <c r="C44" s="4">
        <f>IF(澳门新定位结果!C44&lt;=0,0,1)</f>
        <v>0</v>
      </c>
      <c r="D44" s="4">
        <f>IF(澳门新定位结果!D44&lt;=0,0,1)</f>
        <v>1</v>
      </c>
      <c r="E44" s="4">
        <f>IF(澳门新定位结果!E44&lt;=0,0,1)</f>
        <v>0</v>
      </c>
      <c r="F44" s="4">
        <f>IF(澳门新定位结果!F44&lt;=0,0,1)</f>
        <v>0</v>
      </c>
      <c r="G44" s="4">
        <f>IF(澳门新定位结果!G44&lt;=0,0,1)</f>
        <v>0</v>
      </c>
      <c r="H44" s="4">
        <f>IF(澳门新定位结果!H44&lt;=0,0,1)</f>
        <v>0</v>
      </c>
      <c r="I44" s="4">
        <f>IF(澳门新定位结果!I44&lt;=0,0,1)</f>
        <v>0</v>
      </c>
      <c r="J44" s="4">
        <f>IF(澳门新定位结果!J44&lt;=0,0,1)</f>
        <v>0</v>
      </c>
      <c r="K44" s="4">
        <f>IF(澳门新定位结果!K44&lt;=0,0,1)</f>
        <v>0</v>
      </c>
      <c r="L44" s="4">
        <f>IF(澳门新定位结果!L44&lt;=0,0,1)</f>
        <v>1</v>
      </c>
      <c r="M44" s="4">
        <f>IF(澳门新定位结果!M44&lt;=0,0,1)</f>
        <v>0</v>
      </c>
      <c r="N44" s="4">
        <f>IF(澳门新定位结果!N44&lt;=0,0,1)</f>
        <v>1</v>
      </c>
      <c r="O44" s="4">
        <f>IF(澳门新定位结果!O44&lt;=0,0,1)</f>
        <v>1</v>
      </c>
    </row>
    <row r="45" spans="1:15">
      <c r="A45" s="4" t="s">
        <v>109</v>
      </c>
      <c r="B45" s="4">
        <f>IF(澳门新定位结果!B45&lt;=0,0,1)</f>
        <v>1</v>
      </c>
      <c r="C45" s="4">
        <f>IF(澳门新定位结果!C45&lt;=0,0,1)</f>
        <v>1</v>
      </c>
      <c r="D45" s="4">
        <f>IF(澳门新定位结果!D45&lt;=0,0,1)</f>
        <v>1</v>
      </c>
      <c r="E45" s="4">
        <f>IF(澳门新定位结果!E45&lt;=0,0,1)</f>
        <v>0</v>
      </c>
      <c r="F45" s="4">
        <f>IF(澳门新定位结果!F45&lt;=0,0,1)</f>
        <v>1</v>
      </c>
      <c r="G45" s="4">
        <f>IF(澳门新定位结果!G45&lt;=0,0,1)</f>
        <v>0</v>
      </c>
      <c r="H45" s="4">
        <f>IF(澳门新定位结果!H45&lt;=0,0,1)</f>
        <v>0</v>
      </c>
      <c r="I45" s="4">
        <f>IF(澳门新定位结果!I45&lt;=0,0,1)</f>
        <v>1</v>
      </c>
      <c r="J45" s="4">
        <f>IF(澳门新定位结果!J45&lt;=0,0,1)</f>
        <v>0</v>
      </c>
      <c r="K45" s="4">
        <f>IF(澳门新定位结果!K45&lt;=0,0,1)</f>
        <v>1</v>
      </c>
      <c r="L45" s="4">
        <f>IF(澳门新定位结果!L45&lt;=0,0,1)</f>
        <v>0</v>
      </c>
      <c r="M45" s="4">
        <f>IF(澳门新定位结果!M45&lt;=0,0,1)</f>
        <v>0</v>
      </c>
      <c r="N45" s="4">
        <f>IF(澳门新定位结果!N45&lt;=0,0,1)</f>
        <v>0</v>
      </c>
      <c r="O45" s="4">
        <f>IF(澳门新定位结果!O45&lt;=0,0,1)</f>
        <v>1</v>
      </c>
    </row>
    <row r="46" spans="1:15">
      <c r="A46" s="4" t="s">
        <v>111</v>
      </c>
      <c r="B46" s="4">
        <f>IF(澳门新定位结果!B46&lt;=0,0,1)</f>
        <v>0</v>
      </c>
      <c r="C46" s="4">
        <f>IF(澳门新定位结果!C46&lt;=0,0,1)</f>
        <v>1</v>
      </c>
      <c r="D46" s="4">
        <f>IF(澳门新定位结果!D46&lt;=0,0,1)</f>
        <v>0</v>
      </c>
      <c r="E46" s="4">
        <f>IF(澳门新定位结果!E46&lt;=0,0,1)</f>
        <v>1</v>
      </c>
      <c r="F46" s="4">
        <f>IF(澳门新定位结果!F46&lt;=0,0,1)</f>
        <v>0</v>
      </c>
      <c r="G46" s="4">
        <f>IF(澳门新定位结果!G46&lt;=0,0,1)</f>
        <v>0</v>
      </c>
      <c r="H46" s="4">
        <f>IF(澳门新定位结果!H46&lt;=0,0,1)</f>
        <v>0</v>
      </c>
      <c r="I46" s="4">
        <f>IF(澳门新定位结果!I46&lt;=0,0,1)</f>
        <v>1</v>
      </c>
      <c r="J46" s="4">
        <f>IF(澳门新定位结果!J46&lt;=0,0,1)</f>
        <v>1</v>
      </c>
      <c r="K46" s="4">
        <f>IF(澳门新定位结果!K46&lt;=0,0,1)</f>
        <v>0</v>
      </c>
      <c r="L46" s="4">
        <f>IF(澳门新定位结果!L46&lt;=0,0,1)</f>
        <v>0</v>
      </c>
      <c r="M46" s="4">
        <f>IF(澳门新定位结果!M46&lt;=0,0,1)</f>
        <v>0</v>
      </c>
      <c r="N46" s="4">
        <f>IF(澳门新定位结果!N46&lt;=0,0,1)</f>
        <v>0</v>
      </c>
      <c r="O46" s="4">
        <f>IF(澳门新定位结果!O46&lt;=0,0,1)</f>
        <v>0</v>
      </c>
    </row>
    <row r="47" spans="1:15">
      <c r="A47" s="4" t="s">
        <v>113</v>
      </c>
      <c r="B47" s="4">
        <f>IF(澳门新定位结果!B47&lt;=0,0,1)</f>
        <v>1</v>
      </c>
      <c r="C47" s="4">
        <f>IF(澳门新定位结果!C47&lt;=0,0,1)</f>
        <v>1</v>
      </c>
      <c r="D47" s="4">
        <f>IF(澳门新定位结果!D47&lt;=0,0,1)</f>
        <v>0</v>
      </c>
      <c r="E47" s="4">
        <f>IF(澳门新定位结果!E47&lt;=0,0,1)</f>
        <v>1</v>
      </c>
      <c r="F47" s="4">
        <f>IF(澳门新定位结果!F47&lt;=0,0,1)</f>
        <v>1</v>
      </c>
      <c r="G47" s="4">
        <f>IF(澳门新定位结果!G47&lt;=0,0,1)</f>
        <v>1</v>
      </c>
      <c r="H47" s="4">
        <f>IF(澳门新定位结果!H47&lt;=0,0,1)</f>
        <v>1</v>
      </c>
      <c r="I47" s="4">
        <f>IF(澳门新定位结果!I47&lt;=0,0,1)</f>
        <v>1</v>
      </c>
      <c r="J47" s="4">
        <f>IF(澳门新定位结果!J47&lt;=0,0,1)</f>
        <v>1</v>
      </c>
      <c r="K47" s="4">
        <f>IF(澳门新定位结果!K47&lt;=0,0,1)</f>
        <v>1</v>
      </c>
      <c r="L47" s="4">
        <f>IF(澳门新定位结果!L47&lt;=0,0,1)</f>
        <v>1</v>
      </c>
      <c r="M47" s="4">
        <f>IF(澳门新定位结果!M47&lt;=0,0,1)</f>
        <v>1</v>
      </c>
      <c r="N47" s="4">
        <f>IF(澳门新定位结果!N47&lt;=0,0,1)</f>
        <v>0</v>
      </c>
      <c r="O47" s="4">
        <f>IF(澳门新定位结果!O47&lt;=0,0,1)</f>
        <v>1</v>
      </c>
    </row>
    <row r="48" spans="1:15">
      <c r="A48" s="4" t="s">
        <v>115</v>
      </c>
      <c r="B48" s="4">
        <f>IF(澳门新定位结果!B48&lt;=0,0,1)</f>
        <v>1</v>
      </c>
      <c r="C48" s="4">
        <f>IF(澳门新定位结果!C48&lt;=0,0,1)</f>
        <v>1</v>
      </c>
      <c r="D48" s="4">
        <f>IF(澳门新定位结果!D48&lt;=0,0,1)</f>
        <v>1</v>
      </c>
      <c r="E48" s="4">
        <f>IF(澳门新定位结果!E48&lt;=0,0,1)</f>
        <v>0</v>
      </c>
      <c r="F48" s="4">
        <f>IF(澳门新定位结果!F48&lt;=0,0,1)</f>
        <v>1</v>
      </c>
      <c r="G48" s="4">
        <f>IF(澳门新定位结果!G48&lt;=0,0,1)</f>
        <v>0</v>
      </c>
      <c r="H48" s="4">
        <f>IF(澳门新定位结果!H48&lt;=0,0,1)</f>
        <v>1</v>
      </c>
      <c r="I48" s="4">
        <f>IF(澳门新定位结果!I48&lt;=0,0,1)</f>
        <v>1</v>
      </c>
      <c r="J48" s="4">
        <f>IF(澳门新定位结果!J48&lt;=0,0,1)</f>
        <v>0</v>
      </c>
      <c r="K48" s="4">
        <f>IF(澳门新定位结果!K48&lt;=0,0,1)</f>
        <v>1</v>
      </c>
      <c r="L48" s="4">
        <f>IF(澳门新定位结果!L48&lt;=0,0,1)</f>
        <v>0</v>
      </c>
      <c r="M48" s="4">
        <f>IF(澳门新定位结果!M48&lt;=0,0,1)</f>
        <v>1</v>
      </c>
      <c r="N48" s="4">
        <f>IF(澳门新定位结果!N48&lt;=0,0,1)</f>
        <v>0</v>
      </c>
      <c r="O48" s="4">
        <f>IF(澳门新定位结果!O48&lt;=0,0,1)</f>
        <v>0</v>
      </c>
    </row>
    <row r="49" spans="1:15">
      <c r="A49" s="4" t="s">
        <v>117</v>
      </c>
      <c r="B49" s="4">
        <f>IF(澳门新定位结果!B49&lt;=0,0,1)</f>
        <v>0</v>
      </c>
      <c r="C49" s="4">
        <f>IF(澳门新定位结果!C49&lt;=0,0,1)</f>
        <v>0</v>
      </c>
      <c r="D49" s="4">
        <f>IF(澳门新定位结果!D49&lt;=0,0,1)</f>
        <v>1</v>
      </c>
      <c r="E49" s="4">
        <f>IF(澳门新定位结果!E49&lt;=0,0,1)</f>
        <v>1</v>
      </c>
      <c r="F49" s="4">
        <f>IF(澳门新定位结果!F49&lt;=0,0,1)</f>
        <v>0</v>
      </c>
      <c r="G49" s="4">
        <f>IF(澳门新定位结果!G49&lt;=0,0,1)</f>
        <v>1</v>
      </c>
      <c r="H49" s="4">
        <f>IF(澳门新定位结果!H49&lt;=0,0,1)</f>
        <v>0</v>
      </c>
      <c r="I49" s="4">
        <f>IF(澳门新定位结果!I49&lt;=0,0,1)</f>
        <v>0</v>
      </c>
      <c r="J49" s="4">
        <f>IF(澳门新定位结果!J49&lt;=0,0,1)</f>
        <v>0</v>
      </c>
      <c r="K49" s="4">
        <f>IF(澳门新定位结果!K49&lt;=0,0,1)</f>
        <v>0</v>
      </c>
      <c r="L49" s="4">
        <f>IF(澳门新定位结果!L49&lt;=0,0,1)</f>
        <v>0</v>
      </c>
      <c r="M49" s="4">
        <f>IF(澳门新定位结果!M49&lt;=0,0,1)</f>
        <v>0</v>
      </c>
      <c r="N49" s="4">
        <f>IF(澳门新定位结果!N49&lt;=0,0,1)</f>
        <v>0</v>
      </c>
      <c r="O49" s="4">
        <f>IF(澳门新定位结果!O49&lt;=0,0,1)</f>
        <v>1</v>
      </c>
    </row>
    <row r="50" spans="1:15">
      <c r="A50" s="4" t="s">
        <v>119</v>
      </c>
      <c r="B50" s="4">
        <f>IF(澳门新定位结果!B50&lt;=0,0,1)</f>
        <v>1</v>
      </c>
      <c r="C50" s="4">
        <f>IF(澳门新定位结果!C50&lt;=0,0,1)</f>
        <v>1</v>
      </c>
      <c r="D50" s="4">
        <f>IF(澳门新定位结果!D50&lt;=0,0,1)</f>
        <v>1</v>
      </c>
      <c r="E50" s="4">
        <f>IF(澳门新定位结果!E50&lt;=0,0,1)</f>
        <v>1</v>
      </c>
      <c r="F50" s="4">
        <f>IF(澳门新定位结果!F50&lt;=0,0,1)</f>
        <v>1</v>
      </c>
      <c r="G50" s="4">
        <f>IF(澳门新定位结果!G50&lt;=0,0,1)</f>
        <v>0</v>
      </c>
      <c r="H50" s="4">
        <f>IF(澳门新定位结果!H50&lt;=0,0,1)</f>
        <v>0</v>
      </c>
      <c r="I50" s="4">
        <f>IF(澳门新定位结果!I50&lt;=0,0,1)</f>
        <v>1</v>
      </c>
      <c r="J50" s="4">
        <f>IF(澳门新定位结果!J50&lt;=0,0,1)</f>
        <v>0</v>
      </c>
      <c r="K50" s="4">
        <f>IF(澳门新定位结果!K50&lt;=0,0,1)</f>
        <v>1</v>
      </c>
      <c r="L50" s="4">
        <f>IF(澳门新定位结果!L50&lt;=0,0,1)</f>
        <v>1</v>
      </c>
      <c r="M50" s="4">
        <f>IF(澳门新定位结果!M50&lt;=0,0,1)</f>
        <v>0</v>
      </c>
      <c r="N50" s="4">
        <f>IF(澳门新定位结果!N50&lt;=0,0,1)</f>
        <v>1</v>
      </c>
      <c r="O50" s="4">
        <f>IF(澳门新定位结果!O50&lt;=0,0,1)</f>
        <v>1</v>
      </c>
    </row>
    <row r="51" spans="1:15">
      <c r="A51" s="4" t="s">
        <v>121</v>
      </c>
      <c r="B51" s="4">
        <f>IF(澳门新定位结果!B51&lt;=0,0,1)</f>
        <v>1</v>
      </c>
      <c r="C51" s="4">
        <f>IF(澳门新定位结果!C51&lt;=0,0,1)</f>
        <v>1</v>
      </c>
      <c r="D51" s="4">
        <f>IF(澳门新定位结果!D51&lt;=0,0,1)</f>
        <v>0</v>
      </c>
      <c r="E51" s="4">
        <f>IF(澳门新定位结果!E51&lt;=0,0,1)</f>
        <v>1</v>
      </c>
      <c r="F51" s="4">
        <f>IF(澳门新定位结果!F51&lt;=0,0,1)</f>
        <v>0</v>
      </c>
      <c r="G51" s="4">
        <f>IF(澳门新定位结果!G51&lt;=0,0,1)</f>
        <v>0</v>
      </c>
      <c r="H51" s="4">
        <f>IF(澳门新定位结果!H51&lt;=0,0,1)</f>
        <v>1</v>
      </c>
      <c r="I51" s="4">
        <f>IF(澳门新定位结果!I51&lt;=0,0,1)</f>
        <v>1</v>
      </c>
      <c r="J51" s="4">
        <f>IF(澳门新定位结果!J51&lt;=0,0,1)</f>
        <v>1</v>
      </c>
      <c r="K51" s="4">
        <f>IF(澳门新定位结果!K51&lt;=0,0,1)</f>
        <v>1</v>
      </c>
      <c r="L51" s="4">
        <f>IF(澳门新定位结果!L51&lt;=0,0,1)</f>
        <v>1</v>
      </c>
      <c r="M51" s="4">
        <f>IF(澳门新定位结果!M51&lt;=0,0,1)</f>
        <v>0</v>
      </c>
      <c r="N51" s="4">
        <f>IF(澳门新定位结果!N51&lt;=0,0,1)</f>
        <v>0</v>
      </c>
      <c r="O51" s="4">
        <f>IF(澳门新定位结果!O51&lt;=0,0,1)</f>
        <v>0</v>
      </c>
    </row>
    <row r="52" spans="1:15">
      <c r="A52" s="4" t="s">
        <v>123</v>
      </c>
      <c r="B52" s="4">
        <f>IF(澳门新定位结果!B52&lt;=0,0,1)</f>
        <v>1</v>
      </c>
      <c r="C52" s="4">
        <f>IF(澳门新定位结果!C52&lt;=0,0,1)</f>
        <v>1</v>
      </c>
      <c r="D52" s="4">
        <f>IF(澳门新定位结果!D52&lt;=0,0,1)</f>
        <v>0</v>
      </c>
      <c r="E52" s="4">
        <f>IF(澳门新定位结果!E52&lt;=0,0,1)</f>
        <v>1</v>
      </c>
      <c r="F52" s="4">
        <f>IF(澳门新定位结果!F52&lt;=0,0,1)</f>
        <v>1</v>
      </c>
      <c r="G52" s="4">
        <f>IF(澳门新定位结果!G52&lt;=0,0,1)</f>
        <v>0</v>
      </c>
      <c r="H52" s="4">
        <f>IF(澳门新定位结果!H52&lt;=0,0,1)</f>
        <v>0</v>
      </c>
      <c r="I52" s="4">
        <f>IF(澳门新定位结果!I52&lt;=0,0,1)</f>
        <v>1</v>
      </c>
      <c r="J52" s="4">
        <f>IF(澳门新定位结果!J52&lt;=0,0,1)</f>
        <v>0</v>
      </c>
      <c r="K52" s="4">
        <f>IF(澳门新定位结果!K52&lt;=0,0,1)</f>
        <v>0</v>
      </c>
      <c r="L52" s="4">
        <f>IF(澳门新定位结果!L52&lt;=0,0,1)</f>
        <v>0</v>
      </c>
      <c r="M52" s="4">
        <f>IF(澳门新定位结果!M52&lt;=0,0,1)</f>
        <v>1</v>
      </c>
      <c r="N52" s="4">
        <f>IF(澳门新定位结果!N52&lt;=0,0,1)</f>
        <v>0</v>
      </c>
      <c r="O52" s="4">
        <f>IF(澳门新定位结果!O52&lt;=0,0,1)</f>
        <v>1</v>
      </c>
    </row>
    <row r="53" spans="1:15">
      <c r="A53" s="4" t="s">
        <v>125</v>
      </c>
      <c r="B53" s="4">
        <f>IF(澳门新定位结果!B53&lt;=0,0,1)</f>
        <v>1</v>
      </c>
      <c r="C53" s="4">
        <f>IF(澳门新定位结果!C53&lt;=0,0,1)</f>
        <v>0</v>
      </c>
      <c r="D53" s="4">
        <f>IF(澳门新定位结果!D53&lt;=0,0,1)</f>
        <v>1</v>
      </c>
      <c r="E53" s="4">
        <f>IF(澳门新定位结果!E53&lt;=0,0,1)</f>
        <v>1</v>
      </c>
      <c r="F53" s="4">
        <f>IF(澳门新定位结果!F53&lt;=0,0,1)</f>
        <v>0</v>
      </c>
      <c r="G53" s="4">
        <f>IF(澳门新定位结果!G53&lt;=0,0,1)</f>
        <v>0</v>
      </c>
      <c r="H53" s="4">
        <f>IF(澳门新定位结果!H53&lt;=0,0,1)</f>
        <v>0</v>
      </c>
      <c r="I53" s="4">
        <f>IF(澳门新定位结果!I53&lt;=0,0,1)</f>
        <v>1</v>
      </c>
      <c r="J53" s="4">
        <f>IF(澳门新定位结果!J53&lt;=0,0,1)</f>
        <v>0</v>
      </c>
      <c r="K53" s="4">
        <f>IF(澳门新定位结果!K53&lt;=0,0,1)</f>
        <v>0</v>
      </c>
      <c r="L53" s="4">
        <f>IF(澳门新定位结果!L53&lt;=0,0,1)</f>
        <v>1</v>
      </c>
      <c r="M53" s="4">
        <f>IF(澳门新定位结果!M53&lt;=0,0,1)</f>
        <v>1</v>
      </c>
      <c r="N53" s="4">
        <f>IF(澳门新定位结果!N53&lt;=0,0,1)</f>
        <v>1</v>
      </c>
      <c r="O53" s="4">
        <f>IF(澳门新定位结果!O53&lt;=0,0,1)</f>
        <v>1</v>
      </c>
    </row>
    <row r="54" spans="1:15">
      <c r="A54" s="4" t="s">
        <v>127</v>
      </c>
      <c r="B54" s="4">
        <f>IF(澳门新定位结果!B54&lt;=0,0,1)</f>
        <v>1</v>
      </c>
      <c r="C54" s="4">
        <f>IF(澳门新定位结果!C54&lt;=0,0,1)</f>
        <v>1</v>
      </c>
      <c r="D54" s="4">
        <f>IF(澳门新定位结果!D54&lt;=0,0,1)</f>
        <v>0</v>
      </c>
      <c r="E54" s="4">
        <f>IF(澳门新定位结果!E54&lt;=0,0,1)</f>
        <v>1</v>
      </c>
      <c r="F54" s="4">
        <f>IF(澳门新定位结果!F54&lt;=0,0,1)</f>
        <v>0</v>
      </c>
      <c r="G54" s="4">
        <f>IF(澳门新定位结果!G54&lt;=0,0,1)</f>
        <v>1</v>
      </c>
      <c r="H54" s="4">
        <f>IF(澳门新定位结果!H54&lt;=0,0,1)</f>
        <v>1</v>
      </c>
      <c r="I54" s="4">
        <f>IF(澳门新定位结果!I54&lt;=0,0,1)</f>
        <v>1</v>
      </c>
      <c r="J54" s="4">
        <f>IF(澳门新定位结果!J54&lt;=0,0,1)</f>
        <v>0</v>
      </c>
      <c r="K54" s="4">
        <f>IF(澳门新定位结果!K54&lt;=0,0,1)</f>
        <v>1</v>
      </c>
      <c r="L54" s="4">
        <f>IF(澳门新定位结果!L54&lt;=0,0,1)</f>
        <v>1</v>
      </c>
      <c r="M54" s="4">
        <f>IF(澳门新定位结果!M54&lt;=0,0,1)</f>
        <v>0</v>
      </c>
      <c r="N54" s="4">
        <f>IF(澳门新定位结果!N54&lt;=0,0,1)</f>
        <v>0</v>
      </c>
      <c r="O54" s="4">
        <f>IF(澳门新定位结果!O54&lt;=0,0,1)</f>
        <v>1</v>
      </c>
    </row>
    <row r="55" spans="1:15">
      <c r="A55" s="4" t="s">
        <v>129</v>
      </c>
      <c r="B55" s="4">
        <f>IF(澳门新定位结果!B55&lt;=0,0,1)</f>
        <v>0</v>
      </c>
      <c r="C55" s="4">
        <f>IF(澳门新定位结果!C55&lt;=0,0,1)</f>
        <v>1</v>
      </c>
      <c r="D55" s="4">
        <f>IF(澳门新定位结果!D55&lt;=0,0,1)</f>
        <v>0</v>
      </c>
      <c r="E55" s="4">
        <f>IF(澳门新定位结果!E55&lt;=0,0,1)</f>
        <v>1</v>
      </c>
      <c r="F55" s="4">
        <f>IF(澳门新定位结果!F55&lt;=0,0,1)</f>
        <v>1</v>
      </c>
      <c r="G55" s="4">
        <f>IF(澳门新定位结果!G55&lt;=0,0,1)</f>
        <v>0</v>
      </c>
      <c r="H55" s="4">
        <f>IF(澳门新定位结果!H55&lt;=0,0,1)</f>
        <v>0</v>
      </c>
      <c r="I55" s="4">
        <f>IF(澳门新定位结果!I55&lt;=0,0,1)</f>
        <v>1</v>
      </c>
      <c r="J55" s="4">
        <f>IF(澳门新定位结果!J55&lt;=0,0,1)</f>
        <v>1</v>
      </c>
      <c r="K55" s="4">
        <f>IF(澳门新定位结果!K55&lt;=0,0,1)</f>
        <v>1</v>
      </c>
      <c r="L55" s="4">
        <f>IF(澳门新定位结果!L55&lt;=0,0,1)</f>
        <v>1</v>
      </c>
      <c r="M55" s="4">
        <f>IF(澳门新定位结果!M55&lt;=0,0,1)</f>
        <v>0</v>
      </c>
      <c r="N55" s="4">
        <f>IF(澳门新定位结果!N55&lt;=0,0,1)</f>
        <v>0</v>
      </c>
      <c r="O55" s="4">
        <f>IF(澳门新定位结果!O55&lt;=0,0,1)</f>
        <v>1</v>
      </c>
    </row>
    <row r="56" spans="1:15">
      <c r="A56" s="4" t="s">
        <v>131</v>
      </c>
      <c r="B56" s="4">
        <f>IF(澳门新定位结果!B56&lt;=0,0,1)</f>
        <v>0</v>
      </c>
      <c r="C56" s="4">
        <f>IF(澳门新定位结果!C56&lt;=0,0,1)</f>
        <v>0</v>
      </c>
      <c r="D56" s="4">
        <f>IF(澳门新定位结果!D56&lt;=0,0,1)</f>
        <v>1</v>
      </c>
      <c r="E56" s="4">
        <f>IF(澳门新定位结果!E56&lt;=0,0,1)</f>
        <v>0</v>
      </c>
      <c r="F56" s="4">
        <f>IF(澳门新定位结果!F56&lt;=0,0,1)</f>
        <v>1</v>
      </c>
      <c r="G56" s="4">
        <f>IF(澳门新定位结果!G56&lt;=0,0,1)</f>
        <v>1</v>
      </c>
      <c r="H56" s="4">
        <f>IF(澳门新定位结果!H56&lt;=0,0,1)</f>
        <v>1</v>
      </c>
      <c r="I56" s="4">
        <f>IF(澳门新定位结果!I56&lt;=0,0,1)</f>
        <v>1</v>
      </c>
      <c r="J56" s="4">
        <f>IF(澳门新定位结果!J56&lt;=0,0,1)</f>
        <v>1</v>
      </c>
      <c r="K56" s="4">
        <f>IF(澳门新定位结果!K56&lt;=0,0,1)</f>
        <v>1</v>
      </c>
      <c r="L56" s="4">
        <f>IF(澳门新定位结果!L56&lt;=0,0,1)</f>
        <v>1</v>
      </c>
      <c r="M56" s="4">
        <f>IF(澳门新定位结果!M56&lt;=0,0,1)</f>
        <v>1</v>
      </c>
      <c r="N56" s="4">
        <f>IF(澳门新定位结果!N56&lt;=0,0,1)</f>
        <v>1</v>
      </c>
      <c r="O56" s="4">
        <f>IF(澳门新定位结果!O56&lt;=0,0,1)</f>
        <v>1</v>
      </c>
    </row>
    <row r="57" spans="1:15">
      <c r="A57" s="4" t="s">
        <v>133</v>
      </c>
      <c r="B57" s="4">
        <f>IF(澳门新定位结果!B57&lt;=0,0,1)</f>
        <v>1</v>
      </c>
      <c r="C57" s="4">
        <f>IF(澳门新定位结果!C57&lt;=0,0,1)</f>
        <v>1</v>
      </c>
      <c r="D57" s="4">
        <f>IF(澳门新定位结果!D57&lt;=0,0,1)</f>
        <v>0</v>
      </c>
      <c r="E57" s="4">
        <f>IF(澳门新定位结果!E57&lt;=0,0,1)</f>
        <v>0</v>
      </c>
      <c r="F57" s="4">
        <f>IF(澳门新定位结果!F57&lt;=0,0,1)</f>
        <v>1</v>
      </c>
      <c r="G57" s="4">
        <f>IF(澳门新定位结果!G57&lt;=0,0,1)</f>
        <v>1</v>
      </c>
      <c r="H57" s="4">
        <f>IF(澳门新定位结果!H57&lt;=0,0,1)</f>
        <v>0</v>
      </c>
      <c r="I57" s="4">
        <f>IF(澳门新定位结果!I57&lt;=0,0,1)</f>
        <v>1</v>
      </c>
      <c r="J57" s="4">
        <f>IF(澳门新定位结果!J57&lt;=0,0,1)</f>
        <v>0</v>
      </c>
      <c r="K57" s="4">
        <f>IF(澳门新定位结果!K57&lt;=0,0,1)</f>
        <v>1</v>
      </c>
      <c r="L57" s="4">
        <f>IF(澳门新定位结果!L57&lt;=0,0,1)</f>
        <v>1</v>
      </c>
      <c r="M57" s="4">
        <f>IF(澳门新定位结果!M57&lt;=0,0,1)</f>
        <v>1</v>
      </c>
      <c r="N57" s="4">
        <f>IF(澳门新定位结果!N57&lt;=0,0,1)</f>
        <v>0</v>
      </c>
      <c r="O57" s="4">
        <f>IF(澳门新定位结果!O57&lt;=0,0,1)</f>
        <v>1</v>
      </c>
    </row>
    <row r="58" spans="1:15">
      <c r="A58" s="4" t="s">
        <v>135</v>
      </c>
      <c r="B58" s="4">
        <f>IF(澳门新定位结果!B58&lt;=0,0,1)</f>
        <v>0</v>
      </c>
      <c r="C58" s="4">
        <f>IF(澳门新定位结果!C58&lt;=0,0,1)</f>
        <v>1</v>
      </c>
      <c r="D58" s="4">
        <f>IF(澳门新定位结果!D58&lt;=0,0,1)</f>
        <v>0</v>
      </c>
      <c r="E58" s="4">
        <f>IF(澳门新定位结果!E58&lt;=0,0,1)</f>
        <v>1</v>
      </c>
      <c r="F58" s="4">
        <f>IF(澳门新定位结果!F58&lt;=0,0,1)</f>
        <v>1</v>
      </c>
      <c r="G58" s="4">
        <f>IF(澳门新定位结果!G58&lt;=0,0,1)</f>
        <v>0</v>
      </c>
      <c r="H58" s="4">
        <f>IF(澳门新定位结果!H58&lt;=0,0,1)</f>
        <v>1</v>
      </c>
      <c r="I58" s="4">
        <f>IF(澳门新定位结果!I58&lt;=0,0,1)</f>
        <v>1</v>
      </c>
      <c r="J58" s="4">
        <f>IF(澳门新定位结果!J58&lt;=0,0,1)</f>
        <v>0</v>
      </c>
      <c r="K58" s="4">
        <f>IF(澳门新定位结果!K58&lt;=0,0,1)</f>
        <v>1</v>
      </c>
      <c r="L58" s="4">
        <f>IF(澳门新定位结果!L58&lt;=0,0,1)</f>
        <v>0</v>
      </c>
      <c r="M58" s="4">
        <f>IF(澳门新定位结果!M58&lt;=0,0,1)</f>
        <v>1</v>
      </c>
      <c r="N58" s="4">
        <f>IF(澳门新定位结果!N58&lt;=0,0,1)</f>
        <v>1</v>
      </c>
      <c r="O58" s="4">
        <f>IF(澳门新定位结果!O58&lt;=0,0,1)</f>
        <v>1</v>
      </c>
    </row>
    <row r="59" spans="1:15">
      <c r="A59" s="4" t="s">
        <v>137</v>
      </c>
      <c r="B59" s="4">
        <f>IF(澳门新定位结果!B59&lt;=0,0,1)</f>
        <v>0</v>
      </c>
      <c r="C59" s="4">
        <f>IF(澳门新定位结果!C59&lt;=0,0,1)</f>
        <v>1</v>
      </c>
      <c r="D59" s="4">
        <f>IF(澳门新定位结果!D59&lt;=0,0,1)</f>
        <v>1</v>
      </c>
      <c r="E59" s="4">
        <f>IF(澳门新定位结果!E59&lt;=0,0,1)</f>
        <v>1</v>
      </c>
      <c r="F59" s="4">
        <f>IF(澳门新定位结果!F59&lt;=0,0,1)</f>
        <v>1</v>
      </c>
      <c r="G59" s="4">
        <f>IF(澳门新定位结果!G59&lt;=0,0,1)</f>
        <v>0</v>
      </c>
      <c r="H59" s="4">
        <f>IF(澳门新定位结果!H59&lt;=0,0,1)</f>
        <v>0</v>
      </c>
      <c r="I59" s="4">
        <f>IF(澳门新定位结果!I59&lt;=0,0,1)</f>
        <v>1</v>
      </c>
      <c r="J59" s="4">
        <f>IF(澳门新定位结果!J59&lt;=0,0,1)</f>
        <v>0</v>
      </c>
      <c r="K59" s="4">
        <f>IF(澳门新定位结果!K59&lt;=0,0,1)</f>
        <v>1</v>
      </c>
      <c r="L59" s="4">
        <f>IF(澳门新定位结果!L59&lt;=0,0,1)</f>
        <v>1</v>
      </c>
      <c r="M59" s="4">
        <f>IF(澳门新定位结果!M59&lt;=0,0,1)</f>
        <v>0</v>
      </c>
      <c r="N59" s="4">
        <f>IF(澳门新定位结果!N59&lt;=0,0,1)</f>
        <v>1</v>
      </c>
      <c r="O59" s="4">
        <f>IF(澳门新定位结果!O59&lt;=0,0,1)</f>
        <v>0</v>
      </c>
    </row>
    <row r="60" spans="1:15">
      <c r="A60" s="4" t="s">
        <v>139</v>
      </c>
      <c r="B60" s="4">
        <f>IF(澳门新定位结果!B60&lt;=0,0,1)</f>
        <v>1</v>
      </c>
      <c r="C60" s="4">
        <f>IF(澳门新定位结果!C60&lt;=0,0,1)</f>
        <v>1</v>
      </c>
      <c r="D60" s="4">
        <f>IF(澳门新定位结果!D60&lt;=0,0,1)</f>
        <v>0</v>
      </c>
      <c r="E60" s="4">
        <f>IF(澳门新定位结果!E60&lt;=0,0,1)</f>
        <v>0</v>
      </c>
      <c r="F60" s="4">
        <f>IF(澳门新定位结果!F60&lt;=0,0,1)</f>
        <v>1</v>
      </c>
      <c r="G60" s="4">
        <f>IF(澳门新定位结果!G60&lt;=0,0,1)</f>
        <v>1</v>
      </c>
      <c r="H60" s="4">
        <f>IF(澳门新定位结果!H60&lt;=0,0,1)</f>
        <v>0</v>
      </c>
      <c r="I60" s="4">
        <f>IF(澳门新定位结果!I60&lt;=0,0,1)</f>
        <v>1</v>
      </c>
      <c r="J60" s="4">
        <f>IF(澳门新定位结果!J60&lt;=0,0,1)</f>
        <v>1</v>
      </c>
      <c r="K60" s="4">
        <f>IF(澳门新定位结果!K60&lt;=0,0,1)</f>
        <v>1</v>
      </c>
      <c r="L60" s="4">
        <f>IF(澳门新定位结果!L60&lt;=0,0,1)</f>
        <v>1</v>
      </c>
      <c r="M60" s="4">
        <f>IF(澳门新定位结果!M60&lt;=0,0,1)</f>
        <v>1</v>
      </c>
      <c r="N60" s="4">
        <f>IF(澳门新定位结果!N60&lt;=0,0,1)</f>
        <v>1</v>
      </c>
      <c r="O60" s="4">
        <f>IF(澳门新定位结果!O60&lt;=0,0,1)</f>
        <v>1</v>
      </c>
    </row>
    <row r="61" spans="1:15">
      <c r="A61" s="4" t="s">
        <v>141</v>
      </c>
      <c r="B61" s="4">
        <f>IF(澳门新定位结果!B61&lt;=0,0,1)</f>
        <v>1</v>
      </c>
      <c r="C61" s="4">
        <f>IF(澳门新定位结果!C61&lt;=0,0,1)</f>
        <v>1</v>
      </c>
      <c r="D61" s="4">
        <f>IF(澳门新定位结果!D61&lt;=0,0,1)</f>
        <v>1</v>
      </c>
      <c r="E61" s="4">
        <f>IF(澳门新定位结果!E61&lt;=0,0,1)</f>
        <v>1</v>
      </c>
      <c r="F61" s="4">
        <f>IF(澳门新定位结果!F61&lt;=0,0,1)</f>
        <v>0</v>
      </c>
      <c r="G61" s="4">
        <f>IF(澳门新定位结果!G61&lt;=0,0,1)</f>
        <v>0</v>
      </c>
      <c r="H61" s="4">
        <f>IF(澳门新定位结果!H61&lt;=0,0,1)</f>
        <v>1</v>
      </c>
      <c r="I61" s="4">
        <f>IF(澳门新定位结果!I61&lt;=0,0,1)</f>
        <v>1</v>
      </c>
      <c r="J61" s="4">
        <f>IF(澳门新定位结果!J61&lt;=0,0,1)</f>
        <v>1</v>
      </c>
      <c r="K61" s="4">
        <f>IF(澳门新定位结果!K61&lt;=0,0,1)</f>
        <v>1</v>
      </c>
      <c r="L61" s="4">
        <f>IF(澳门新定位结果!L61&lt;=0,0,1)</f>
        <v>1</v>
      </c>
      <c r="M61" s="4">
        <f>IF(澳门新定位结果!M61&lt;=0,0,1)</f>
        <v>1</v>
      </c>
      <c r="N61" s="4">
        <f>IF(澳门新定位结果!N61&lt;=0,0,1)</f>
        <v>1</v>
      </c>
      <c r="O61" s="4">
        <f>IF(澳门新定位结果!O61&lt;=0,0,1)</f>
        <v>0</v>
      </c>
    </row>
    <row r="62" spans="1:15">
      <c r="A62" s="4" t="s">
        <v>143</v>
      </c>
      <c r="B62" s="4">
        <f>IF(澳门新定位结果!B62&lt;=0,0,1)</f>
        <v>1</v>
      </c>
      <c r="C62" s="4">
        <f>IF(澳门新定位结果!C62&lt;=0,0,1)</f>
        <v>1</v>
      </c>
      <c r="D62" s="4">
        <f>IF(澳门新定位结果!D62&lt;=0,0,1)</f>
        <v>0</v>
      </c>
      <c r="E62" s="4">
        <f>IF(澳门新定位结果!E62&lt;=0,0,1)</f>
        <v>0</v>
      </c>
      <c r="F62" s="4">
        <f>IF(澳门新定位结果!F62&lt;=0,0,1)</f>
        <v>1</v>
      </c>
      <c r="G62" s="4">
        <f>IF(澳门新定位结果!G62&lt;=0,0,1)</f>
        <v>1</v>
      </c>
      <c r="H62" s="4">
        <f>IF(澳门新定位结果!H62&lt;=0,0,1)</f>
        <v>0</v>
      </c>
      <c r="I62" s="4">
        <f>IF(澳门新定位结果!I62&lt;=0,0,1)</f>
        <v>1</v>
      </c>
      <c r="J62" s="4">
        <f>IF(澳门新定位结果!J62&lt;=0,0,1)</f>
        <v>1</v>
      </c>
      <c r="K62" s="4">
        <f>IF(澳门新定位结果!K62&lt;=0,0,1)</f>
        <v>1</v>
      </c>
      <c r="L62" s="4">
        <f>IF(澳门新定位结果!L62&lt;=0,0,1)</f>
        <v>1</v>
      </c>
      <c r="M62" s="4">
        <f>IF(澳门新定位结果!M62&lt;=0,0,1)</f>
        <v>0</v>
      </c>
      <c r="N62" s="4">
        <f>IF(澳门新定位结果!N62&lt;=0,0,1)</f>
        <v>0</v>
      </c>
      <c r="O62" s="4">
        <f>IF(澳门新定位结果!O62&lt;=0,0,1)</f>
        <v>1</v>
      </c>
    </row>
    <row r="63" spans="1:15">
      <c r="A63" s="4" t="s">
        <v>145</v>
      </c>
      <c r="B63" s="4">
        <f>IF(澳门新定位结果!B63&lt;=0,0,1)</f>
        <v>1</v>
      </c>
      <c r="C63" s="4">
        <f>IF(澳门新定位结果!C63&lt;=0,0,1)</f>
        <v>1</v>
      </c>
      <c r="D63" s="4">
        <f>IF(澳门新定位结果!D63&lt;=0,0,1)</f>
        <v>1</v>
      </c>
      <c r="E63" s="4">
        <f>IF(澳门新定位结果!E63&lt;=0,0,1)</f>
        <v>1</v>
      </c>
      <c r="F63" s="4">
        <f>IF(澳门新定位结果!F63&lt;=0,0,1)</f>
        <v>1</v>
      </c>
      <c r="G63" s="4">
        <f>IF(澳门新定位结果!G63&lt;=0,0,1)</f>
        <v>0</v>
      </c>
      <c r="H63" s="4">
        <f>IF(澳门新定位结果!H63&lt;=0,0,1)</f>
        <v>1</v>
      </c>
      <c r="I63" s="4">
        <f>IF(澳门新定位结果!I63&lt;=0,0,1)</f>
        <v>1</v>
      </c>
      <c r="J63" s="4">
        <f>IF(澳门新定位结果!J63&lt;=0,0,1)</f>
        <v>1</v>
      </c>
      <c r="K63" s="4">
        <f>IF(澳门新定位结果!K63&lt;=0,0,1)</f>
        <v>1</v>
      </c>
      <c r="L63" s="4">
        <f>IF(澳门新定位结果!L63&lt;=0,0,1)</f>
        <v>1</v>
      </c>
      <c r="M63" s="4">
        <f>IF(澳门新定位结果!M63&lt;=0,0,1)</f>
        <v>0</v>
      </c>
      <c r="N63" s="4">
        <f>IF(澳门新定位结果!N63&lt;=0,0,1)</f>
        <v>1</v>
      </c>
      <c r="O63" s="4">
        <f>IF(澳门新定位结果!O63&lt;=0,0,1)</f>
        <v>1</v>
      </c>
    </row>
    <row r="64" spans="1:15">
      <c r="A64" s="4" t="s">
        <v>147</v>
      </c>
      <c r="B64" s="4">
        <f>IF(澳门新定位结果!B64&lt;=0,0,1)</f>
        <v>0</v>
      </c>
      <c r="C64" s="4">
        <f>IF(澳门新定位结果!C64&lt;=0,0,1)</f>
        <v>0</v>
      </c>
      <c r="D64" s="4">
        <f>IF(澳门新定位结果!D64&lt;=0,0,1)</f>
        <v>1</v>
      </c>
      <c r="E64" s="4">
        <f>IF(澳门新定位结果!E64&lt;=0,0,1)</f>
        <v>1</v>
      </c>
      <c r="F64" s="4">
        <f>IF(澳门新定位结果!F64&lt;=0,0,1)</f>
        <v>1</v>
      </c>
      <c r="G64" s="4">
        <f>IF(澳门新定位结果!G64&lt;=0,0,1)</f>
        <v>0</v>
      </c>
      <c r="H64" s="4">
        <f>IF(澳门新定位结果!H64&lt;=0,0,1)</f>
        <v>1</v>
      </c>
      <c r="I64" s="4">
        <f>IF(澳门新定位结果!I64&lt;=0,0,1)</f>
        <v>1</v>
      </c>
      <c r="J64" s="4">
        <f>IF(澳门新定位结果!J64&lt;=0,0,1)</f>
        <v>0</v>
      </c>
      <c r="K64" s="4">
        <f>IF(澳门新定位结果!K64&lt;=0,0,1)</f>
        <v>1</v>
      </c>
      <c r="L64" s="4">
        <f>IF(澳门新定位结果!L64&lt;=0,0,1)</f>
        <v>0</v>
      </c>
      <c r="M64" s="4">
        <f>IF(澳门新定位结果!M64&lt;=0,0,1)</f>
        <v>0</v>
      </c>
      <c r="N64" s="4">
        <f>IF(澳门新定位结果!N64&lt;=0,0,1)</f>
        <v>1</v>
      </c>
      <c r="O64" s="4">
        <f>IF(澳门新定位结果!O64&lt;=0,0,1)</f>
        <v>1</v>
      </c>
    </row>
    <row r="65" spans="1:15">
      <c r="A65" s="4" t="s">
        <v>149</v>
      </c>
      <c r="B65" s="4">
        <f>IF(澳门新定位结果!B65&lt;=0,0,1)</f>
        <v>1</v>
      </c>
      <c r="C65" s="4">
        <f>IF(澳门新定位结果!C65&lt;=0,0,1)</f>
        <v>1</v>
      </c>
      <c r="D65" s="4">
        <f>IF(澳门新定位结果!D65&lt;=0,0,1)</f>
        <v>0</v>
      </c>
      <c r="E65" s="4">
        <f>IF(澳门新定位结果!E65&lt;=0,0,1)</f>
        <v>1</v>
      </c>
      <c r="F65" s="4">
        <f>IF(澳门新定位结果!F65&lt;=0,0,1)</f>
        <v>1</v>
      </c>
      <c r="G65" s="4">
        <f>IF(澳门新定位结果!G65&lt;=0,0,1)</f>
        <v>1</v>
      </c>
      <c r="H65" s="4">
        <f>IF(澳门新定位结果!H65&lt;=0,0,1)</f>
        <v>0</v>
      </c>
      <c r="I65" s="4">
        <f>IF(澳门新定位结果!I65&lt;=0,0,1)</f>
        <v>1</v>
      </c>
      <c r="J65" s="4">
        <f>IF(澳门新定位结果!J65&lt;=0,0,1)</f>
        <v>1</v>
      </c>
      <c r="K65" s="4">
        <f>IF(澳门新定位结果!K65&lt;=0,0,1)</f>
        <v>1</v>
      </c>
      <c r="L65" s="4">
        <f>IF(澳门新定位结果!L65&lt;=0,0,1)</f>
        <v>1</v>
      </c>
      <c r="M65" s="4">
        <f>IF(澳门新定位结果!M65&lt;=0,0,1)</f>
        <v>1</v>
      </c>
      <c r="N65" s="4">
        <f>IF(澳门新定位结果!N65&lt;=0,0,1)</f>
        <v>1</v>
      </c>
      <c r="O65" s="4">
        <f>IF(澳门新定位结果!O65&lt;=0,0,1)</f>
        <v>0</v>
      </c>
    </row>
    <row r="66" spans="1:15">
      <c r="A66" s="4" t="s">
        <v>151</v>
      </c>
      <c r="B66" s="4">
        <f>IF(澳门新定位结果!B66&lt;=0,0,1)</f>
        <v>0</v>
      </c>
      <c r="C66" s="4">
        <f>IF(澳门新定位结果!C66&lt;=0,0,1)</f>
        <v>1</v>
      </c>
      <c r="D66" s="4">
        <f>IF(澳门新定位结果!D66&lt;=0,0,1)</f>
        <v>0</v>
      </c>
      <c r="E66" s="4">
        <f>IF(澳门新定位结果!E66&lt;=0,0,1)</f>
        <v>1</v>
      </c>
      <c r="F66" s="4">
        <f>IF(澳门新定位结果!F66&lt;=0,0,1)</f>
        <v>0</v>
      </c>
      <c r="G66" s="4">
        <f>IF(澳门新定位结果!G66&lt;=0,0,1)</f>
        <v>0</v>
      </c>
      <c r="H66" s="4">
        <f>IF(澳门新定位结果!H66&lt;=0,0,1)</f>
        <v>0</v>
      </c>
      <c r="I66" s="4">
        <f>IF(澳门新定位结果!I66&lt;=0,0,1)</f>
        <v>1</v>
      </c>
      <c r="J66" s="4">
        <f>IF(澳门新定位结果!J66&lt;=0,0,1)</f>
        <v>0</v>
      </c>
      <c r="K66" s="4">
        <f>IF(澳门新定位结果!K66&lt;=0,0,1)</f>
        <v>1</v>
      </c>
      <c r="L66" s="4">
        <f>IF(澳门新定位结果!L66&lt;=0,0,1)</f>
        <v>1</v>
      </c>
      <c r="M66" s="4">
        <f>IF(澳门新定位结果!M66&lt;=0,0,1)</f>
        <v>0</v>
      </c>
      <c r="N66" s="4">
        <f>IF(澳门新定位结果!N66&lt;=0,0,1)</f>
        <v>0</v>
      </c>
      <c r="O66" s="4">
        <f>IF(澳门新定位结果!O66&lt;=0,0,1)</f>
        <v>0</v>
      </c>
    </row>
    <row r="67" spans="1:15">
      <c r="A67" s="4" t="s">
        <v>153</v>
      </c>
      <c r="B67" s="4">
        <f>IF(澳门新定位结果!B67&lt;=0,0,1)</f>
        <v>0</v>
      </c>
      <c r="C67" s="4">
        <f>IF(澳门新定位结果!C67&lt;=0,0,1)</f>
        <v>1</v>
      </c>
      <c r="D67" s="4">
        <f>IF(澳门新定位结果!D67&lt;=0,0,1)</f>
        <v>0</v>
      </c>
      <c r="E67" s="4">
        <f>IF(澳门新定位结果!E67&lt;=0,0,1)</f>
        <v>0</v>
      </c>
      <c r="F67" s="4">
        <f>IF(澳门新定位结果!F67&lt;=0,0,1)</f>
        <v>0</v>
      </c>
      <c r="G67" s="4">
        <f>IF(澳门新定位结果!G67&lt;=0,0,1)</f>
        <v>0</v>
      </c>
      <c r="H67" s="4">
        <f>IF(澳门新定位结果!H67&lt;=0,0,1)</f>
        <v>1</v>
      </c>
      <c r="I67" s="4">
        <f>IF(澳门新定位结果!I67&lt;=0,0,1)</f>
        <v>1</v>
      </c>
      <c r="J67" s="4">
        <f>IF(澳门新定位结果!J67&lt;=0,0,1)</f>
        <v>0</v>
      </c>
      <c r="K67" s="4">
        <f>IF(澳门新定位结果!K67&lt;=0,0,1)</f>
        <v>0</v>
      </c>
      <c r="L67" s="4">
        <f>IF(澳门新定位结果!L67&lt;=0,0,1)</f>
        <v>1</v>
      </c>
      <c r="M67" s="4">
        <f>IF(澳门新定位结果!M67&lt;=0,0,1)</f>
        <v>0</v>
      </c>
      <c r="N67" s="4">
        <f>IF(澳门新定位结果!N67&lt;=0,0,1)</f>
        <v>1</v>
      </c>
      <c r="O67" s="4">
        <f>IF(澳门新定位结果!O67&lt;=0,0,1)</f>
        <v>1</v>
      </c>
    </row>
    <row r="68" spans="1:15">
      <c r="A68" s="4" t="s">
        <v>155</v>
      </c>
      <c r="B68" s="4">
        <f>IF(澳门新定位结果!B68&lt;=0,0,1)</f>
        <v>1</v>
      </c>
      <c r="C68" s="4">
        <f>IF(澳门新定位结果!C68&lt;=0,0,1)</f>
        <v>0</v>
      </c>
      <c r="D68" s="4">
        <f>IF(澳门新定位结果!D68&lt;=0,0,1)</f>
        <v>1</v>
      </c>
      <c r="E68" s="4">
        <f>IF(澳门新定位结果!E68&lt;=0,0,1)</f>
        <v>1</v>
      </c>
      <c r="F68" s="4">
        <f>IF(澳门新定位结果!F68&lt;=0,0,1)</f>
        <v>1</v>
      </c>
      <c r="G68" s="4">
        <f>IF(澳门新定位结果!G68&lt;=0,0,1)</f>
        <v>0</v>
      </c>
      <c r="H68" s="4">
        <f>IF(澳门新定位结果!H68&lt;=0,0,1)</f>
        <v>1</v>
      </c>
      <c r="I68" s="4">
        <f>IF(澳门新定位结果!I68&lt;=0,0,1)</f>
        <v>0</v>
      </c>
      <c r="J68" s="4">
        <f>IF(澳门新定位结果!J68&lt;=0,0,1)</f>
        <v>1</v>
      </c>
      <c r="K68" s="4">
        <f>IF(澳门新定位结果!K68&lt;=0,0,1)</f>
        <v>1</v>
      </c>
      <c r="L68" s="4">
        <f>IF(澳门新定位结果!L68&lt;=0,0,1)</f>
        <v>0</v>
      </c>
      <c r="M68" s="4">
        <f>IF(澳门新定位结果!M68&lt;=0,0,1)</f>
        <v>0</v>
      </c>
      <c r="N68" s="4">
        <f>IF(澳门新定位结果!N68&lt;=0,0,1)</f>
        <v>1</v>
      </c>
      <c r="O68" s="4">
        <f>IF(澳门新定位结果!O68&lt;=0,0,1)</f>
        <v>1</v>
      </c>
    </row>
    <row r="69" spans="1:15">
      <c r="A69" s="4" t="s">
        <v>157</v>
      </c>
      <c r="B69" s="4">
        <f>IF(澳门新定位结果!B69&lt;=0,0,1)</f>
        <v>0</v>
      </c>
      <c r="C69" s="4">
        <f>IF(澳门新定位结果!C69&lt;=0,0,1)</f>
        <v>1</v>
      </c>
      <c r="D69" s="4">
        <f>IF(澳门新定位结果!D69&lt;=0,0,1)</f>
        <v>1</v>
      </c>
      <c r="E69" s="4">
        <f>IF(澳门新定位结果!E69&lt;=0,0,1)</f>
        <v>0</v>
      </c>
      <c r="F69" s="4">
        <f>IF(澳门新定位结果!F69&lt;=0,0,1)</f>
        <v>0</v>
      </c>
      <c r="G69" s="4">
        <f>IF(澳门新定位结果!G69&lt;=0,0,1)</f>
        <v>0</v>
      </c>
      <c r="H69" s="4">
        <f>IF(澳门新定位结果!H69&lt;=0,0,1)</f>
        <v>1</v>
      </c>
      <c r="I69" s="4">
        <f>IF(澳门新定位结果!I69&lt;=0,0,1)</f>
        <v>1</v>
      </c>
      <c r="J69" s="4">
        <f>IF(澳门新定位结果!J69&lt;=0,0,1)</f>
        <v>0</v>
      </c>
      <c r="K69" s="4">
        <f>IF(澳门新定位结果!K69&lt;=0,0,1)</f>
        <v>0</v>
      </c>
      <c r="L69" s="4">
        <f>IF(澳门新定位结果!L69&lt;=0,0,1)</f>
        <v>1</v>
      </c>
      <c r="M69" s="4">
        <f>IF(澳门新定位结果!M69&lt;=0,0,1)</f>
        <v>0</v>
      </c>
      <c r="N69" s="4">
        <f>IF(澳门新定位结果!N69&lt;=0,0,1)</f>
        <v>0</v>
      </c>
      <c r="O69" s="4">
        <f>IF(澳门新定位结果!O69&lt;=0,0,1)</f>
        <v>1</v>
      </c>
    </row>
    <row r="70" spans="1:15">
      <c r="A70" s="4" t="s">
        <v>159</v>
      </c>
      <c r="B70" s="4">
        <f>IF(澳门新定位结果!B70&lt;=0,0,1)</f>
        <v>1</v>
      </c>
      <c r="C70" s="4">
        <f>IF(澳门新定位结果!C70&lt;=0,0,1)</f>
        <v>0</v>
      </c>
      <c r="D70" s="4">
        <f>IF(澳门新定位结果!D70&lt;=0,0,1)</f>
        <v>0</v>
      </c>
      <c r="E70" s="4">
        <f>IF(澳门新定位结果!E70&lt;=0,0,1)</f>
        <v>1</v>
      </c>
      <c r="F70" s="4">
        <f>IF(澳门新定位结果!F70&lt;=0,0,1)</f>
        <v>1</v>
      </c>
      <c r="G70" s="4">
        <f>IF(澳门新定位结果!G70&lt;=0,0,1)</f>
        <v>1</v>
      </c>
      <c r="H70" s="4">
        <f>IF(澳门新定位结果!H70&lt;=0,0,1)</f>
        <v>1</v>
      </c>
      <c r="I70" s="4">
        <f>IF(澳门新定位结果!I70&lt;=0,0,1)</f>
        <v>1</v>
      </c>
      <c r="J70" s="4">
        <f>IF(澳门新定位结果!J70&lt;=0,0,1)</f>
        <v>1</v>
      </c>
      <c r="K70" s="4">
        <f>IF(澳门新定位结果!K70&lt;=0,0,1)</f>
        <v>0</v>
      </c>
      <c r="L70" s="4">
        <f>IF(澳门新定位结果!L70&lt;=0,0,1)</f>
        <v>0</v>
      </c>
      <c r="M70" s="4">
        <f>IF(澳门新定位结果!M70&lt;=0,0,1)</f>
        <v>1</v>
      </c>
      <c r="N70" s="4">
        <f>IF(澳门新定位结果!N70&lt;=0,0,1)</f>
        <v>0</v>
      </c>
      <c r="O70" s="4">
        <f>IF(澳门新定位结果!O70&lt;=0,0,1)</f>
        <v>1</v>
      </c>
    </row>
    <row r="71" spans="1:15">
      <c r="A71" s="4" t="s">
        <v>161</v>
      </c>
      <c r="B71" s="4">
        <f>IF(澳门新定位结果!B71&lt;=0,0,1)</f>
        <v>0</v>
      </c>
      <c r="C71" s="4">
        <f>IF(澳门新定位结果!C71&lt;=0,0,1)</f>
        <v>0</v>
      </c>
      <c r="D71" s="4">
        <f>IF(澳门新定位结果!D71&lt;=0,0,1)</f>
        <v>1</v>
      </c>
      <c r="E71" s="4">
        <f>IF(澳门新定位结果!E71&lt;=0,0,1)</f>
        <v>1</v>
      </c>
      <c r="F71" s="4">
        <f>IF(澳门新定位结果!F71&lt;=0,0,1)</f>
        <v>0</v>
      </c>
      <c r="G71" s="4">
        <f>IF(澳门新定位结果!G71&lt;=0,0,1)</f>
        <v>0</v>
      </c>
      <c r="H71" s="4">
        <f>IF(澳门新定位结果!H71&lt;=0,0,1)</f>
        <v>0</v>
      </c>
      <c r="I71" s="4">
        <f>IF(澳门新定位结果!I71&lt;=0,0,1)</f>
        <v>1</v>
      </c>
      <c r="J71" s="4">
        <f>IF(澳门新定位结果!J71&lt;=0,0,1)</f>
        <v>0</v>
      </c>
      <c r="K71" s="4">
        <f>IF(澳门新定位结果!K71&lt;=0,0,1)</f>
        <v>1</v>
      </c>
      <c r="L71" s="4">
        <f>IF(澳门新定位结果!L71&lt;=0,0,1)</f>
        <v>0</v>
      </c>
      <c r="M71" s="4">
        <f>IF(澳门新定位结果!M71&lt;=0,0,1)</f>
        <v>0</v>
      </c>
      <c r="N71" s="4">
        <f>IF(澳门新定位结果!N71&lt;=0,0,1)</f>
        <v>0</v>
      </c>
      <c r="O71" s="4">
        <f>IF(澳门新定位结果!O71&lt;=0,0,1)</f>
        <v>0</v>
      </c>
    </row>
    <row r="72" spans="1:15">
      <c r="A72" s="4" t="s">
        <v>163</v>
      </c>
      <c r="B72" s="4">
        <f>IF(澳门新定位结果!B72&lt;=0,0,1)</f>
        <v>1</v>
      </c>
      <c r="C72" s="4">
        <f>IF(澳门新定位结果!C72&lt;=0,0,1)</f>
        <v>1</v>
      </c>
      <c r="D72" s="4">
        <f>IF(澳门新定位结果!D72&lt;=0,0,1)</f>
        <v>0</v>
      </c>
      <c r="E72" s="4">
        <f>IF(澳门新定位结果!E72&lt;=0,0,1)</f>
        <v>0</v>
      </c>
      <c r="F72" s="4">
        <f>IF(澳门新定位结果!F72&lt;=0,0,1)</f>
        <v>1</v>
      </c>
      <c r="G72" s="4">
        <f>IF(澳门新定位结果!G72&lt;=0,0,1)</f>
        <v>1</v>
      </c>
      <c r="H72" s="4">
        <f>IF(澳门新定位结果!H72&lt;=0,0,1)</f>
        <v>1</v>
      </c>
      <c r="I72" s="4">
        <f>IF(澳门新定位结果!I72&lt;=0,0,1)</f>
        <v>1</v>
      </c>
      <c r="J72" s="4">
        <f>IF(澳门新定位结果!J72&lt;=0,0,1)</f>
        <v>1</v>
      </c>
      <c r="K72" s="4">
        <f>IF(澳门新定位结果!K72&lt;=0,0,1)</f>
        <v>0</v>
      </c>
      <c r="L72" s="4">
        <f>IF(澳门新定位结果!L72&lt;=0,0,1)</f>
        <v>1</v>
      </c>
      <c r="M72" s="4">
        <f>IF(澳门新定位结果!M72&lt;=0,0,1)</f>
        <v>0</v>
      </c>
      <c r="N72" s="4">
        <f>IF(澳门新定位结果!N72&lt;=0,0,1)</f>
        <v>0</v>
      </c>
      <c r="O72" s="4">
        <f>IF(澳门新定位结果!O72&lt;=0,0,1)</f>
        <v>1</v>
      </c>
    </row>
    <row r="73" spans="1:15">
      <c r="A73" s="4" t="s">
        <v>165</v>
      </c>
      <c r="B73" s="4">
        <f>IF(澳门新定位结果!B73&lt;=0,0,1)</f>
        <v>1</v>
      </c>
      <c r="C73" s="4">
        <f>IF(澳门新定位结果!C73&lt;=0,0,1)</f>
        <v>1</v>
      </c>
      <c r="D73" s="4">
        <f>IF(澳门新定位结果!D73&lt;=0,0,1)</f>
        <v>0</v>
      </c>
      <c r="E73" s="4">
        <f>IF(澳门新定位结果!E73&lt;=0,0,1)</f>
        <v>0</v>
      </c>
      <c r="F73" s="4">
        <f>IF(澳门新定位结果!F73&lt;=0,0,1)</f>
        <v>1</v>
      </c>
      <c r="G73" s="4">
        <f>IF(澳门新定位结果!G73&lt;=0,0,1)</f>
        <v>0</v>
      </c>
      <c r="H73" s="4">
        <f>IF(澳门新定位结果!H73&lt;=0,0,1)</f>
        <v>1</v>
      </c>
      <c r="I73" s="4">
        <f>IF(澳门新定位结果!I73&lt;=0,0,1)</f>
        <v>0</v>
      </c>
      <c r="J73" s="4">
        <f>IF(澳门新定位结果!J73&lt;=0,0,1)</f>
        <v>1</v>
      </c>
      <c r="K73" s="4">
        <f>IF(澳门新定位结果!K73&lt;=0,0,1)</f>
        <v>0</v>
      </c>
      <c r="L73" s="4">
        <f>IF(澳门新定位结果!L73&lt;=0,0,1)</f>
        <v>1</v>
      </c>
      <c r="M73" s="4">
        <f>IF(澳门新定位结果!M73&lt;=0,0,1)</f>
        <v>1</v>
      </c>
      <c r="N73" s="4">
        <f>IF(澳门新定位结果!N73&lt;=0,0,1)</f>
        <v>1</v>
      </c>
      <c r="O73" s="4">
        <f>IF(澳门新定位结果!O73&lt;=0,0,1)</f>
        <v>0</v>
      </c>
    </row>
    <row r="74" spans="1:15">
      <c r="A74" s="4" t="s">
        <v>167</v>
      </c>
      <c r="B74" s="4">
        <f>IF(澳门新定位结果!B74&lt;=0,0,1)</f>
        <v>0</v>
      </c>
      <c r="C74" s="4">
        <f>IF(澳门新定位结果!C74&lt;=0,0,1)</f>
        <v>1</v>
      </c>
      <c r="D74" s="4">
        <f>IF(澳门新定位结果!D74&lt;=0,0,1)</f>
        <v>0</v>
      </c>
      <c r="E74" s="4">
        <f>IF(澳门新定位结果!E74&lt;=0,0,1)</f>
        <v>1</v>
      </c>
      <c r="F74" s="4">
        <f>IF(澳门新定位结果!F74&lt;=0,0,1)</f>
        <v>0</v>
      </c>
      <c r="G74" s="4">
        <f>IF(澳门新定位结果!G74&lt;=0,0,1)</f>
        <v>1</v>
      </c>
      <c r="H74" s="4">
        <f>IF(澳门新定位结果!H74&lt;=0,0,1)</f>
        <v>0</v>
      </c>
      <c r="I74" s="4">
        <f>IF(澳门新定位结果!I74&lt;=0,0,1)</f>
        <v>1</v>
      </c>
      <c r="J74" s="4">
        <f>IF(澳门新定位结果!J74&lt;=0,0,1)</f>
        <v>0</v>
      </c>
      <c r="K74" s="4">
        <f>IF(澳门新定位结果!K74&lt;=0,0,1)</f>
        <v>0</v>
      </c>
      <c r="L74" s="4">
        <f>IF(澳门新定位结果!L74&lt;=0,0,1)</f>
        <v>0</v>
      </c>
      <c r="M74" s="4">
        <f>IF(澳门新定位结果!M74&lt;=0,0,1)</f>
        <v>0</v>
      </c>
      <c r="N74" s="4">
        <f>IF(澳门新定位结果!N74&lt;=0,0,1)</f>
        <v>0</v>
      </c>
      <c r="O74" s="4">
        <f>IF(澳门新定位结果!O74&lt;=0,0,1)</f>
        <v>1</v>
      </c>
    </row>
    <row r="75" spans="1:15">
      <c r="A75" s="4" t="s">
        <v>169</v>
      </c>
      <c r="B75" s="4">
        <f>IF(澳门新定位结果!B75&lt;=0,0,1)</f>
        <v>1</v>
      </c>
      <c r="C75" s="4">
        <f>IF(澳门新定位结果!C75&lt;=0,0,1)</f>
        <v>1</v>
      </c>
      <c r="D75" s="4">
        <f>IF(澳门新定位结果!D75&lt;=0,0,1)</f>
        <v>0</v>
      </c>
      <c r="E75" s="4">
        <f>IF(澳门新定位结果!E75&lt;=0,0,1)</f>
        <v>0</v>
      </c>
      <c r="F75" s="4">
        <f>IF(澳门新定位结果!F75&lt;=0,0,1)</f>
        <v>1</v>
      </c>
      <c r="G75" s="4">
        <f>IF(澳门新定位结果!G75&lt;=0,0,1)</f>
        <v>1</v>
      </c>
      <c r="H75" s="4">
        <f>IF(澳门新定位结果!H75&lt;=0,0,1)</f>
        <v>0</v>
      </c>
      <c r="I75" s="4">
        <f>IF(澳门新定位结果!I75&lt;=0,0,1)</f>
        <v>1</v>
      </c>
      <c r="J75" s="4">
        <f>IF(澳门新定位结果!J75&lt;=0,0,1)</f>
        <v>0</v>
      </c>
      <c r="K75" s="4">
        <f>IF(澳门新定位结果!K75&lt;=0,0,1)</f>
        <v>1</v>
      </c>
      <c r="L75" s="4">
        <f>IF(澳门新定位结果!L75&lt;=0,0,1)</f>
        <v>1</v>
      </c>
      <c r="M75" s="4">
        <f>IF(澳门新定位结果!M75&lt;=0,0,1)</f>
        <v>1</v>
      </c>
      <c r="N75" s="4">
        <f>IF(澳门新定位结果!N75&lt;=0,0,1)</f>
        <v>1</v>
      </c>
      <c r="O75" s="4">
        <f>IF(澳门新定位结果!O75&lt;=0,0,1)</f>
        <v>1</v>
      </c>
    </row>
    <row r="76" spans="1:15">
      <c r="A76" s="4" t="s">
        <v>171</v>
      </c>
      <c r="B76" s="4">
        <f>IF(澳门新定位结果!B76&lt;=0,0,1)</f>
        <v>0</v>
      </c>
      <c r="C76" s="4">
        <f>IF(澳门新定位结果!C76&lt;=0,0,1)</f>
        <v>1</v>
      </c>
      <c r="D76" s="4">
        <f>IF(澳门新定位结果!D76&lt;=0,0,1)</f>
        <v>0</v>
      </c>
      <c r="E76" s="4">
        <f>IF(澳门新定位结果!E76&lt;=0,0,1)</f>
        <v>1</v>
      </c>
      <c r="F76" s="4">
        <f>IF(澳门新定位结果!F76&lt;=0,0,1)</f>
        <v>0</v>
      </c>
      <c r="G76" s="4">
        <f>IF(澳门新定位结果!G76&lt;=0,0,1)</f>
        <v>0</v>
      </c>
      <c r="H76" s="4">
        <f>IF(澳门新定位结果!H76&lt;=0,0,1)</f>
        <v>0</v>
      </c>
      <c r="I76" s="4">
        <f>IF(澳门新定位结果!I76&lt;=0,0,1)</f>
        <v>1</v>
      </c>
      <c r="J76" s="4">
        <f>IF(澳门新定位结果!J76&lt;=0,0,1)</f>
        <v>0</v>
      </c>
      <c r="K76" s="4">
        <f>IF(澳门新定位结果!K76&lt;=0,0,1)</f>
        <v>1</v>
      </c>
      <c r="L76" s="4">
        <f>IF(澳门新定位结果!L76&lt;=0,0,1)</f>
        <v>0</v>
      </c>
      <c r="M76" s="4">
        <f>IF(澳门新定位结果!M76&lt;=0,0,1)</f>
        <v>0</v>
      </c>
      <c r="N76" s="4">
        <f>IF(澳门新定位结果!N76&lt;=0,0,1)</f>
        <v>0</v>
      </c>
      <c r="O76" s="4">
        <f>IF(澳门新定位结果!O76&lt;=0,0,1)</f>
        <v>0</v>
      </c>
    </row>
    <row r="77" spans="1:15">
      <c r="A77" s="4" t="s">
        <v>173</v>
      </c>
      <c r="B77" s="4">
        <f>IF(澳门新定位结果!B77&lt;=0,0,1)</f>
        <v>0</v>
      </c>
      <c r="C77" s="4">
        <f>IF(澳门新定位结果!C77&lt;=0,0,1)</f>
        <v>0</v>
      </c>
      <c r="D77" s="4">
        <f>IF(澳门新定位结果!D77&lt;=0,0,1)</f>
        <v>0</v>
      </c>
      <c r="E77" s="4">
        <f>IF(澳门新定位结果!E77&lt;=0,0,1)</f>
        <v>1</v>
      </c>
      <c r="F77" s="4">
        <f>IF(澳门新定位结果!F77&lt;=0,0,1)</f>
        <v>1</v>
      </c>
      <c r="G77" s="4">
        <f>IF(澳门新定位结果!G77&lt;=0,0,1)</f>
        <v>0</v>
      </c>
      <c r="H77" s="4">
        <f>IF(澳门新定位结果!H77&lt;=0,0,1)</f>
        <v>0</v>
      </c>
      <c r="I77" s="4">
        <f>IF(澳门新定位结果!I77&lt;=0,0,1)</f>
        <v>0</v>
      </c>
      <c r="J77" s="4">
        <f>IF(澳门新定位结果!J77&lt;=0,0,1)</f>
        <v>1</v>
      </c>
      <c r="K77" s="4">
        <f>IF(澳门新定位结果!K77&lt;=0,0,1)</f>
        <v>1</v>
      </c>
      <c r="L77" s="4">
        <f>IF(澳门新定位结果!L77&lt;=0,0,1)</f>
        <v>0</v>
      </c>
      <c r="M77" s="4">
        <f>IF(澳门新定位结果!M77&lt;=0,0,1)</f>
        <v>0</v>
      </c>
      <c r="N77" s="4">
        <f>IF(澳门新定位结果!N77&lt;=0,0,1)</f>
        <v>0</v>
      </c>
      <c r="O77" s="4">
        <f>IF(澳门新定位结果!O77&lt;=0,0,1)</f>
        <v>1</v>
      </c>
    </row>
    <row r="78" spans="1:15">
      <c r="A78" s="4" t="s">
        <v>175</v>
      </c>
      <c r="B78" s="4">
        <f>IF(澳门新定位结果!B78&lt;=0,0,1)</f>
        <v>1</v>
      </c>
      <c r="C78" s="4">
        <f>IF(澳门新定位结果!C78&lt;=0,0,1)</f>
        <v>1</v>
      </c>
      <c r="D78" s="4">
        <f>IF(澳门新定位结果!D78&lt;=0,0,1)</f>
        <v>1</v>
      </c>
      <c r="E78" s="4">
        <f>IF(澳门新定位结果!E78&lt;=0,0,1)</f>
        <v>0</v>
      </c>
      <c r="F78" s="4">
        <f>IF(澳门新定位结果!F78&lt;=0,0,1)</f>
        <v>0</v>
      </c>
      <c r="G78" s="4">
        <f>IF(澳门新定位结果!G78&lt;=0,0,1)</f>
        <v>0</v>
      </c>
      <c r="H78" s="4">
        <f>IF(澳门新定位结果!H78&lt;=0,0,1)</f>
        <v>0</v>
      </c>
      <c r="I78" s="4">
        <f>IF(澳门新定位结果!I78&lt;=0,0,1)</f>
        <v>1</v>
      </c>
      <c r="J78" s="4">
        <f>IF(澳门新定位结果!J78&lt;=0,0,1)</f>
        <v>1</v>
      </c>
      <c r="K78" s="4">
        <f>IF(澳门新定位结果!K78&lt;=0,0,1)</f>
        <v>1</v>
      </c>
      <c r="L78" s="4">
        <f>IF(澳门新定位结果!L78&lt;=0,0,1)</f>
        <v>0</v>
      </c>
      <c r="M78" s="4">
        <f>IF(澳门新定位结果!M78&lt;=0,0,1)</f>
        <v>1</v>
      </c>
      <c r="N78" s="4">
        <f>IF(澳门新定位结果!N78&lt;=0,0,1)</f>
        <v>0</v>
      </c>
      <c r="O78" s="4">
        <f>IF(澳门新定位结果!O78&lt;=0,0,1)</f>
        <v>1</v>
      </c>
    </row>
    <row r="79" spans="1:15">
      <c r="A79" s="4" t="s">
        <v>177</v>
      </c>
      <c r="B79" s="4">
        <f>IF(澳门新定位结果!B79&lt;=0,0,1)</f>
        <v>0</v>
      </c>
      <c r="C79" s="4">
        <f>IF(澳门新定位结果!C79&lt;=0,0,1)</f>
        <v>1</v>
      </c>
      <c r="D79" s="4">
        <f>IF(澳门新定位结果!D79&lt;=0,0,1)</f>
        <v>0</v>
      </c>
      <c r="E79" s="4">
        <f>IF(澳门新定位结果!E79&lt;=0,0,1)</f>
        <v>1</v>
      </c>
      <c r="F79" s="4">
        <f>IF(澳门新定位结果!F79&lt;=0,0,1)</f>
        <v>0</v>
      </c>
      <c r="G79" s="4">
        <f>IF(澳门新定位结果!G79&lt;=0,0,1)</f>
        <v>0</v>
      </c>
      <c r="H79" s="4">
        <f>IF(澳门新定位结果!H79&lt;=0,0,1)</f>
        <v>0</v>
      </c>
      <c r="I79" s="4">
        <f>IF(澳门新定位结果!I79&lt;=0,0,1)</f>
        <v>0</v>
      </c>
      <c r="J79" s="4">
        <f>IF(澳门新定位结果!J79&lt;=0,0,1)</f>
        <v>0</v>
      </c>
      <c r="K79" s="4">
        <f>IF(澳门新定位结果!K79&lt;=0,0,1)</f>
        <v>1</v>
      </c>
      <c r="L79" s="4">
        <f>IF(澳门新定位结果!L79&lt;=0,0,1)</f>
        <v>1</v>
      </c>
      <c r="M79" s="4">
        <f>IF(澳门新定位结果!M79&lt;=0,0,1)</f>
        <v>0</v>
      </c>
      <c r="N79" s="4">
        <f>IF(澳门新定位结果!N79&lt;=0,0,1)</f>
        <v>1</v>
      </c>
      <c r="O79" s="4">
        <f>IF(澳门新定位结果!O79&lt;=0,0,1)</f>
        <v>1</v>
      </c>
    </row>
    <row r="80" spans="1:15">
      <c r="A80" s="4" t="s">
        <v>179</v>
      </c>
      <c r="B80" s="4">
        <f>IF(澳门新定位结果!B80&lt;=0,0,1)</f>
        <v>1</v>
      </c>
      <c r="C80" s="4">
        <f>IF(澳门新定位结果!C80&lt;=0,0,1)</f>
        <v>1</v>
      </c>
      <c r="D80" s="4">
        <f>IF(澳门新定位结果!D80&lt;=0,0,1)</f>
        <v>1</v>
      </c>
      <c r="E80" s="4">
        <f>IF(澳门新定位结果!E80&lt;=0,0,1)</f>
        <v>1</v>
      </c>
      <c r="F80" s="4">
        <f>IF(澳门新定位结果!F80&lt;=0,0,1)</f>
        <v>0</v>
      </c>
      <c r="G80" s="4">
        <f>IF(澳门新定位结果!G80&lt;=0,0,1)</f>
        <v>1</v>
      </c>
      <c r="H80" s="4">
        <f>IF(澳门新定位结果!H80&lt;=0,0,1)</f>
        <v>0</v>
      </c>
      <c r="I80" s="4">
        <f>IF(澳门新定位结果!I80&lt;=0,0,1)</f>
        <v>1</v>
      </c>
      <c r="J80" s="4">
        <f>IF(澳门新定位结果!J80&lt;=0,0,1)</f>
        <v>1</v>
      </c>
      <c r="K80" s="4">
        <f>IF(澳门新定位结果!K80&lt;=0,0,1)</f>
        <v>1</v>
      </c>
      <c r="L80" s="4">
        <f>IF(澳门新定位结果!L80&lt;=0,0,1)</f>
        <v>0</v>
      </c>
      <c r="M80" s="4">
        <f>IF(澳门新定位结果!M80&lt;=0,0,1)</f>
        <v>1</v>
      </c>
      <c r="N80" s="4">
        <f>IF(澳门新定位结果!N80&lt;=0,0,1)</f>
        <v>1</v>
      </c>
      <c r="O80" s="4">
        <f>IF(澳门新定位结果!O80&lt;=0,0,1)</f>
        <v>0</v>
      </c>
    </row>
    <row r="81" spans="1:15">
      <c r="A81" s="4" t="s">
        <v>181</v>
      </c>
      <c r="B81" s="4">
        <f>IF(澳门新定位结果!B81&lt;=0,0,1)</f>
        <v>0</v>
      </c>
      <c r="C81" s="4">
        <f>IF(澳门新定位结果!C81&lt;=0,0,1)</f>
        <v>1</v>
      </c>
      <c r="D81" s="4">
        <f>IF(澳门新定位结果!D81&lt;=0,0,1)</f>
        <v>1</v>
      </c>
      <c r="E81" s="4">
        <f>IF(澳门新定位结果!E81&lt;=0,0,1)</f>
        <v>1</v>
      </c>
      <c r="F81" s="4">
        <f>IF(澳门新定位结果!F81&lt;=0,0,1)</f>
        <v>0</v>
      </c>
      <c r="G81" s="4">
        <f>IF(澳门新定位结果!G81&lt;=0,0,1)</f>
        <v>0</v>
      </c>
      <c r="H81" s="4">
        <f>IF(澳门新定位结果!H81&lt;=0,0,1)</f>
        <v>1</v>
      </c>
      <c r="I81" s="4">
        <f>IF(澳门新定位结果!I81&lt;=0,0,1)</f>
        <v>1</v>
      </c>
      <c r="J81" s="4">
        <f>IF(澳门新定位结果!J81&lt;=0,0,1)</f>
        <v>1</v>
      </c>
      <c r="K81" s="4">
        <f>IF(澳门新定位结果!K81&lt;=0,0,1)</f>
        <v>1</v>
      </c>
      <c r="L81" s="4">
        <f>IF(澳门新定位结果!L81&lt;=0,0,1)</f>
        <v>1</v>
      </c>
      <c r="M81" s="4">
        <f>IF(澳门新定位结果!M81&lt;=0,0,1)</f>
        <v>1</v>
      </c>
      <c r="N81" s="4">
        <f>IF(澳门新定位结果!N81&lt;=0,0,1)</f>
        <v>1</v>
      </c>
      <c r="O81" s="4">
        <f>IF(澳门新定位结果!O81&lt;=0,0,1)</f>
        <v>1</v>
      </c>
    </row>
    <row r="82" spans="1:15">
      <c r="A82" s="4" t="s">
        <v>183</v>
      </c>
      <c r="B82" s="4">
        <f>IF(澳门新定位结果!B82&lt;=0,0,1)</f>
        <v>1</v>
      </c>
      <c r="C82" s="4">
        <f>IF(澳门新定位结果!C82&lt;=0,0,1)</f>
        <v>1</v>
      </c>
      <c r="D82" s="4">
        <f>IF(澳门新定位结果!D82&lt;=0,0,1)</f>
        <v>0</v>
      </c>
      <c r="E82" s="4">
        <f>IF(澳门新定位结果!E82&lt;=0,0,1)</f>
        <v>0</v>
      </c>
      <c r="F82" s="4">
        <f>IF(澳门新定位结果!F82&lt;=0,0,1)</f>
        <v>1</v>
      </c>
      <c r="G82" s="4">
        <f>IF(澳门新定位结果!G82&lt;=0,0,1)</f>
        <v>1</v>
      </c>
      <c r="H82" s="4">
        <f>IF(澳门新定位结果!H82&lt;=0,0,1)</f>
        <v>0</v>
      </c>
      <c r="I82" s="4">
        <f>IF(澳门新定位结果!I82&lt;=0,0,1)</f>
        <v>1</v>
      </c>
      <c r="J82" s="4">
        <f>IF(澳门新定位结果!J82&lt;=0,0,1)</f>
        <v>1</v>
      </c>
      <c r="K82" s="4">
        <f>IF(澳门新定位结果!K82&lt;=0,0,1)</f>
        <v>0</v>
      </c>
      <c r="L82" s="4">
        <f>IF(澳门新定位结果!L82&lt;=0,0,1)</f>
        <v>1</v>
      </c>
      <c r="M82" s="4">
        <f>IF(澳门新定位结果!M82&lt;=0,0,1)</f>
        <v>0</v>
      </c>
      <c r="N82" s="4">
        <f>IF(澳门新定位结果!N82&lt;=0,0,1)</f>
        <v>0</v>
      </c>
      <c r="O82" s="4">
        <f>IF(澳门新定位结果!O82&lt;=0,0,1)</f>
        <v>1</v>
      </c>
    </row>
    <row r="83" spans="1:15">
      <c r="A83" s="4" t="s">
        <v>185</v>
      </c>
      <c r="B83" s="4">
        <f>IF(澳门新定位结果!B83&lt;=0,0,1)</f>
        <v>0</v>
      </c>
      <c r="C83" s="4">
        <f>IF(澳门新定位结果!C83&lt;=0,0,1)</f>
        <v>0</v>
      </c>
      <c r="D83" s="4">
        <f>IF(澳门新定位结果!D83&lt;=0,0,1)</f>
        <v>1</v>
      </c>
      <c r="E83" s="4">
        <f>IF(澳门新定位结果!E83&lt;=0,0,1)</f>
        <v>1</v>
      </c>
      <c r="F83" s="4">
        <f>IF(澳门新定位结果!F83&lt;=0,0,1)</f>
        <v>1</v>
      </c>
      <c r="G83" s="4">
        <f>IF(澳门新定位结果!G83&lt;=0,0,1)</f>
        <v>0</v>
      </c>
      <c r="H83" s="4">
        <f>IF(澳门新定位结果!H83&lt;=0,0,1)</f>
        <v>0</v>
      </c>
      <c r="I83" s="4">
        <f>IF(澳门新定位结果!I83&lt;=0,0,1)</f>
        <v>1</v>
      </c>
      <c r="J83" s="4">
        <f>IF(澳门新定位结果!J83&lt;=0,0,1)</f>
        <v>1</v>
      </c>
      <c r="K83" s="4">
        <f>IF(澳门新定位结果!K83&lt;=0,0,1)</f>
        <v>1</v>
      </c>
      <c r="L83" s="4">
        <f>IF(澳门新定位结果!L83&lt;=0,0,1)</f>
        <v>1</v>
      </c>
      <c r="M83" s="4">
        <f>IF(澳门新定位结果!M83&lt;=0,0,1)</f>
        <v>0</v>
      </c>
      <c r="N83" s="4">
        <f>IF(澳门新定位结果!N83&lt;=0,0,1)</f>
        <v>1</v>
      </c>
      <c r="O83" s="4">
        <f>IF(澳门新定位结果!O83&lt;=0,0,1)</f>
        <v>1</v>
      </c>
    </row>
    <row r="84" spans="1:15">
      <c r="A84" s="4" t="s">
        <v>187</v>
      </c>
      <c r="B84" s="4">
        <f>IF(澳门新定位结果!B84&lt;=0,0,1)</f>
        <v>1</v>
      </c>
      <c r="C84" s="4">
        <f>IF(澳门新定位结果!C84&lt;=0,0,1)</f>
        <v>0</v>
      </c>
      <c r="D84" s="4">
        <f>IF(澳门新定位结果!D84&lt;=0,0,1)</f>
        <v>1</v>
      </c>
      <c r="E84" s="4">
        <f>IF(澳门新定位结果!E84&lt;=0,0,1)</f>
        <v>0</v>
      </c>
      <c r="F84" s="4">
        <f>IF(澳门新定位结果!F84&lt;=0,0,1)</f>
        <v>1</v>
      </c>
      <c r="G84" s="4">
        <f>IF(澳门新定位结果!G84&lt;=0,0,1)</f>
        <v>0</v>
      </c>
      <c r="H84" s="4">
        <f>IF(澳门新定位结果!H84&lt;=0,0,1)</f>
        <v>1</v>
      </c>
      <c r="I84" s="4">
        <f>IF(澳门新定位结果!I84&lt;=0,0,1)</f>
        <v>1</v>
      </c>
      <c r="J84" s="4">
        <f>IF(澳门新定位结果!J84&lt;=0,0,1)</f>
        <v>0</v>
      </c>
      <c r="K84" s="4">
        <f>IF(澳门新定位结果!K84&lt;=0,0,1)</f>
        <v>1</v>
      </c>
      <c r="L84" s="4">
        <f>IF(澳门新定位结果!L84&lt;=0,0,1)</f>
        <v>0</v>
      </c>
      <c r="M84" s="4">
        <f>IF(澳门新定位结果!M84&lt;=0,0,1)</f>
        <v>0</v>
      </c>
      <c r="N84" s="4">
        <f>IF(澳门新定位结果!N84&lt;=0,0,1)</f>
        <v>1</v>
      </c>
      <c r="O84" s="4">
        <f>IF(澳门新定位结果!O84&lt;=0,0,1)</f>
        <v>1</v>
      </c>
    </row>
    <row r="85" spans="1:15">
      <c r="A85" s="4" t="s">
        <v>189</v>
      </c>
      <c r="B85" s="4">
        <f>IF(澳门新定位结果!B85&lt;=0,0,1)</f>
        <v>1</v>
      </c>
      <c r="C85" s="4">
        <f>IF(澳门新定位结果!C85&lt;=0,0,1)</f>
        <v>1</v>
      </c>
      <c r="D85" s="4">
        <f>IF(澳门新定位结果!D85&lt;=0,0,1)</f>
        <v>0</v>
      </c>
      <c r="E85" s="4">
        <f>IF(澳门新定位结果!E85&lt;=0,0,1)</f>
        <v>1</v>
      </c>
      <c r="F85" s="4">
        <f>IF(澳门新定位结果!F85&lt;=0,0,1)</f>
        <v>1</v>
      </c>
      <c r="G85" s="4">
        <f>IF(澳门新定位结果!G85&lt;=0,0,1)</f>
        <v>1</v>
      </c>
      <c r="H85" s="4">
        <f>IF(澳门新定位结果!H85&lt;=0,0,1)</f>
        <v>0</v>
      </c>
      <c r="I85" s="4">
        <f>IF(澳门新定位结果!I85&lt;=0,0,1)</f>
        <v>1</v>
      </c>
      <c r="J85" s="4">
        <f>IF(澳门新定位结果!J85&lt;=0,0,1)</f>
        <v>1</v>
      </c>
      <c r="K85" s="4">
        <f>IF(澳门新定位结果!K85&lt;=0,0,1)</f>
        <v>1</v>
      </c>
      <c r="L85" s="4">
        <f>IF(澳门新定位结果!L85&lt;=0,0,1)</f>
        <v>1</v>
      </c>
      <c r="M85" s="4">
        <f>IF(澳门新定位结果!M85&lt;=0,0,1)</f>
        <v>1</v>
      </c>
      <c r="N85" s="4">
        <f>IF(澳门新定位结果!N85&lt;=0,0,1)</f>
        <v>1</v>
      </c>
      <c r="O85" s="4">
        <f>IF(澳门新定位结果!O85&lt;=0,0,1)</f>
        <v>1</v>
      </c>
    </row>
    <row r="86" spans="1:15">
      <c r="A86" s="4" t="s">
        <v>191</v>
      </c>
      <c r="B86" s="4">
        <f>IF(澳门新定位结果!B86&lt;=0,0,1)</f>
        <v>1</v>
      </c>
      <c r="C86" s="4">
        <f>IF(澳门新定位结果!C86&lt;=0,0,1)</f>
        <v>1</v>
      </c>
      <c r="D86" s="4">
        <f>IF(澳门新定位结果!D86&lt;=0,0,1)</f>
        <v>0</v>
      </c>
      <c r="E86" s="4">
        <f>IF(澳门新定位结果!E86&lt;=0,0,1)</f>
        <v>1</v>
      </c>
      <c r="F86" s="4">
        <f>IF(澳门新定位结果!F86&lt;=0,0,1)</f>
        <v>0</v>
      </c>
      <c r="G86" s="4">
        <f>IF(澳门新定位结果!G86&lt;=0,0,1)</f>
        <v>0</v>
      </c>
      <c r="H86" s="4">
        <f>IF(澳门新定位结果!H86&lt;=0,0,1)</f>
        <v>1</v>
      </c>
      <c r="I86" s="4">
        <f>IF(澳门新定位结果!I86&lt;=0,0,1)</f>
        <v>1</v>
      </c>
      <c r="J86" s="4">
        <f>IF(澳门新定位结果!J86&lt;=0,0,1)</f>
        <v>1</v>
      </c>
      <c r="K86" s="4">
        <f>IF(澳门新定位结果!K86&lt;=0,0,1)</f>
        <v>1</v>
      </c>
      <c r="L86" s="4">
        <f>IF(澳门新定位结果!L86&lt;=0,0,1)</f>
        <v>1</v>
      </c>
      <c r="M86" s="4">
        <f>IF(澳门新定位结果!M86&lt;=0,0,1)</f>
        <v>0</v>
      </c>
      <c r="N86" s="4">
        <f>IF(澳门新定位结果!N86&lt;=0,0,1)</f>
        <v>0</v>
      </c>
      <c r="O86" s="4">
        <f>IF(澳门新定位结果!O86&lt;=0,0,1)</f>
        <v>0</v>
      </c>
    </row>
    <row r="87" spans="1:15">
      <c r="A87" s="4" t="s">
        <v>193</v>
      </c>
      <c r="B87" s="4">
        <f>IF(澳门新定位结果!B87&lt;=0,0,1)</f>
        <v>0</v>
      </c>
      <c r="C87" s="4">
        <f>IF(澳门新定位结果!C87&lt;=0,0,1)</f>
        <v>0</v>
      </c>
      <c r="D87" s="4">
        <f>IF(澳门新定位结果!D87&lt;=0,0,1)</f>
        <v>0</v>
      </c>
      <c r="E87" s="4">
        <f>IF(澳门新定位结果!E87&lt;=0,0,1)</f>
        <v>1</v>
      </c>
      <c r="F87" s="4">
        <f>IF(澳门新定位结果!F87&lt;=0,0,1)</f>
        <v>1</v>
      </c>
      <c r="G87" s="4">
        <f>IF(澳门新定位结果!G87&lt;=0,0,1)</f>
        <v>0</v>
      </c>
      <c r="H87" s="4">
        <f>IF(澳门新定位结果!H87&lt;=0,0,1)</f>
        <v>0</v>
      </c>
      <c r="I87" s="4">
        <f>IF(澳门新定位结果!I87&lt;=0,0,1)</f>
        <v>1</v>
      </c>
      <c r="J87" s="4">
        <f>IF(澳门新定位结果!J87&lt;=0,0,1)</f>
        <v>0</v>
      </c>
      <c r="K87" s="4">
        <f>IF(澳门新定位结果!K87&lt;=0,0,1)</f>
        <v>0</v>
      </c>
      <c r="L87" s="4">
        <f>IF(澳门新定位结果!L87&lt;=0,0,1)</f>
        <v>0</v>
      </c>
      <c r="M87" s="4">
        <f>IF(澳门新定位结果!M87&lt;=0,0,1)</f>
        <v>1</v>
      </c>
      <c r="N87" s="4">
        <f>IF(澳门新定位结果!N87&lt;=0,0,1)</f>
        <v>0</v>
      </c>
      <c r="O87" s="4">
        <f>IF(澳门新定位结果!O87&lt;=0,0,1)</f>
        <v>1</v>
      </c>
    </row>
    <row r="88" spans="1:15">
      <c r="A88" s="4" t="s">
        <v>195</v>
      </c>
      <c r="B88" s="4">
        <f>IF(澳门新定位结果!B88&lt;=0,0,1)</f>
        <v>0</v>
      </c>
      <c r="C88" s="4">
        <f>IF(澳门新定位结果!C88&lt;=0,0,1)</f>
        <v>0</v>
      </c>
      <c r="D88" s="4">
        <f>IF(澳门新定位结果!D88&lt;=0,0,1)</f>
        <v>1</v>
      </c>
      <c r="E88" s="4">
        <f>IF(澳门新定位结果!E88&lt;=0,0,1)</f>
        <v>1</v>
      </c>
      <c r="F88" s="4">
        <f>IF(澳门新定位结果!F88&lt;=0,0,1)</f>
        <v>1</v>
      </c>
      <c r="G88" s="4">
        <f>IF(澳门新定位结果!G88&lt;=0,0,1)</f>
        <v>0</v>
      </c>
      <c r="H88" s="4">
        <f>IF(澳门新定位结果!H88&lt;=0,0,1)</f>
        <v>0</v>
      </c>
      <c r="I88" s="4">
        <f>IF(澳门新定位结果!I88&lt;=0,0,1)</f>
        <v>0</v>
      </c>
      <c r="J88" s="4">
        <f>IF(澳门新定位结果!J88&lt;=0,0,1)</f>
        <v>0</v>
      </c>
      <c r="K88" s="4">
        <f>IF(澳门新定位结果!K88&lt;=0,0,1)</f>
        <v>0</v>
      </c>
      <c r="L88" s="4">
        <f>IF(澳门新定位结果!L88&lt;=0,0,1)</f>
        <v>1</v>
      </c>
      <c r="M88" s="4">
        <f>IF(澳门新定位结果!M88&lt;=0,0,1)</f>
        <v>0</v>
      </c>
      <c r="N88" s="4">
        <f>IF(澳门新定位结果!N88&lt;=0,0,1)</f>
        <v>1</v>
      </c>
      <c r="O88" s="4">
        <f>IF(澳门新定位结果!O88&lt;=0,0,1)</f>
        <v>1</v>
      </c>
    </row>
    <row r="89" spans="1:15">
      <c r="A89" s="4" t="s">
        <v>197</v>
      </c>
      <c r="B89" s="4">
        <f>IF(澳门新定位结果!B89&lt;=0,0,1)</f>
        <v>0</v>
      </c>
      <c r="C89" s="4">
        <f>IF(澳门新定位结果!C89&lt;=0,0,1)</f>
        <v>1</v>
      </c>
      <c r="D89" s="4">
        <f>IF(澳门新定位结果!D89&lt;=0,0,1)</f>
        <v>0</v>
      </c>
      <c r="E89" s="4">
        <f>IF(澳门新定位结果!E89&lt;=0,0,1)</f>
        <v>1</v>
      </c>
      <c r="F89" s="4">
        <f>IF(澳门新定位结果!F89&lt;=0,0,1)</f>
        <v>0</v>
      </c>
      <c r="G89" s="4">
        <f>IF(澳门新定位结果!G89&lt;=0,0,1)</f>
        <v>1</v>
      </c>
      <c r="H89" s="4">
        <f>IF(澳门新定位结果!H89&lt;=0,0,1)</f>
        <v>1</v>
      </c>
      <c r="I89" s="4">
        <f>IF(澳门新定位结果!I89&lt;=0,0,1)</f>
        <v>1</v>
      </c>
      <c r="J89" s="4">
        <f>IF(澳门新定位结果!J89&lt;=0,0,1)</f>
        <v>0</v>
      </c>
      <c r="K89" s="4">
        <f>IF(澳门新定位结果!K89&lt;=0,0,1)</f>
        <v>1</v>
      </c>
      <c r="L89" s="4">
        <f>IF(澳门新定位结果!L89&lt;=0,0,1)</f>
        <v>1</v>
      </c>
      <c r="M89" s="4">
        <f>IF(澳门新定位结果!M89&lt;=0,0,1)</f>
        <v>0</v>
      </c>
      <c r="N89" s="4">
        <f>IF(澳门新定位结果!N89&lt;=0,0,1)</f>
        <v>0</v>
      </c>
      <c r="O89" s="4">
        <f>IF(澳门新定位结果!O89&lt;=0,0,1)</f>
        <v>0</v>
      </c>
    </row>
    <row r="90" spans="1:15">
      <c r="A90" s="4" t="s">
        <v>199</v>
      </c>
      <c r="B90" s="4">
        <f>IF(澳门新定位结果!B90&lt;=0,0,1)</f>
        <v>1</v>
      </c>
      <c r="C90" s="4">
        <f>IF(澳门新定位结果!C90&lt;=0,0,1)</f>
        <v>1</v>
      </c>
      <c r="D90" s="4">
        <f>IF(澳门新定位结果!D90&lt;=0,0,1)</f>
        <v>0</v>
      </c>
      <c r="E90" s="4">
        <f>IF(澳门新定位结果!E90&lt;=0,0,1)</f>
        <v>1</v>
      </c>
      <c r="F90" s="4">
        <f>IF(澳门新定位结果!F90&lt;=0,0,1)</f>
        <v>1</v>
      </c>
      <c r="G90" s="4">
        <f>IF(澳门新定位结果!G90&lt;=0,0,1)</f>
        <v>0</v>
      </c>
      <c r="H90" s="4">
        <f>IF(澳门新定位结果!H90&lt;=0,0,1)</f>
        <v>0</v>
      </c>
      <c r="I90" s="4">
        <f>IF(澳门新定位结果!I90&lt;=0,0,1)</f>
        <v>1</v>
      </c>
      <c r="J90" s="4">
        <f>IF(澳门新定位结果!J90&lt;=0,0,1)</f>
        <v>1</v>
      </c>
      <c r="K90" s="4">
        <f>IF(澳门新定位结果!K90&lt;=0,0,1)</f>
        <v>1</v>
      </c>
      <c r="L90" s="4">
        <f>IF(澳门新定位结果!L90&lt;=0,0,1)</f>
        <v>1</v>
      </c>
      <c r="M90" s="4">
        <f>IF(澳门新定位结果!M90&lt;=0,0,1)</f>
        <v>0</v>
      </c>
      <c r="N90" s="4">
        <f>IF(澳门新定位结果!N90&lt;=0,0,1)</f>
        <v>0</v>
      </c>
      <c r="O90" s="4">
        <f>IF(澳门新定位结果!O90&lt;=0,0,1)</f>
        <v>1</v>
      </c>
    </row>
    <row r="91" spans="1:15">
      <c r="A91" s="4" t="s">
        <v>201</v>
      </c>
      <c r="B91" s="4">
        <f>IF(澳门新定位结果!B91&lt;=0,0,1)</f>
        <v>1</v>
      </c>
      <c r="C91" s="4">
        <f>IF(澳门新定位结果!C91&lt;=0,0,1)</f>
        <v>1</v>
      </c>
      <c r="D91" s="4">
        <f>IF(澳门新定位结果!D91&lt;=0,0,1)</f>
        <v>1</v>
      </c>
      <c r="E91" s="4">
        <f>IF(澳门新定位结果!E91&lt;=0,0,1)</f>
        <v>0</v>
      </c>
      <c r="F91" s="4">
        <f>IF(澳门新定位结果!F91&lt;=0,0,1)</f>
        <v>1</v>
      </c>
      <c r="G91" s="4">
        <f>IF(澳门新定位结果!G91&lt;=0,0,1)</f>
        <v>1</v>
      </c>
      <c r="H91" s="4">
        <f>IF(澳门新定位结果!H91&lt;=0,0,1)</f>
        <v>1</v>
      </c>
      <c r="I91" s="4">
        <f>IF(澳门新定位结果!I91&lt;=0,0,1)</f>
        <v>0</v>
      </c>
      <c r="J91" s="4">
        <f>IF(澳门新定位结果!J91&lt;=0,0,1)</f>
        <v>1</v>
      </c>
      <c r="K91" s="4">
        <f>IF(澳门新定位结果!K91&lt;=0,0,1)</f>
        <v>1</v>
      </c>
      <c r="L91" s="4">
        <f>IF(澳门新定位结果!L91&lt;=0,0,1)</f>
        <v>1</v>
      </c>
      <c r="M91" s="4">
        <f>IF(澳门新定位结果!M91&lt;=0,0,1)</f>
        <v>1</v>
      </c>
      <c r="N91" s="4">
        <f>IF(澳门新定位结果!N91&lt;=0,0,1)</f>
        <v>1</v>
      </c>
      <c r="O91" s="4">
        <f>IF(澳门新定位结果!O91&lt;=0,0,1)</f>
        <v>1</v>
      </c>
    </row>
    <row r="92" spans="1:15">
      <c r="A92" s="4" t="s">
        <v>203</v>
      </c>
      <c r="B92" s="4">
        <f>IF(澳门新定位结果!B92&lt;=0,0,1)</f>
        <v>0</v>
      </c>
      <c r="C92" s="4">
        <f>IF(澳门新定位结果!C92&lt;=0,0,1)</f>
        <v>1</v>
      </c>
      <c r="D92" s="4">
        <f>IF(澳门新定位结果!D92&lt;=0,0,1)</f>
        <v>0</v>
      </c>
      <c r="E92" s="4">
        <f>IF(澳门新定位结果!E92&lt;=0,0,1)</f>
        <v>0</v>
      </c>
      <c r="F92" s="4">
        <f>IF(澳门新定位结果!F92&lt;=0,0,1)</f>
        <v>1</v>
      </c>
      <c r="G92" s="4">
        <f>IF(澳门新定位结果!G92&lt;=0,0,1)</f>
        <v>1</v>
      </c>
      <c r="H92" s="4">
        <f>IF(澳门新定位结果!H92&lt;=0,0,1)</f>
        <v>0</v>
      </c>
      <c r="I92" s="4">
        <f>IF(澳门新定位结果!I92&lt;=0,0,1)</f>
        <v>1</v>
      </c>
      <c r="J92" s="4">
        <f>IF(澳门新定位结果!J92&lt;=0,0,1)</f>
        <v>0</v>
      </c>
      <c r="K92" s="4">
        <f>IF(澳门新定位结果!K92&lt;=0,0,1)</f>
        <v>1</v>
      </c>
      <c r="L92" s="4">
        <f>IF(澳门新定位结果!L92&lt;=0,0,1)</f>
        <v>1</v>
      </c>
      <c r="M92" s="4">
        <f>IF(澳门新定位结果!M92&lt;=0,0,1)</f>
        <v>1</v>
      </c>
      <c r="N92" s="4">
        <f>IF(澳门新定位结果!N92&lt;=0,0,1)</f>
        <v>0</v>
      </c>
      <c r="O92" s="4">
        <f>IF(澳门新定位结果!O92&lt;=0,0,1)</f>
        <v>1</v>
      </c>
    </row>
    <row r="93" spans="1:15">
      <c r="A93" s="4" t="s">
        <v>205</v>
      </c>
      <c r="B93" s="4">
        <f>IF(澳门新定位结果!B93&lt;=0,0,1)</f>
        <v>1</v>
      </c>
      <c r="C93" s="4">
        <f>IF(澳门新定位结果!C93&lt;=0,0,1)</f>
        <v>1</v>
      </c>
      <c r="D93" s="4">
        <f>IF(澳门新定位结果!D93&lt;=0,0,1)</f>
        <v>1</v>
      </c>
      <c r="E93" s="4">
        <f>IF(澳门新定位结果!E93&lt;=0,0,1)</f>
        <v>1</v>
      </c>
      <c r="F93" s="4">
        <f>IF(澳门新定位结果!F93&lt;=0,0,1)</f>
        <v>1</v>
      </c>
      <c r="G93" s="4">
        <f>IF(澳门新定位结果!G93&lt;=0,0,1)</f>
        <v>0</v>
      </c>
      <c r="H93" s="4">
        <f>IF(澳门新定位结果!H93&lt;=0,0,1)</f>
        <v>1</v>
      </c>
      <c r="I93" s="4">
        <f>IF(澳门新定位结果!I93&lt;=0,0,1)</f>
        <v>1</v>
      </c>
      <c r="J93" s="4">
        <f>IF(澳门新定位结果!J93&lt;=0,0,1)</f>
        <v>1</v>
      </c>
      <c r="K93" s="4">
        <f>IF(澳门新定位结果!K93&lt;=0,0,1)</f>
        <v>1</v>
      </c>
      <c r="L93" s="4">
        <f>IF(澳门新定位结果!L93&lt;=0,0,1)</f>
        <v>0</v>
      </c>
      <c r="M93" s="4">
        <f>IF(澳门新定位结果!M93&lt;=0,0,1)</f>
        <v>1</v>
      </c>
      <c r="N93" s="4">
        <f>IF(澳门新定位结果!N93&lt;=0,0,1)</f>
        <v>1</v>
      </c>
      <c r="O93" s="4">
        <f>IF(澳门新定位结果!O93&lt;=0,0,1)</f>
        <v>1</v>
      </c>
    </row>
    <row r="94" spans="1:15">
      <c r="A94" s="4" t="s">
        <v>207</v>
      </c>
      <c r="B94" s="4">
        <f>IF(澳门新定位结果!B94&lt;=0,0,1)</f>
        <v>0</v>
      </c>
      <c r="C94" s="4">
        <f>IF(澳门新定位结果!C94&lt;=0,0,1)</f>
        <v>0</v>
      </c>
      <c r="D94" s="4">
        <f>IF(澳门新定位结果!D94&lt;=0,0,1)</f>
        <v>1</v>
      </c>
      <c r="E94" s="4">
        <f>IF(澳门新定位结果!E94&lt;=0,0,1)</f>
        <v>1</v>
      </c>
      <c r="F94" s="4">
        <f>IF(澳门新定位结果!F94&lt;=0,0,1)</f>
        <v>1</v>
      </c>
      <c r="G94" s="4">
        <f>IF(澳门新定位结果!G94&lt;=0,0,1)</f>
        <v>0</v>
      </c>
      <c r="H94" s="4">
        <f>IF(澳门新定位结果!H94&lt;=0,0,1)</f>
        <v>0</v>
      </c>
      <c r="I94" s="4">
        <f>IF(澳门新定位结果!I94&lt;=0,0,1)</f>
        <v>1</v>
      </c>
      <c r="J94" s="4">
        <f>IF(澳门新定位结果!J94&lt;=0,0,1)</f>
        <v>0</v>
      </c>
      <c r="K94" s="4">
        <f>IF(澳门新定位结果!K94&lt;=0,0,1)</f>
        <v>1</v>
      </c>
      <c r="L94" s="4">
        <f>IF(澳门新定位结果!L94&lt;=0,0,1)</f>
        <v>1</v>
      </c>
      <c r="M94" s="4">
        <f>IF(澳门新定位结果!M94&lt;=0,0,1)</f>
        <v>0</v>
      </c>
      <c r="N94" s="4">
        <f>IF(澳门新定位结果!N94&lt;=0,0,1)</f>
        <v>1</v>
      </c>
      <c r="O94" s="4">
        <f>IF(澳门新定位结果!O94&lt;=0,0,1)</f>
        <v>0</v>
      </c>
    </row>
    <row r="95" spans="1:15">
      <c r="A95" s="4" t="s">
        <v>209</v>
      </c>
      <c r="B95" s="4">
        <f>IF(澳门新定位结果!B95&lt;=0,0,1)</f>
        <v>0</v>
      </c>
      <c r="C95" s="4">
        <f>IF(澳门新定位结果!C95&lt;=0,0,1)</f>
        <v>1</v>
      </c>
      <c r="D95" s="4">
        <f>IF(澳门新定位结果!D95&lt;=0,0,1)</f>
        <v>0</v>
      </c>
      <c r="E95" s="4">
        <f>IF(澳门新定位结果!E95&lt;=0,0,1)</f>
        <v>0</v>
      </c>
      <c r="F95" s="4">
        <f>IF(澳门新定位结果!F95&lt;=0,0,1)</f>
        <v>1</v>
      </c>
      <c r="G95" s="4">
        <f>IF(澳门新定位结果!G95&lt;=0,0,1)</f>
        <v>1</v>
      </c>
      <c r="H95" s="4">
        <f>IF(澳门新定位结果!H95&lt;=0,0,1)</f>
        <v>0</v>
      </c>
      <c r="I95" s="4">
        <f>IF(澳门新定位结果!I95&lt;=0,0,1)</f>
        <v>1</v>
      </c>
      <c r="J95" s="4">
        <f>IF(澳门新定位结果!J95&lt;=0,0,1)</f>
        <v>1</v>
      </c>
      <c r="K95" s="4">
        <f>IF(澳门新定位结果!K95&lt;=0,0,1)</f>
        <v>1</v>
      </c>
      <c r="L95" s="4">
        <f>IF(澳门新定位结果!L95&lt;=0,0,1)</f>
        <v>1</v>
      </c>
      <c r="M95" s="4">
        <f>IF(澳门新定位结果!M95&lt;=0,0,1)</f>
        <v>1</v>
      </c>
      <c r="N95" s="4">
        <f>IF(澳门新定位结果!N95&lt;=0,0,1)</f>
        <v>1</v>
      </c>
      <c r="O95" s="4">
        <f>IF(澳门新定位结果!O95&lt;=0,0,1)</f>
        <v>1</v>
      </c>
    </row>
    <row r="96" spans="1:15">
      <c r="A96" s="4" t="s">
        <v>211</v>
      </c>
      <c r="B96" s="4">
        <f>IF(澳门新定位结果!B96&lt;=0,0,1)</f>
        <v>0</v>
      </c>
      <c r="C96" s="4">
        <f>IF(澳门新定位结果!C96&lt;=0,0,1)</f>
        <v>1</v>
      </c>
      <c r="D96" s="4">
        <f>IF(澳门新定位结果!D96&lt;=0,0,1)</f>
        <v>0</v>
      </c>
      <c r="E96" s="4">
        <f>IF(澳门新定位结果!E96&lt;=0,0,1)</f>
        <v>1</v>
      </c>
      <c r="F96" s="4">
        <f>IF(澳门新定位结果!F96&lt;=0,0,1)</f>
        <v>0</v>
      </c>
      <c r="G96" s="4">
        <f>IF(澳门新定位结果!G96&lt;=0,0,1)</f>
        <v>0</v>
      </c>
      <c r="H96" s="4">
        <f>IF(澳门新定位结果!H96&lt;=0,0,1)</f>
        <v>1</v>
      </c>
      <c r="I96" s="4">
        <f>IF(澳门新定位结果!I96&lt;=0,0,1)</f>
        <v>0</v>
      </c>
      <c r="J96" s="4">
        <f>IF(澳门新定位结果!J96&lt;=0,0,1)</f>
        <v>1</v>
      </c>
      <c r="K96" s="4">
        <f>IF(澳门新定位结果!K96&lt;=0,0,1)</f>
        <v>1</v>
      </c>
      <c r="L96" s="4">
        <f>IF(澳门新定位结果!L96&lt;=0,0,1)</f>
        <v>1</v>
      </c>
      <c r="M96" s="4">
        <f>IF(澳门新定位结果!M96&lt;=0,0,1)</f>
        <v>1</v>
      </c>
      <c r="N96" s="4">
        <f>IF(澳门新定位结果!N96&lt;=0,0,1)</f>
        <v>1</v>
      </c>
      <c r="O96" s="4">
        <f>IF(澳门新定位结果!O96&lt;=0,0,1)</f>
        <v>0</v>
      </c>
    </row>
    <row r="97" spans="1:15">
      <c r="A97" s="4" t="s">
        <v>213</v>
      </c>
      <c r="B97" s="4">
        <f>IF(澳门新定位结果!B97&lt;=0,0,1)</f>
        <v>1</v>
      </c>
      <c r="C97" s="4">
        <f>IF(澳门新定位结果!C97&lt;=0,0,1)</f>
        <v>0</v>
      </c>
      <c r="D97" s="4">
        <f>IF(澳门新定位结果!D97&lt;=0,0,1)</f>
        <v>0</v>
      </c>
      <c r="E97" s="4">
        <f>IF(澳门新定位结果!E97&lt;=0,0,1)</f>
        <v>1</v>
      </c>
      <c r="F97" s="4">
        <f>IF(澳门新定位结果!F97&lt;=0,0,1)</f>
        <v>1</v>
      </c>
      <c r="G97" s="4">
        <f>IF(澳门新定位结果!G97&lt;=0,0,1)</f>
        <v>1</v>
      </c>
      <c r="H97" s="4">
        <f>IF(澳门新定位结果!H97&lt;=0,0,1)</f>
        <v>0</v>
      </c>
      <c r="I97" s="4">
        <f>IF(澳门新定位结果!I97&lt;=0,0,1)</f>
        <v>0</v>
      </c>
      <c r="J97" s="4">
        <f>IF(澳门新定位结果!J97&lt;=0,0,1)</f>
        <v>1</v>
      </c>
      <c r="K97" s="4">
        <f>IF(澳门新定位结果!K97&lt;=0,0,1)</f>
        <v>0</v>
      </c>
      <c r="L97" s="4">
        <f>IF(澳门新定位结果!L97&lt;=0,0,1)</f>
        <v>1</v>
      </c>
      <c r="M97" s="4">
        <f>IF(澳门新定位结果!M97&lt;=0,0,1)</f>
        <v>0</v>
      </c>
      <c r="N97" s="4">
        <f>IF(澳门新定位结果!N97&lt;=0,0,1)</f>
        <v>0</v>
      </c>
      <c r="O97" s="4">
        <f>IF(澳门新定位结果!O97&lt;=0,0,1)</f>
        <v>0</v>
      </c>
    </row>
    <row r="98" spans="1:15">
      <c r="A98" s="4" t="s">
        <v>215</v>
      </c>
      <c r="B98" s="4">
        <f>IF(澳门新定位结果!B98&lt;=0,0,1)</f>
        <v>0</v>
      </c>
      <c r="C98" s="4">
        <f>IF(澳门新定位结果!C98&lt;=0,0,1)</f>
        <v>0</v>
      </c>
      <c r="D98" s="4">
        <f>IF(澳门新定位结果!D98&lt;=0,0,1)</f>
        <v>0</v>
      </c>
      <c r="E98" s="4">
        <f>IF(澳门新定位结果!E98&lt;=0,0,1)</f>
        <v>0</v>
      </c>
      <c r="F98" s="4">
        <f>IF(澳门新定位结果!F98&lt;=0,0,1)</f>
        <v>0</v>
      </c>
      <c r="G98" s="4">
        <f>IF(澳门新定位结果!G98&lt;=0,0,1)</f>
        <v>0</v>
      </c>
      <c r="H98" s="4">
        <f>IF(澳门新定位结果!H98&lt;=0,0,1)</f>
        <v>0</v>
      </c>
      <c r="I98" s="4">
        <f>IF(澳门新定位结果!I98&lt;=0,0,1)</f>
        <v>1</v>
      </c>
      <c r="J98" s="4">
        <f>IF(澳门新定位结果!J98&lt;=0,0,1)</f>
        <v>1</v>
      </c>
      <c r="K98" s="4">
        <f>IF(澳门新定位结果!K98&lt;=0,0,1)</f>
        <v>0</v>
      </c>
      <c r="L98" s="4">
        <f>IF(澳门新定位结果!L98&lt;=0,0,1)</f>
        <v>0</v>
      </c>
      <c r="M98" s="4">
        <f>IF(澳门新定位结果!M98&lt;=0,0,1)</f>
        <v>0</v>
      </c>
      <c r="N98" s="4">
        <f>IF(澳门新定位结果!N98&lt;=0,0,1)</f>
        <v>0</v>
      </c>
      <c r="O98" s="4">
        <f>IF(澳门新定位结果!O98&lt;=0,0,1)</f>
        <v>0</v>
      </c>
    </row>
    <row r="99" spans="1:15">
      <c r="A99" s="4" t="s">
        <v>217</v>
      </c>
      <c r="B99" s="4">
        <f>IF(澳门新定位结果!B99&lt;=0,0,1)</f>
        <v>0</v>
      </c>
      <c r="C99" s="4">
        <f>IF(澳门新定位结果!C99&lt;=0,0,1)</f>
        <v>0</v>
      </c>
      <c r="D99" s="4">
        <f>IF(澳门新定位结果!D99&lt;=0,0,1)</f>
        <v>1</v>
      </c>
      <c r="E99" s="4">
        <f>IF(澳门新定位结果!E99&lt;=0,0,1)</f>
        <v>0</v>
      </c>
      <c r="F99" s="4">
        <f>IF(澳门新定位结果!F99&lt;=0,0,1)</f>
        <v>0</v>
      </c>
      <c r="G99" s="4">
        <f>IF(澳门新定位结果!G99&lt;=0,0,1)</f>
        <v>1</v>
      </c>
      <c r="H99" s="4">
        <f>IF(澳门新定位结果!H99&lt;=0,0,1)</f>
        <v>0</v>
      </c>
      <c r="I99" s="4">
        <f>IF(澳门新定位结果!I99&lt;=0,0,1)</f>
        <v>1</v>
      </c>
      <c r="J99" s="4">
        <f>IF(澳门新定位结果!J99&lt;=0,0,1)</f>
        <v>0</v>
      </c>
      <c r="K99" s="4">
        <f>IF(澳门新定位结果!K99&lt;=0,0,1)</f>
        <v>0</v>
      </c>
      <c r="L99" s="4">
        <f>IF(澳门新定位结果!L99&lt;=0,0,1)</f>
        <v>0</v>
      </c>
      <c r="M99" s="4">
        <f>IF(澳门新定位结果!M99&lt;=0,0,1)</f>
        <v>0</v>
      </c>
      <c r="N99" s="4">
        <f>IF(澳门新定位结果!N99&lt;=0,0,1)</f>
        <v>0</v>
      </c>
      <c r="O99" s="4">
        <f>IF(澳门新定位结果!O99&lt;=0,0,1)</f>
        <v>1</v>
      </c>
    </row>
    <row r="100" spans="1:15">
      <c r="A100" s="4" t="s">
        <v>219</v>
      </c>
      <c r="B100" s="4">
        <f>IF(澳门新定位结果!B100&lt;=0,0,1)</f>
        <v>1</v>
      </c>
      <c r="C100" s="4">
        <f>IF(澳门新定位结果!C100&lt;=0,0,1)</f>
        <v>0</v>
      </c>
      <c r="D100" s="4">
        <f>IF(澳门新定位结果!D100&lt;=0,0,1)</f>
        <v>1</v>
      </c>
      <c r="E100" s="4">
        <f>IF(澳门新定位结果!E100&lt;=0,0,1)</f>
        <v>0</v>
      </c>
      <c r="F100" s="4">
        <f>IF(澳门新定位结果!F100&lt;=0,0,1)</f>
        <v>0</v>
      </c>
      <c r="G100" s="4">
        <f>IF(澳门新定位结果!G100&lt;=0,0,1)</f>
        <v>0</v>
      </c>
      <c r="H100" s="4">
        <f>IF(澳门新定位结果!H100&lt;=0,0,1)</f>
        <v>0</v>
      </c>
      <c r="I100" s="4">
        <f>IF(澳门新定位结果!I100&lt;=0,0,1)</f>
        <v>0</v>
      </c>
      <c r="J100" s="4">
        <f>IF(澳门新定位结果!J100&lt;=0,0,1)</f>
        <v>1</v>
      </c>
      <c r="K100" s="4">
        <f>IF(澳门新定位结果!K100&lt;=0,0,1)</f>
        <v>0</v>
      </c>
      <c r="L100" s="4">
        <f>IF(澳门新定位结果!L100&lt;=0,0,1)</f>
        <v>0</v>
      </c>
      <c r="M100" s="4">
        <f>IF(澳门新定位结果!M100&lt;=0,0,1)</f>
        <v>1</v>
      </c>
      <c r="N100" s="4">
        <f>IF(澳门新定位结果!N100&lt;=0,0,1)</f>
        <v>0</v>
      </c>
      <c r="O100" s="4">
        <f>IF(澳门新定位结果!O100&lt;=0,0,1)</f>
        <v>1</v>
      </c>
    </row>
    <row r="101" spans="1:15">
      <c r="A101" s="4" t="s">
        <v>221</v>
      </c>
      <c r="B101" s="4">
        <f>IF(澳门新定位结果!B101&lt;=0,0,1)</f>
        <v>0</v>
      </c>
      <c r="C101" s="4">
        <f>IF(澳门新定位结果!C101&lt;=0,0,1)</f>
        <v>1</v>
      </c>
      <c r="D101" s="4">
        <f>IF(澳门新定位结果!D101&lt;=0,0,1)</f>
        <v>0</v>
      </c>
      <c r="E101" s="4">
        <f>IF(澳门新定位结果!E101&lt;=0,0,1)</f>
        <v>0</v>
      </c>
      <c r="F101" s="4">
        <f>IF(澳门新定位结果!F101&lt;=0,0,1)</f>
        <v>0</v>
      </c>
      <c r="G101" s="4">
        <f>IF(澳门新定位结果!G101&lt;=0,0,1)</f>
        <v>0</v>
      </c>
      <c r="H101" s="4">
        <f>IF(澳门新定位结果!H101&lt;=0,0,1)</f>
        <v>1</v>
      </c>
      <c r="I101" s="4">
        <f>IF(澳门新定位结果!I101&lt;=0,0,1)</f>
        <v>1</v>
      </c>
      <c r="J101" s="4">
        <f>IF(澳门新定位结果!J101&lt;=0,0,1)</f>
        <v>1</v>
      </c>
      <c r="K101" s="4">
        <f>IF(澳门新定位结果!K101&lt;=0,0,1)</f>
        <v>1</v>
      </c>
      <c r="L101" s="4">
        <f>IF(澳门新定位结果!L101&lt;=0,0,1)</f>
        <v>1</v>
      </c>
      <c r="M101" s="4">
        <f>IF(澳门新定位结果!M101&lt;=0,0,1)</f>
        <v>1</v>
      </c>
      <c r="N101" s="4">
        <f>IF(澳门新定位结果!N101&lt;=0,0,1)</f>
        <v>0</v>
      </c>
      <c r="O101" s="4">
        <f>IF(澳门新定位结果!O101&lt;=0,0,1)</f>
        <v>0</v>
      </c>
    </row>
    <row r="102" spans="1:15">
      <c r="A102" s="4" t="s">
        <v>223</v>
      </c>
      <c r="B102" s="4">
        <f>IF(澳门新定位结果!B102&lt;=0,0,1)</f>
        <v>0</v>
      </c>
      <c r="C102" s="4">
        <f>IF(澳门新定位结果!C102&lt;=0,0,1)</f>
        <v>0</v>
      </c>
      <c r="D102" s="4">
        <f>IF(澳门新定位结果!D102&lt;=0,0,1)</f>
        <v>0</v>
      </c>
      <c r="E102" s="4">
        <f>IF(澳门新定位结果!E102&lt;=0,0,1)</f>
        <v>1</v>
      </c>
      <c r="F102" s="4">
        <f>IF(澳门新定位结果!F102&lt;=0,0,1)</f>
        <v>1</v>
      </c>
      <c r="G102" s="4">
        <f>IF(澳门新定位结果!G102&lt;=0,0,1)</f>
        <v>1</v>
      </c>
      <c r="H102" s="4">
        <f>IF(澳门新定位结果!H102&lt;=0,0,1)</f>
        <v>1</v>
      </c>
      <c r="I102" s="4">
        <f>IF(澳门新定位结果!I102&lt;=0,0,1)</f>
        <v>0</v>
      </c>
      <c r="J102" s="4">
        <f>IF(澳门新定位结果!J102&lt;=0,0,1)</f>
        <v>0</v>
      </c>
      <c r="K102" s="4">
        <f>IF(澳门新定位结果!K102&lt;=0,0,1)</f>
        <v>0</v>
      </c>
      <c r="L102" s="4">
        <f>IF(澳门新定位结果!L102&lt;=0,0,1)</f>
        <v>1</v>
      </c>
      <c r="M102" s="4">
        <f>IF(澳门新定位结果!M102&lt;=0,0,1)</f>
        <v>0</v>
      </c>
      <c r="N102" s="4">
        <f>IF(澳门新定位结果!N102&lt;=0,0,1)</f>
        <v>0</v>
      </c>
      <c r="O102" s="4">
        <f>IF(澳门新定位结果!O102&lt;=0,0,1)</f>
        <v>0</v>
      </c>
    </row>
    <row r="103" spans="1:15">
      <c r="A103" s="4" t="s">
        <v>225</v>
      </c>
      <c r="B103" s="4">
        <f>IF(澳门新定位结果!B103&lt;=0,0,1)</f>
        <v>1</v>
      </c>
      <c r="C103" s="4">
        <f>IF(澳门新定位结果!C103&lt;=0,0,1)</f>
        <v>0</v>
      </c>
      <c r="D103" s="4">
        <f>IF(澳门新定位结果!D103&lt;=0,0,1)</f>
        <v>1</v>
      </c>
      <c r="E103" s="4">
        <f>IF(澳门新定位结果!E103&lt;=0,0,1)</f>
        <v>1</v>
      </c>
      <c r="F103" s="4">
        <f>IF(澳门新定位结果!F103&lt;=0,0,1)</f>
        <v>0</v>
      </c>
      <c r="G103" s="4">
        <f>IF(澳门新定位结果!G103&lt;=0,0,1)</f>
        <v>0</v>
      </c>
      <c r="H103" s="4">
        <f>IF(澳门新定位结果!H103&lt;=0,0,1)</f>
        <v>0</v>
      </c>
      <c r="I103" s="4">
        <f>IF(澳门新定位结果!I103&lt;=0,0,1)</f>
        <v>0</v>
      </c>
      <c r="J103" s="4">
        <f>IF(澳门新定位结果!J103&lt;=0,0,1)</f>
        <v>0</v>
      </c>
      <c r="K103" s="4">
        <f>IF(澳门新定位结果!K103&lt;=0,0,1)</f>
        <v>0</v>
      </c>
      <c r="L103" s="4">
        <f>IF(澳门新定位结果!L103&lt;=0,0,1)</f>
        <v>1</v>
      </c>
      <c r="M103" s="4">
        <f>IF(澳门新定位结果!M103&lt;=0,0,1)</f>
        <v>1</v>
      </c>
      <c r="N103" s="4">
        <f>IF(澳门新定位结果!N103&lt;=0,0,1)</f>
        <v>1</v>
      </c>
      <c r="O103" s="4">
        <f>IF(澳门新定位结果!O103&lt;=0,0,1)</f>
        <v>0</v>
      </c>
    </row>
    <row r="104" spans="1:15">
      <c r="A104" s="4" t="s">
        <v>227</v>
      </c>
      <c r="B104" s="4">
        <f>IF(澳门新定位结果!B104&lt;=0,0,1)</f>
        <v>0</v>
      </c>
      <c r="C104" s="4">
        <f>IF(澳门新定位结果!C104&lt;=0,0,1)</f>
        <v>1</v>
      </c>
      <c r="D104" s="4">
        <f>IF(澳门新定位结果!D104&lt;=0,0,1)</f>
        <v>0</v>
      </c>
      <c r="E104" s="4">
        <f>IF(澳门新定位结果!E104&lt;=0,0,1)</f>
        <v>0</v>
      </c>
      <c r="F104" s="4">
        <f>IF(澳门新定位结果!F104&lt;=0,0,1)</f>
        <v>0</v>
      </c>
      <c r="G104" s="4">
        <f>IF(澳门新定位结果!G104&lt;=0,0,1)</f>
        <v>1</v>
      </c>
      <c r="H104" s="4">
        <f>IF(澳门新定位结果!H104&lt;=0,0,1)</f>
        <v>1</v>
      </c>
      <c r="I104" s="4">
        <f>IF(澳门新定位结果!I104&lt;=0,0,1)</f>
        <v>1</v>
      </c>
      <c r="J104" s="4">
        <f>IF(澳门新定位结果!J104&lt;=0,0,1)</f>
        <v>0</v>
      </c>
      <c r="K104" s="4">
        <f>IF(澳门新定位结果!K104&lt;=0,0,1)</f>
        <v>1</v>
      </c>
      <c r="L104" s="4">
        <f>IF(澳门新定位结果!L104&lt;=0,0,1)</f>
        <v>0</v>
      </c>
      <c r="M104" s="4">
        <f>IF(澳门新定位结果!M104&lt;=0,0,1)</f>
        <v>1</v>
      </c>
      <c r="N104" s="4">
        <f>IF(澳门新定位结果!N104&lt;=0,0,1)</f>
        <v>0</v>
      </c>
      <c r="O104" s="4">
        <f>IF(澳门新定位结果!O104&lt;=0,0,1)</f>
        <v>1</v>
      </c>
    </row>
    <row r="105" spans="1:15">
      <c r="A105" s="4" t="s">
        <v>229</v>
      </c>
      <c r="B105" s="4">
        <f>IF(澳门新定位结果!B105&lt;=0,0,1)</f>
        <v>1</v>
      </c>
      <c r="C105" s="4">
        <f>IF(澳门新定位结果!C105&lt;=0,0,1)</f>
        <v>1</v>
      </c>
      <c r="D105" s="4">
        <f>IF(澳门新定位结果!D105&lt;=0,0,1)</f>
        <v>0</v>
      </c>
      <c r="E105" s="4">
        <f>IF(澳门新定位结果!E105&lt;=0,0,1)</f>
        <v>1</v>
      </c>
      <c r="F105" s="4">
        <f>IF(澳门新定位结果!F105&lt;=0,0,1)</f>
        <v>1</v>
      </c>
      <c r="G105" s="4">
        <f>IF(澳门新定位结果!G105&lt;=0,0,1)</f>
        <v>1</v>
      </c>
      <c r="H105" s="4">
        <f>IF(澳门新定位结果!H105&lt;=0,0,1)</f>
        <v>0</v>
      </c>
      <c r="I105" s="4">
        <f>IF(澳门新定位结果!I105&lt;=0,0,1)</f>
        <v>0</v>
      </c>
      <c r="J105" s="4">
        <f>IF(澳门新定位结果!J105&lt;=0,0,1)</f>
        <v>0</v>
      </c>
      <c r="K105" s="4">
        <f>IF(澳门新定位结果!K105&lt;=0,0,1)</f>
        <v>0</v>
      </c>
      <c r="L105" s="4">
        <f>IF(澳门新定位结果!L105&lt;=0,0,1)</f>
        <v>0</v>
      </c>
      <c r="M105" s="4">
        <f>IF(澳门新定位结果!M105&lt;=0,0,1)</f>
        <v>0</v>
      </c>
      <c r="N105" s="4">
        <f>IF(澳门新定位结果!N105&lt;=0,0,1)</f>
        <v>0</v>
      </c>
      <c r="O105" s="4">
        <f>IF(澳门新定位结果!O105&lt;=0,0,1)</f>
        <v>1</v>
      </c>
    </row>
    <row r="106" spans="1:15">
      <c r="A106" s="4" t="s">
        <v>231</v>
      </c>
      <c r="B106" s="4">
        <f>IF(澳门新定位结果!B106&lt;=0,0,1)</f>
        <v>0</v>
      </c>
      <c r="C106" s="4">
        <f>IF(澳门新定位结果!C106&lt;=0,0,1)</f>
        <v>0</v>
      </c>
      <c r="D106" s="4">
        <f>IF(澳门新定位结果!D106&lt;=0,0,1)</f>
        <v>0</v>
      </c>
      <c r="E106" s="4">
        <f>IF(澳门新定位结果!E106&lt;=0,0,1)</f>
        <v>0</v>
      </c>
      <c r="F106" s="4">
        <f>IF(澳门新定位结果!F106&lt;=0,0,1)</f>
        <v>0</v>
      </c>
      <c r="G106" s="4">
        <f>IF(澳门新定位结果!G106&lt;=0,0,1)</f>
        <v>0</v>
      </c>
      <c r="H106" s="4">
        <f>IF(澳门新定位结果!H106&lt;=0,0,1)</f>
        <v>1</v>
      </c>
      <c r="I106" s="4">
        <f>IF(澳门新定位结果!I106&lt;=0,0,1)</f>
        <v>1</v>
      </c>
      <c r="J106" s="4">
        <f>IF(澳门新定位结果!J106&lt;=0,0,1)</f>
        <v>0</v>
      </c>
      <c r="K106" s="4">
        <f>IF(澳门新定位结果!K106&lt;=0,0,1)</f>
        <v>1</v>
      </c>
      <c r="L106" s="4">
        <f>IF(澳门新定位结果!L106&lt;=0,0,1)</f>
        <v>1</v>
      </c>
      <c r="M106" s="4">
        <f>IF(澳门新定位结果!M106&lt;=0,0,1)</f>
        <v>1</v>
      </c>
      <c r="N106" s="4">
        <f>IF(澳门新定位结果!N106&lt;=0,0,1)</f>
        <v>0</v>
      </c>
      <c r="O106" s="4">
        <f>IF(澳门新定位结果!O106&lt;=0,0,1)</f>
        <v>0</v>
      </c>
    </row>
    <row r="107" spans="1:15">
      <c r="A107" s="4" t="s">
        <v>233</v>
      </c>
      <c r="B107" s="4">
        <f>IF(澳门新定位结果!B107&lt;=0,0,1)</f>
        <v>0</v>
      </c>
      <c r="C107" s="4">
        <f>IF(澳门新定位结果!C107&lt;=0,0,1)</f>
        <v>0</v>
      </c>
      <c r="D107" s="4">
        <f>IF(澳门新定位结果!D107&lt;=0,0,1)</f>
        <v>0</v>
      </c>
      <c r="E107" s="4">
        <f>IF(澳门新定位结果!E107&lt;=0,0,1)</f>
        <v>0</v>
      </c>
      <c r="F107" s="4">
        <f>IF(澳门新定位结果!F107&lt;=0,0,1)</f>
        <v>1</v>
      </c>
      <c r="G107" s="4">
        <f>IF(澳门新定位结果!G107&lt;=0,0,1)</f>
        <v>1</v>
      </c>
      <c r="H107" s="4">
        <f>IF(澳门新定位结果!H107&lt;=0,0,1)</f>
        <v>0</v>
      </c>
      <c r="I107" s="4">
        <f>IF(澳门新定位结果!I107&lt;=0,0,1)</f>
        <v>1</v>
      </c>
      <c r="J107" s="4">
        <f>IF(澳门新定位结果!J107&lt;=0,0,1)</f>
        <v>0</v>
      </c>
      <c r="K107" s="4">
        <f>IF(澳门新定位结果!K107&lt;=0,0,1)</f>
        <v>0</v>
      </c>
      <c r="L107" s="4">
        <f>IF(澳门新定位结果!L107&lt;=0,0,1)</f>
        <v>0</v>
      </c>
      <c r="M107" s="4">
        <f>IF(澳门新定位结果!M107&lt;=0,0,1)</f>
        <v>0</v>
      </c>
      <c r="N107" s="4">
        <f>IF(澳门新定位结果!N107&lt;=0,0,1)</f>
        <v>0</v>
      </c>
      <c r="O107" s="4">
        <f>IF(澳门新定位结果!O107&lt;=0,0,1)</f>
        <v>0</v>
      </c>
    </row>
    <row r="108" spans="1:15">
      <c r="A108" s="4" t="s">
        <v>235</v>
      </c>
      <c r="B108" s="4">
        <f>IF(澳门新定位结果!B108&lt;=0,0,1)</f>
        <v>0</v>
      </c>
      <c r="C108" s="4">
        <f>IF(澳门新定位结果!C108&lt;=0,0,1)</f>
        <v>1</v>
      </c>
      <c r="D108" s="4">
        <f>IF(澳门新定位结果!D108&lt;=0,0,1)</f>
        <v>0</v>
      </c>
      <c r="E108" s="4">
        <f>IF(澳门新定位结果!E108&lt;=0,0,1)</f>
        <v>0</v>
      </c>
      <c r="F108" s="4">
        <f>IF(澳门新定位结果!F108&lt;=0,0,1)</f>
        <v>1</v>
      </c>
      <c r="G108" s="4">
        <f>IF(澳门新定位结果!G108&lt;=0,0,1)</f>
        <v>0</v>
      </c>
      <c r="H108" s="4">
        <f>IF(澳门新定位结果!H108&lt;=0,0,1)</f>
        <v>1</v>
      </c>
      <c r="I108" s="4">
        <f>IF(澳门新定位结果!I108&lt;=0,0,1)</f>
        <v>0</v>
      </c>
      <c r="J108" s="4">
        <f>IF(澳门新定位结果!J108&lt;=0,0,1)</f>
        <v>1</v>
      </c>
      <c r="K108" s="4">
        <f>IF(澳门新定位结果!K108&lt;=0,0,1)</f>
        <v>0</v>
      </c>
      <c r="L108" s="4">
        <f>IF(澳门新定位结果!L108&lt;=0,0,1)</f>
        <v>0</v>
      </c>
      <c r="M108" s="4">
        <f>IF(澳门新定位结果!M108&lt;=0,0,1)</f>
        <v>1</v>
      </c>
      <c r="N108" s="4">
        <f>IF(澳门新定位结果!N108&lt;=0,0,1)</f>
        <v>1</v>
      </c>
      <c r="O108" s="4">
        <f>IF(澳门新定位结果!O108&lt;=0,0,1)</f>
        <v>0</v>
      </c>
    </row>
    <row r="109" spans="1:15">
      <c r="A109" s="4" t="s">
        <v>237</v>
      </c>
      <c r="B109" s="4">
        <f>IF(澳门新定位结果!B109&lt;=0,0,1)</f>
        <v>0</v>
      </c>
      <c r="C109" s="4">
        <f>IF(澳门新定位结果!C109&lt;=0,0,1)</f>
        <v>1</v>
      </c>
      <c r="D109" s="4">
        <f>IF(澳门新定位结果!D109&lt;=0,0,1)</f>
        <v>0</v>
      </c>
      <c r="E109" s="4">
        <f>IF(澳门新定位结果!E109&lt;=0,0,1)</f>
        <v>0</v>
      </c>
      <c r="F109" s="4">
        <f>IF(澳门新定位结果!F109&lt;=0,0,1)</f>
        <v>1</v>
      </c>
      <c r="G109" s="4">
        <f>IF(澳门新定位结果!G109&lt;=0,0,1)</f>
        <v>1</v>
      </c>
      <c r="H109" s="4">
        <f>IF(澳门新定位结果!H109&lt;=0,0,1)</f>
        <v>0</v>
      </c>
      <c r="I109" s="4">
        <f>IF(澳门新定位结果!I109&lt;=0,0,1)</f>
        <v>1</v>
      </c>
      <c r="J109" s="4">
        <f>IF(澳门新定位结果!J109&lt;=0,0,1)</f>
        <v>0</v>
      </c>
      <c r="K109" s="4">
        <f>IF(澳门新定位结果!K109&lt;=0,0,1)</f>
        <v>0</v>
      </c>
      <c r="L109" s="4">
        <f>IF(澳门新定位结果!L109&lt;=0,0,1)</f>
        <v>1</v>
      </c>
      <c r="M109" s="4">
        <f>IF(澳门新定位结果!M109&lt;=0,0,1)</f>
        <v>0</v>
      </c>
      <c r="N109" s="4">
        <f>IF(澳门新定位结果!N109&lt;=0,0,1)</f>
        <v>0</v>
      </c>
      <c r="O109" s="4">
        <f>IF(澳门新定位结果!O109&lt;=0,0,1)</f>
        <v>0</v>
      </c>
    </row>
    <row r="110" spans="1:15">
      <c r="A110" s="4" t="s">
        <v>239</v>
      </c>
      <c r="B110" s="4">
        <f>IF(澳门新定位结果!B110&lt;=0,0,1)</f>
        <v>0</v>
      </c>
      <c r="C110" s="4">
        <f>IF(澳门新定位结果!C110&lt;=0,0,1)</f>
        <v>0</v>
      </c>
      <c r="D110" s="4">
        <f>IF(澳门新定位结果!D110&lt;=0,0,1)</f>
        <v>0</v>
      </c>
      <c r="E110" s="4">
        <f>IF(澳门新定位结果!E110&lt;=0,0,1)</f>
        <v>0</v>
      </c>
      <c r="F110" s="4">
        <f>IF(澳门新定位结果!F110&lt;=0,0,1)</f>
        <v>1</v>
      </c>
      <c r="G110" s="4">
        <f>IF(澳门新定位结果!G110&lt;=0,0,1)</f>
        <v>1</v>
      </c>
      <c r="H110" s="4">
        <f>IF(澳门新定位结果!H110&lt;=0,0,1)</f>
        <v>0</v>
      </c>
      <c r="I110" s="4">
        <f>IF(澳门新定位结果!I110&lt;=0,0,1)</f>
        <v>1</v>
      </c>
      <c r="J110" s="4">
        <f>IF(澳门新定位结果!J110&lt;=0,0,1)</f>
        <v>0</v>
      </c>
      <c r="K110" s="4">
        <f>IF(澳门新定位结果!K110&lt;=0,0,1)</f>
        <v>0</v>
      </c>
      <c r="L110" s="4">
        <f>IF(澳门新定位结果!L110&lt;=0,0,1)</f>
        <v>0</v>
      </c>
      <c r="M110" s="4">
        <f>IF(澳门新定位结果!M110&lt;=0,0,1)</f>
        <v>1</v>
      </c>
      <c r="N110" s="4">
        <f>IF(澳门新定位结果!N110&lt;=0,0,1)</f>
        <v>1</v>
      </c>
      <c r="O110" s="4">
        <f>IF(澳门新定位结果!O110&lt;=0,0,1)</f>
        <v>0</v>
      </c>
    </row>
    <row r="111" spans="1:15">
      <c r="A111" s="4" t="s">
        <v>241</v>
      </c>
      <c r="B111" s="4">
        <f>IF(澳门新定位结果!B111&lt;=0,0,1)</f>
        <v>1</v>
      </c>
      <c r="C111" s="4">
        <f>IF(澳门新定位结果!C111&lt;=0,0,1)</f>
        <v>1</v>
      </c>
      <c r="D111" s="4">
        <f>IF(澳门新定位结果!D111&lt;=0,0,1)</f>
        <v>0</v>
      </c>
      <c r="E111" s="4">
        <f>IF(澳门新定位结果!E111&lt;=0,0,1)</f>
        <v>1</v>
      </c>
      <c r="F111" s="4">
        <f>IF(澳门新定位结果!F111&lt;=0,0,1)</f>
        <v>0</v>
      </c>
      <c r="G111" s="4">
        <f>IF(澳门新定位结果!G111&lt;=0,0,1)</f>
        <v>1</v>
      </c>
      <c r="H111" s="4">
        <f>IF(澳门新定位结果!H111&lt;=0,0,1)</f>
        <v>1</v>
      </c>
      <c r="I111" s="4">
        <f>IF(澳门新定位结果!I111&lt;=0,0,1)</f>
        <v>1</v>
      </c>
      <c r="J111" s="4">
        <f>IF(澳门新定位结果!J111&lt;=0,0,1)</f>
        <v>1</v>
      </c>
      <c r="K111" s="4">
        <f>IF(澳门新定位结果!K111&lt;=0,0,1)</f>
        <v>1</v>
      </c>
      <c r="L111" s="4">
        <f>IF(澳门新定位结果!L111&lt;=0,0,1)</f>
        <v>1</v>
      </c>
      <c r="M111" s="4">
        <f>IF(澳门新定位结果!M111&lt;=0,0,1)</f>
        <v>1</v>
      </c>
      <c r="N111" s="4">
        <f>IF(澳门新定位结果!N111&lt;=0,0,1)</f>
        <v>0</v>
      </c>
      <c r="O111" s="4">
        <f>IF(澳门新定位结果!O111&lt;=0,0,1)</f>
        <v>0</v>
      </c>
    </row>
    <row r="112" spans="1:15">
      <c r="A112" s="4" t="s">
        <v>243</v>
      </c>
      <c r="B112" s="4">
        <f>IF(澳门新定位结果!B112&lt;=0,0,1)</f>
        <v>0</v>
      </c>
      <c r="C112" s="4">
        <f>IF(澳门新定位结果!C112&lt;=0,0,1)</f>
        <v>1</v>
      </c>
      <c r="D112" s="4">
        <f>IF(澳门新定位结果!D112&lt;=0,0,1)</f>
        <v>0</v>
      </c>
      <c r="E112" s="4">
        <f>IF(澳门新定位结果!E112&lt;=0,0,1)</f>
        <v>0</v>
      </c>
      <c r="F112" s="4">
        <f>IF(澳门新定位结果!F112&lt;=0,0,1)</f>
        <v>0</v>
      </c>
      <c r="G112" s="4">
        <f>IF(澳门新定位结果!G112&lt;=0,0,1)</f>
        <v>0</v>
      </c>
      <c r="H112" s="4">
        <f>IF(澳门新定位结果!H112&lt;=0,0,1)</f>
        <v>0</v>
      </c>
      <c r="I112" s="4">
        <f>IF(澳门新定位结果!I112&lt;=0,0,1)</f>
        <v>1</v>
      </c>
      <c r="J112" s="4">
        <f>IF(澳门新定位结果!J112&lt;=0,0,1)</f>
        <v>0</v>
      </c>
      <c r="K112" s="4">
        <f>IF(澳门新定位结果!K112&lt;=0,0,1)</f>
        <v>1</v>
      </c>
      <c r="L112" s="4">
        <f>IF(澳门新定位结果!L112&lt;=0,0,1)</f>
        <v>1</v>
      </c>
      <c r="M112" s="4">
        <f>IF(澳门新定位结果!M112&lt;=0,0,1)</f>
        <v>0</v>
      </c>
      <c r="N112" s="4">
        <f>IF(澳门新定位结果!N112&lt;=0,0,1)</f>
        <v>0</v>
      </c>
      <c r="O112" s="4">
        <f>IF(澳门新定位结果!O112&lt;=0,0,1)</f>
        <v>1</v>
      </c>
    </row>
    <row r="113" spans="1:15">
      <c r="A113" s="4" t="s">
        <v>245</v>
      </c>
      <c r="B113" s="4">
        <f>IF(澳门新定位结果!B113&lt;=0,0,1)</f>
        <v>0</v>
      </c>
      <c r="C113" s="4">
        <f>IF(澳门新定位结果!C113&lt;=0,0,1)</f>
        <v>0</v>
      </c>
      <c r="D113" s="4">
        <f>IF(澳门新定位结果!D113&lt;=0,0,1)</f>
        <v>0</v>
      </c>
      <c r="E113" s="4">
        <f>IF(澳门新定位结果!E113&lt;=0,0,1)</f>
        <v>0</v>
      </c>
      <c r="F113" s="4">
        <f>IF(澳门新定位结果!F113&lt;=0,0,1)</f>
        <v>1</v>
      </c>
      <c r="G113" s="4">
        <f>IF(澳门新定位结果!G113&lt;=0,0,1)</f>
        <v>0</v>
      </c>
      <c r="H113" s="4">
        <f>IF(澳门新定位结果!H113&lt;=0,0,1)</f>
        <v>0</v>
      </c>
      <c r="I113" s="4">
        <f>IF(澳门新定位结果!I113&lt;=0,0,1)</f>
        <v>0</v>
      </c>
      <c r="J113" s="4">
        <f>IF(澳门新定位结果!J113&lt;=0,0,1)</f>
        <v>0</v>
      </c>
      <c r="K113" s="4">
        <f>IF(澳门新定位结果!K113&lt;=0,0,1)</f>
        <v>0</v>
      </c>
      <c r="L113" s="4">
        <f>IF(澳门新定位结果!L113&lt;=0,0,1)</f>
        <v>0</v>
      </c>
      <c r="M113" s="4">
        <f>IF(澳门新定位结果!M113&lt;=0,0,1)</f>
        <v>0</v>
      </c>
      <c r="N113" s="4">
        <f>IF(澳门新定位结果!N113&lt;=0,0,1)</f>
        <v>0</v>
      </c>
      <c r="O113" s="4">
        <f>IF(澳门新定位结果!O113&lt;=0,0,1)</f>
        <v>0</v>
      </c>
    </row>
    <row r="114" spans="1:15">
      <c r="A114" s="4" t="s">
        <v>247</v>
      </c>
      <c r="B114" s="4">
        <f>IF(澳门新定位结果!B114&lt;=0,0,1)</f>
        <v>1</v>
      </c>
      <c r="C114" s="4">
        <f>IF(澳门新定位结果!C114&lt;=0,0,1)</f>
        <v>0</v>
      </c>
      <c r="D114" s="4">
        <f>IF(澳门新定位结果!D114&lt;=0,0,1)</f>
        <v>0</v>
      </c>
      <c r="E114" s="4">
        <f>IF(澳门新定位结果!E114&lt;=0,0,1)</f>
        <v>0</v>
      </c>
      <c r="F114" s="4">
        <f>IF(澳门新定位结果!F114&lt;=0,0,1)</f>
        <v>0</v>
      </c>
      <c r="G114" s="4">
        <f>IF(澳门新定位结果!G114&lt;=0,0,1)</f>
        <v>0</v>
      </c>
      <c r="H114" s="4">
        <f>IF(澳门新定位结果!H114&lt;=0,0,1)</f>
        <v>0</v>
      </c>
      <c r="I114" s="4">
        <f>IF(澳门新定位结果!I114&lt;=0,0,1)</f>
        <v>0</v>
      </c>
      <c r="J114" s="4">
        <f>IF(澳门新定位结果!J114&lt;=0,0,1)</f>
        <v>0</v>
      </c>
      <c r="K114" s="4">
        <f>IF(澳门新定位结果!K114&lt;=0,0,1)</f>
        <v>0</v>
      </c>
      <c r="L114" s="4">
        <f>IF(澳门新定位结果!L114&lt;=0,0,1)</f>
        <v>0</v>
      </c>
      <c r="M114" s="4">
        <f>IF(澳门新定位结果!M114&lt;=0,0,1)</f>
        <v>0</v>
      </c>
      <c r="N114" s="4">
        <f>IF(澳门新定位结果!N114&lt;=0,0,1)</f>
        <v>1</v>
      </c>
      <c r="O114" s="4">
        <f>IF(澳门新定位结果!O114&lt;=0,0,1)</f>
        <v>1</v>
      </c>
    </row>
    <row r="115" spans="1:15">
      <c r="A115" s="4" t="s">
        <v>249</v>
      </c>
      <c r="B115" s="4">
        <f>IF(澳门新定位结果!B115&lt;=0,0,1)</f>
        <v>0</v>
      </c>
      <c r="C115" s="4">
        <f>IF(澳门新定位结果!C115&lt;=0,0,1)</f>
        <v>0</v>
      </c>
      <c r="D115" s="4">
        <f>IF(澳门新定位结果!D115&lt;=0,0,1)</f>
        <v>0</v>
      </c>
      <c r="E115" s="4">
        <f>IF(澳门新定位结果!E115&lt;=0,0,1)</f>
        <v>0</v>
      </c>
      <c r="F115" s="4">
        <f>IF(澳门新定位结果!F115&lt;=0,0,1)</f>
        <v>0</v>
      </c>
      <c r="G115" s="4">
        <f>IF(澳门新定位结果!G115&lt;=0,0,1)</f>
        <v>1</v>
      </c>
      <c r="H115" s="4">
        <f>IF(澳门新定位结果!H115&lt;=0,0,1)</f>
        <v>0</v>
      </c>
      <c r="I115" s="4">
        <f>IF(澳门新定位结果!I115&lt;=0,0,1)</f>
        <v>1</v>
      </c>
      <c r="J115" s="4">
        <f>IF(澳门新定位结果!J115&lt;=0,0,1)</f>
        <v>0</v>
      </c>
      <c r="K115" s="4">
        <f>IF(澳门新定位结果!K115&lt;=0,0,1)</f>
        <v>1</v>
      </c>
      <c r="L115" s="4">
        <f>IF(澳门新定位结果!L115&lt;=0,0,1)</f>
        <v>0</v>
      </c>
      <c r="M115" s="4">
        <f>IF(澳门新定位结果!M115&lt;=0,0,1)</f>
        <v>0</v>
      </c>
      <c r="N115" s="4">
        <f>IF(澳门新定位结果!N115&lt;=0,0,1)</f>
        <v>0</v>
      </c>
      <c r="O115" s="4">
        <f>IF(澳门新定位结果!O115&lt;=0,0,1)</f>
        <v>0</v>
      </c>
    </row>
    <row r="116" spans="1:15">
      <c r="A116" s="4" t="s">
        <v>251</v>
      </c>
      <c r="B116" s="4">
        <f>IF(澳门新定位结果!B116&lt;=0,0,1)</f>
        <v>0</v>
      </c>
      <c r="C116" s="4">
        <f>IF(澳门新定位结果!C116&lt;=0,0,1)</f>
        <v>0</v>
      </c>
      <c r="D116" s="4">
        <f>IF(澳门新定位结果!D116&lt;=0,0,1)</f>
        <v>0</v>
      </c>
      <c r="E116" s="4">
        <f>IF(澳门新定位结果!E116&lt;=0,0,1)</f>
        <v>0</v>
      </c>
      <c r="F116" s="4">
        <f>IF(澳门新定位结果!F116&lt;=0,0,1)</f>
        <v>0</v>
      </c>
      <c r="G116" s="4">
        <f>IF(澳门新定位结果!G116&lt;=0,0,1)</f>
        <v>0</v>
      </c>
      <c r="H116" s="4">
        <f>IF(澳门新定位结果!H116&lt;=0,0,1)</f>
        <v>1</v>
      </c>
      <c r="I116" s="4">
        <f>IF(澳门新定位结果!I116&lt;=0,0,1)</f>
        <v>1</v>
      </c>
      <c r="J116" s="4">
        <f>IF(澳门新定位结果!J116&lt;=0,0,1)</f>
        <v>1</v>
      </c>
      <c r="K116" s="4">
        <f>IF(澳门新定位结果!K116&lt;=0,0,1)</f>
        <v>1</v>
      </c>
      <c r="L116" s="4">
        <f>IF(澳门新定位结果!L116&lt;=0,0,1)</f>
        <v>1</v>
      </c>
      <c r="M116" s="4">
        <f>IF(澳门新定位结果!M116&lt;=0,0,1)</f>
        <v>1</v>
      </c>
      <c r="N116" s="4">
        <f>IF(澳门新定位结果!N116&lt;=0,0,1)</f>
        <v>1</v>
      </c>
      <c r="O116" s="4">
        <f>IF(澳门新定位结果!O116&lt;=0,0,1)</f>
        <v>0</v>
      </c>
    </row>
    <row r="117" spans="1:15">
      <c r="A117" s="4" t="s">
        <v>253</v>
      </c>
      <c r="B117" s="4">
        <f>IF(澳门新定位结果!B117&lt;=0,0,1)</f>
        <v>1</v>
      </c>
      <c r="C117" s="4">
        <f>IF(澳门新定位结果!C117&lt;=0,0,1)</f>
        <v>0</v>
      </c>
      <c r="D117" s="4">
        <f>IF(澳门新定位结果!D117&lt;=0,0,1)</f>
        <v>0</v>
      </c>
      <c r="E117" s="4">
        <f>IF(澳门新定位结果!E117&lt;=0,0,1)</f>
        <v>1</v>
      </c>
      <c r="F117" s="4">
        <f>IF(澳门新定位结果!F117&lt;=0,0,1)</f>
        <v>1</v>
      </c>
      <c r="G117" s="4">
        <f>IF(澳门新定位结果!G117&lt;=0,0,1)</f>
        <v>0</v>
      </c>
      <c r="H117" s="4">
        <f>IF(澳门新定位结果!H117&lt;=0,0,1)</f>
        <v>0</v>
      </c>
      <c r="I117" s="4">
        <f>IF(澳门新定位结果!I117&lt;=0,0,1)</f>
        <v>0</v>
      </c>
      <c r="J117" s="4">
        <f>IF(澳门新定位结果!J117&lt;=0,0,1)</f>
        <v>0</v>
      </c>
      <c r="K117" s="4">
        <f>IF(澳门新定位结果!K117&lt;=0,0,1)</f>
        <v>0</v>
      </c>
      <c r="L117" s="4">
        <f>IF(澳门新定位结果!L117&lt;=0,0,1)</f>
        <v>1</v>
      </c>
      <c r="M117" s="4">
        <f>IF(澳门新定位结果!M117&lt;=0,0,1)</f>
        <v>0</v>
      </c>
      <c r="N117" s="4">
        <f>IF(澳门新定位结果!N117&lt;=0,0,1)</f>
        <v>0</v>
      </c>
      <c r="O117" s="4">
        <f>IF(澳门新定位结果!O117&lt;=0,0,1)</f>
        <v>1</v>
      </c>
    </row>
    <row r="118" spans="1:15">
      <c r="A118" s="4" t="s">
        <v>255</v>
      </c>
      <c r="B118" s="4">
        <f>IF(澳门新定位结果!B118&lt;=0,0,1)</f>
        <v>0</v>
      </c>
      <c r="C118" s="4">
        <f>IF(澳门新定位结果!C118&lt;=0,0,1)</f>
        <v>1</v>
      </c>
      <c r="D118" s="4">
        <f>IF(澳门新定位结果!D118&lt;=0,0,1)</f>
        <v>1</v>
      </c>
      <c r="E118" s="4">
        <f>IF(澳门新定位结果!E118&lt;=0,0,1)</f>
        <v>1</v>
      </c>
      <c r="F118" s="4">
        <f>IF(澳门新定位结果!F118&lt;=0,0,1)</f>
        <v>1</v>
      </c>
      <c r="G118" s="4">
        <f>IF(澳门新定位结果!G118&lt;=0,0,1)</f>
        <v>0</v>
      </c>
      <c r="H118" s="4">
        <f>IF(澳门新定位结果!H118&lt;=0,0,1)</f>
        <v>1</v>
      </c>
      <c r="I118" s="4">
        <f>IF(澳门新定位结果!I118&lt;=0,0,1)</f>
        <v>1</v>
      </c>
      <c r="J118" s="4">
        <f>IF(澳门新定位结果!J118&lt;=0,0,1)</f>
        <v>0</v>
      </c>
      <c r="K118" s="4">
        <f>IF(澳门新定位结果!K118&lt;=0,0,1)</f>
        <v>1</v>
      </c>
      <c r="L118" s="4">
        <f>IF(澳门新定位结果!L118&lt;=0,0,1)</f>
        <v>0</v>
      </c>
      <c r="M118" s="4">
        <f>IF(澳门新定位结果!M118&lt;=0,0,1)</f>
        <v>1</v>
      </c>
      <c r="N118" s="4">
        <f>IF(澳门新定位结果!N118&lt;=0,0,1)</f>
        <v>1</v>
      </c>
      <c r="O118" s="4">
        <f>IF(澳门新定位结果!O118&lt;=0,0,1)</f>
        <v>1</v>
      </c>
    </row>
    <row r="119" spans="1:15">
      <c r="A119" s="4" t="s">
        <v>257</v>
      </c>
      <c r="B119" s="4">
        <f>IF(澳门新定位结果!B119&lt;=0,0,1)</f>
        <v>1</v>
      </c>
      <c r="C119" s="4">
        <f>IF(澳门新定位结果!C119&lt;=0,0,1)</f>
        <v>0</v>
      </c>
      <c r="D119" s="4">
        <f>IF(澳门新定位结果!D119&lt;=0,0,1)</f>
        <v>1</v>
      </c>
      <c r="E119" s="4">
        <f>IF(澳门新定位结果!E119&lt;=0,0,1)</f>
        <v>1</v>
      </c>
      <c r="F119" s="4">
        <f>IF(澳门新定位结果!F119&lt;=0,0,1)</f>
        <v>0</v>
      </c>
      <c r="G119" s="4">
        <f>IF(澳门新定位结果!G119&lt;=0,0,1)</f>
        <v>1</v>
      </c>
      <c r="H119" s="4">
        <f>IF(澳门新定位结果!H119&lt;=0,0,1)</f>
        <v>1</v>
      </c>
      <c r="I119" s="4">
        <f>IF(澳门新定位结果!I119&lt;=0,0,1)</f>
        <v>0</v>
      </c>
      <c r="J119" s="4">
        <f>IF(澳门新定位结果!J119&lt;=0,0,1)</f>
        <v>0</v>
      </c>
      <c r="K119" s="4">
        <f>IF(澳门新定位结果!K119&lt;=0,0,1)</f>
        <v>0</v>
      </c>
      <c r="L119" s="4">
        <f>IF(澳门新定位结果!L119&lt;=0,0,1)</f>
        <v>0</v>
      </c>
      <c r="M119" s="4">
        <f>IF(澳门新定位结果!M119&lt;=0,0,1)</f>
        <v>0</v>
      </c>
      <c r="N119" s="4">
        <f>IF(澳门新定位结果!N119&lt;=0,0,1)</f>
        <v>0</v>
      </c>
      <c r="O119" s="4">
        <f>IF(澳门新定位结果!O119&lt;=0,0,1)</f>
        <v>1</v>
      </c>
    </row>
    <row r="120" spans="1:15">
      <c r="A120" s="4" t="s">
        <v>259</v>
      </c>
      <c r="B120" s="4">
        <f>IF(澳门新定位结果!B120&lt;=0,0,1)</f>
        <v>0</v>
      </c>
      <c r="C120" s="4">
        <f>IF(澳门新定位结果!C120&lt;=0,0,1)</f>
        <v>0</v>
      </c>
      <c r="D120" s="4">
        <f>IF(澳门新定位结果!D120&lt;=0,0,1)</f>
        <v>1</v>
      </c>
      <c r="E120" s="4">
        <f>IF(澳门新定位结果!E120&lt;=0,0,1)</f>
        <v>0</v>
      </c>
      <c r="F120" s="4">
        <f>IF(澳门新定位结果!F120&lt;=0,0,1)</f>
        <v>1</v>
      </c>
      <c r="G120" s="4">
        <f>IF(澳门新定位结果!G120&lt;=0,0,1)</f>
        <v>0</v>
      </c>
      <c r="H120" s="4">
        <f>IF(澳门新定位结果!H120&lt;=0,0,1)</f>
        <v>0</v>
      </c>
      <c r="I120" s="4">
        <f>IF(澳门新定位结果!I120&lt;=0,0,1)</f>
        <v>0</v>
      </c>
      <c r="J120" s="4">
        <f>IF(澳门新定位结果!J120&lt;=0,0,1)</f>
        <v>0</v>
      </c>
      <c r="K120" s="4">
        <f>IF(澳门新定位结果!K120&lt;=0,0,1)</f>
        <v>0</v>
      </c>
      <c r="L120" s="4">
        <f>IF(澳门新定位结果!L120&lt;=0,0,1)</f>
        <v>1</v>
      </c>
      <c r="M120" s="4">
        <f>IF(澳门新定位结果!M120&lt;=0,0,1)</f>
        <v>0</v>
      </c>
      <c r="N120" s="4">
        <f>IF(澳门新定位结果!N120&lt;=0,0,1)</f>
        <v>1</v>
      </c>
      <c r="O120" s="4">
        <f>IF(澳门新定位结果!O120&lt;=0,0,1)</f>
        <v>1</v>
      </c>
    </row>
    <row r="121" spans="1:15">
      <c r="A121" s="4" t="s">
        <v>261</v>
      </c>
      <c r="B121" s="4">
        <f>IF(澳门新定位结果!B121&lt;=0,0,1)</f>
        <v>1</v>
      </c>
      <c r="C121" s="4">
        <f>IF(澳门新定位结果!C121&lt;=0,0,1)</f>
        <v>1</v>
      </c>
      <c r="D121" s="4">
        <f>IF(澳门新定位结果!D121&lt;=0,0,1)</f>
        <v>0</v>
      </c>
      <c r="E121" s="4">
        <f>IF(澳门新定位结果!E121&lt;=0,0,1)</f>
        <v>0</v>
      </c>
      <c r="F121" s="4">
        <f>IF(澳门新定位结果!F121&lt;=0,0,1)</f>
        <v>0</v>
      </c>
      <c r="G121" s="4">
        <f>IF(澳门新定位结果!G121&lt;=0,0,1)</f>
        <v>0</v>
      </c>
      <c r="H121" s="4">
        <f>IF(澳门新定位结果!H121&lt;=0,0,1)</f>
        <v>1</v>
      </c>
      <c r="I121" s="4">
        <f>IF(澳门新定位结果!I121&lt;=0,0,1)</f>
        <v>1</v>
      </c>
      <c r="J121" s="4">
        <f>IF(澳门新定位结果!J121&lt;=0,0,1)</f>
        <v>1</v>
      </c>
      <c r="K121" s="4">
        <f>IF(澳门新定位结果!K121&lt;=0,0,1)</f>
        <v>1</v>
      </c>
      <c r="L121" s="4">
        <f>IF(澳门新定位结果!L121&lt;=0,0,1)</f>
        <v>1</v>
      </c>
      <c r="M121" s="4">
        <f>IF(澳门新定位结果!M121&lt;=0,0,1)</f>
        <v>0</v>
      </c>
      <c r="N121" s="4">
        <f>IF(澳门新定位结果!N121&lt;=0,0,1)</f>
        <v>0</v>
      </c>
      <c r="O121" s="4">
        <f>IF(澳门新定位结果!O121&lt;=0,0,1)</f>
        <v>0</v>
      </c>
    </row>
    <row r="122" spans="1:15">
      <c r="A122" s="4" t="s">
        <v>263</v>
      </c>
      <c r="B122" s="4">
        <f>IF(澳门新定位结果!B122&lt;=0,0,1)</f>
        <v>1</v>
      </c>
      <c r="C122" s="4">
        <f>IF(澳门新定位结果!C122&lt;=0,0,1)</f>
        <v>1</v>
      </c>
      <c r="D122" s="4">
        <f>IF(澳门新定位结果!D122&lt;=0,0,1)</f>
        <v>0</v>
      </c>
      <c r="E122" s="4">
        <f>IF(澳门新定位结果!E122&lt;=0,0,1)</f>
        <v>0</v>
      </c>
      <c r="F122" s="4">
        <f>IF(澳门新定位结果!F122&lt;=0,0,1)</f>
        <v>1</v>
      </c>
      <c r="G122" s="4">
        <f>IF(澳门新定位结果!G122&lt;=0,0,1)</f>
        <v>0</v>
      </c>
      <c r="H122" s="4">
        <f>IF(澳门新定位结果!H122&lt;=0,0,1)</f>
        <v>1</v>
      </c>
      <c r="I122" s="4">
        <f>IF(澳门新定位结果!I122&lt;=0,0,1)</f>
        <v>1</v>
      </c>
      <c r="J122" s="4">
        <f>IF(澳门新定位结果!J122&lt;=0,0,1)</f>
        <v>0</v>
      </c>
      <c r="K122" s="4">
        <f>IF(澳门新定位结果!K122&lt;=0,0,1)</f>
        <v>1</v>
      </c>
      <c r="L122" s="4">
        <f>IF(澳门新定位结果!L122&lt;=0,0,1)</f>
        <v>0</v>
      </c>
      <c r="M122" s="4">
        <f>IF(澳门新定位结果!M122&lt;=0,0,1)</f>
        <v>0</v>
      </c>
      <c r="N122" s="4">
        <f>IF(澳门新定位结果!N122&lt;=0,0,1)</f>
        <v>0</v>
      </c>
      <c r="O122" s="4">
        <f>IF(澳门新定位结果!O122&lt;=0,0,1)</f>
        <v>1</v>
      </c>
    </row>
    <row r="123" spans="1:15">
      <c r="A123" s="4" t="s">
        <v>265</v>
      </c>
      <c r="B123" s="4">
        <f>IF(澳门新定位结果!B123&lt;=0,0,1)</f>
        <v>1</v>
      </c>
      <c r="C123" s="4">
        <f>IF(澳门新定位结果!C123&lt;=0,0,1)</f>
        <v>0</v>
      </c>
      <c r="D123" s="4">
        <f>IF(澳门新定位结果!D123&lt;=0,0,1)</f>
        <v>0</v>
      </c>
      <c r="E123" s="4">
        <f>IF(澳门新定位结果!E123&lt;=0,0,1)</f>
        <v>1</v>
      </c>
      <c r="F123" s="4">
        <f>IF(澳门新定位结果!F123&lt;=0,0,1)</f>
        <v>0</v>
      </c>
      <c r="G123" s="4">
        <f>IF(澳门新定位结果!G123&lt;=0,0,1)</f>
        <v>0</v>
      </c>
      <c r="H123" s="4">
        <f>IF(澳门新定位结果!H123&lt;=0,0,1)</f>
        <v>0</v>
      </c>
      <c r="I123" s="4">
        <f>IF(澳门新定位结果!I123&lt;=0,0,1)</f>
        <v>0</v>
      </c>
      <c r="J123" s="4">
        <f>IF(澳门新定位结果!J123&lt;=0,0,1)</f>
        <v>1</v>
      </c>
      <c r="K123" s="4">
        <f>IF(澳门新定位结果!K123&lt;=0,0,1)</f>
        <v>0</v>
      </c>
      <c r="L123" s="4">
        <f>IF(澳门新定位结果!L123&lt;=0,0,1)</f>
        <v>1</v>
      </c>
      <c r="M123" s="4">
        <f>IF(澳门新定位结果!M123&lt;=0,0,1)</f>
        <v>0</v>
      </c>
      <c r="N123" s="4">
        <f>IF(澳门新定位结果!N123&lt;=0,0,1)</f>
        <v>1</v>
      </c>
      <c r="O123" s="4">
        <f>IF(澳门新定位结果!O123&lt;=0,0,1)</f>
        <v>0</v>
      </c>
    </row>
    <row r="124" spans="1:15">
      <c r="A124" s="4" t="s">
        <v>267</v>
      </c>
      <c r="B124" s="4">
        <f>IF(澳门新定位结果!B124&lt;=0,0,1)</f>
        <v>0</v>
      </c>
      <c r="C124" s="4">
        <f>IF(澳门新定位结果!C124&lt;=0,0,1)</f>
        <v>1</v>
      </c>
      <c r="D124" s="4">
        <f>IF(澳门新定位结果!D124&lt;=0,0,1)</f>
        <v>0</v>
      </c>
      <c r="E124" s="4">
        <f>IF(澳门新定位结果!E124&lt;=0,0,1)</f>
        <v>1</v>
      </c>
      <c r="F124" s="4">
        <f>IF(澳门新定位结果!F124&lt;=0,0,1)</f>
        <v>0</v>
      </c>
      <c r="G124" s="4">
        <f>IF(澳门新定位结果!G124&lt;=0,0,1)</f>
        <v>1</v>
      </c>
      <c r="H124" s="4">
        <f>IF(澳门新定位结果!H124&lt;=0,0,1)</f>
        <v>1</v>
      </c>
      <c r="I124" s="4">
        <f>IF(澳门新定位结果!I124&lt;=0,0,1)</f>
        <v>1</v>
      </c>
      <c r="J124" s="4">
        <f>IF(澳门新定位结果!J124&lt;=0,0,1)</f>
        <v>0</v>
      </c>
      <c r="K124" s="4">
        <f>IF(澳门新定位结果!K124&lt;=0,0,1)</f>
        <v>1</v>
      </c>
      <c r="L124" s="4">
        <f>IF(澳门新定位结果!L124&lt;=0,0,1)</f>
        <v>1</v>
      </c>
      <c r="M124" s="4">
        <f>IF(澳门新定位结果!M124&lt;=0,0,1)</f>
        <v>0</v>
      </c>
      <c r="N124" s="4">
        <f>IF(澳门新定位结果!N124&lt;=0,0,1)</f>
        <v>0</v>
      </c>
      <c r="O124" s="4">
        <f>IF(澳门新定位结果!O124&lt;=0,0,1)</f>
        <v>0</v>
      </c>
    </row>
    <row r="125" spans="1:15">
      <c r="A125" s="4" t="s">
        <v>269</v>
      </c>
      <c r="B125" s="4">
        <f>IF(澳门新定位结果!B125&lt;=0,0,1)</f>
        <v>1</v>
      </c>
      <c r="C125" s="4">
        <f>IF(澳门新定位结果!C125&lt;=0,0,1)</f>
        <v>1</v>
      </c>
      <c r="D125" s="4">
        <f>IF(澳门新定位结果!D125&lt;=0,0,1)</f>
        <v>0</v>
      </c>
      <c r="E125" s="4">
        <f>IF(澳门新定位结果!E125&lt;=0,0,1)</f>
        <v>0</v>
      </c>
      <c r="F125" s="4">
        <f>IF(澳门新定位结果!F125&lt;=0,0,1)</f>
        <v>1</v>
      </c>
      <c r="G125" s="4">
        <f>IF(澳门新定位结果!G125&lt;=0,0,1)</f>
        <v>0</v>
      </c>
      <c r="H125" s="4">
        <f>IF(澳门新定位结果!H125&lt;=0,0,1)</f>
        <v>0</v>
      </c>
      <c r="I125" s="4">
        <f>IF(澳门新定位结果!I125&lt;=0,0,1)</f>
        <v>0</v>
      </c>
      <c r="J125" s="4">
        <f>IF(澳门新定位结果!J125&lt;=0,0,1)</f>
        <v>0</v>
      </c>
      <c r="K125" s="4">
        <f>IF(澳门新定位结果!K125&lt;=0,0,1)</f>
        <v>0</v>
      </c>
      <c r="L125" s="4">
        <f>IF(澳门新定位结果!L125&lt;=0,0,1)</f>
        <v>0</v>
      </c>
      <c r="M125" s="4">
        <f>IF(澳门新定位结果!M125&lt;=0,0,1)</f>
        <v>0</v>
      </c>
      <c r="N125" s="4">
        <f>IF(澳门新定位结果!N125&lt;=0,0,1)</f>
        <v>1</v>
      </c>
      <c r="O125" s="4">
        <f>IF(澳门新定位结果!O125&lt;=0,0,1)</f>
        <v>1</v>
      </c>
    </row>
    <row r="126" spans="1:15">
      <c r="A126" s="4" t="s">
        <v>271</v>
      </c>
      <c r="B126" s="4">
        <f>IF(澳门新定位结果!B126&lt;=0,0,1)</f>
        <v>0</v>
      </c>
      <c r="C126" s="4">
        <f>IF(澳门新定位结果!C126&lt;=0,0,1)</f>
        <v>1</v>
      </c>
      <c r="D126" s="4">
        <f>IF(澳门新定位结果!D126&lt;=0,0,1)</f>
        <v>0</v>
      </c>
      <c r="E126" s="4">
        <f>IF(澳门新定位结果!E126&lt;=0,0,1)</f>
        <v>1</v>
      </c>
      <c r="F126" s="4">
        <f>IF(澳门新定位结果!F126&lt;=0,0,1)</f>
        <v>0</v>
      </c>
      <c r="G126" s="4">
        <f>IF(澳门新定位结果!G126&lt;=0,0,1)</f>
        <v>1</v>
      </c>
      <c r="H126" s="4">
        <f>IF(澳门新定位结果!H126&lt;=0,0,1)</f>
        <v>1</v>
      </c>
      <c r="I126" s="4">
        <f>IF(澳门新定位结果!I126&lt;=0,0,1)</f>
        <v>1</v>
      </c>
      <c r="J126" s="4">
        <f>IF(澳门新定位结果!J126&lt;=0,0,1)</f>
        <v>1</v>
      </c>
      <c r="K126" s="4">
        <f>IF(澳门新定位结果!K126&lt;=0,0,1)</f>
        <v>0</v>
      </c>
      <c r="L126" s="4">
        <f>IF(澳门新定位结果!L126&lt;=0,0,1)</f>
        <v>1</v>
      </c>
      <c r="M126" s="4">
        <f>IF(澳门新定位结果!M126&lt;=0,0,1)</f>
        <v>1</v>
      </c>
      <c r="N126" s="4">
        <f>IF(澳门新定位结果!N126&lt;=0,0,1)</f>
        <v>0</v>
      </c>
      <c r="O126" s="4">
        <f>IF(澳门新定位结果!O126&lt;=0,0,1)</f>
        <v>0</v>
      </c>
    </row>
    <row r="127" spans="1:15">
      <c r="A127" s="4" t="s">
        <v>273</v>
      </c>
      <c r="B127" s="4">
        <f>IF(澳门新定位结果!B127&lt;=0,0,1)</f>
        <v>0</v>
      </c>
      <c r="C127" s="4">
        <f>IF(澳门新定位结果!C127&lt;=0,0,1)</f>
        <v>0</v>
      </c>
      <c r="D127" s="4">
        <f>IF(澳门新定位结果!D127&lt;=0,0,1)</f>
        <v>0</v>
      </c>
      <c r="E127" s="4">
        <f>IF(澳门新定位结果!E127&lt;=0,0,1)</f>
        <v>1</v>
      </c>
      <c r="F127" s="4">
        <f>IF(澳门新定位结果!F127&lt;=0,0,1)</f>
        <v>1</v>
      </c>
      <c r="G127" s="4">
        <f>IF(澳门新定位结果!G127&lt;=0,0,1)</f>
        <v>0</v>
      </c>
      <c r="H127" s="4">
        <f>IF(澳门新定位结果!H127&lt;=0,0,1)</f>
        <v>0</v>
      </c>
      <c r="I127" s="4">
        <f>IF(澳门新定位结果!I127&lt;=0,0,1)</f>
        <v>1</v>
      </c>
      <c r="J127" s="4">
        <f>IF(澳门新定位结果!J127&lt;=0,0,1)</f>
        <v>1</v>
      </c>
      <c r="K127" s="4">
        <f>IF(澳门新定位结果!K127&lt;=0,0,1)</f>
        <v>1</v>
      </c>
      <c r="L127" s="4">
        <f>IF(澳门新定位结果!L127&lt;=0,0,1)</f>
        <v>1</v>
      </c>
      <c r="M127" s="4">
        <f>IF(澳门新定位结果!M127&lt;=0,0,1)</f>
        <v>0</v>
      </c>
      <c r="N127" s="4">
        <f>IF(澳门新定位结果!N127&lt;=0,0,1)</f>
        <v>0</v>
      </c>
      <c r="O127" s="4">
        <f>IF(澳门新定位结果!O127&lt;=0,0,1)</f>
        <v>1</v>
      </c>
    </row>
    <row r="128" spans="1:15">
      <c r="A128" s="4" t="s">
        <v>275</v>
      </c>
      <c r="B128" s="4">
        <f>IF(澳门新定位结果!B128&lt;=0,0,1)</f>
        <v>0</v>
      </c>
      <c r="C128" s="4">
        <f>IF(澳门新定位结果!C128&lt;=0,0,1)</f>
        <v>1</v>
      </c>
      <c r="D128" s="4">
        <f>IF(澳门新定位结果!D128&lt;=0,0,1)</f>
        <v>1</v>
      </c>
      <c r="E128" s="4">
        <f>IF(澳门新定位结果!E128&lt;=0,0,1)</f>
        <v>0</v>
      </c>
      <c r="F128" s="4">
        <f>IF(澳门新定位结果!F128&lt;=0,0,1)</f>
        <v>0</v>
      </c>
      <c r="G128" s="4">
        <f>IF(澳门新定位结果!G128&lt;=0,0,1)</f>
        <v>0</v>
      </c>
      <c r="H128" s="4">
        <f>IF(澳门新定位结果!H128&lt;=0,0,1)</f>
        <v>0</v>
      </c>
      <c r="I128" s="4">
        <f>IF(澳门新定位结果!I128&lt;=0,0,1)</f>
        <v>1</v>
      </c>
      <c r="J128" s="4">
        <f>IF(澳门新定位结果!J128&lt;=0,0,1)</f>
        <v>1</v>
      </c>
      <c r="K128" s="4">
        <f>IF(澳门新定位结果!K128&lt;=0,0,1)</f>
        <v>1</v>
      </c>
      <c r="L128" s="4">
        <f>IF(澳门新定位结果!L128&lt;=0,0,1)</f>
        <v>1</v>
      </c>
      <c r="M128" s="4">
        <f>IF(澳门新定位结果!M128&lt;=0,0,1)</f>
        <v>1</v>
      </c>
      <c r="N128" s="4">
        <f>IF(澳门新定位结果!N128&lt;=0,0,1)</f>
        <v>0</v>
      </c>
      <c r="O128" s="4">
        <f>IF(澳门新定位结果!O128&lt;=0,0,1)</f>
        <v>1</v>
      </c>
    </row>
    <row r="129" spans="1:15">
      <c r="A129" s="4" t="s">
        <v>277</v>
      </c>
      <c r="B129" s="4">
        <f>IF(澳门新定位结果!B129&lt;=0,0,1)</f>
        <v>0</v>
      </c>
      <c r="C129" s="4">
        <f>IF(澳门新定位结果!C129&lt;=0,0,1)</f>
        <v>1</v>
      </c>
      <c r="D129" s="4">
        <f>IF(澳门新定位结果!D129&lt;=0,0,1)</f>
        <v>1</v>
      </c>
      <c r="E129" s="4">
        <f>IF(澳门新定位结果!E129&lt;=0,0,1)</f>
        <v>1</v>
      </c>
      <c r="F129" s="4">
        <f>IF(澳门新定位结果!F129&lt;=0,0,1)</f>
        <v>0</v>
      </c>
      <c r="G129" s="4">
        <f>IF(澳门新定位结果!G129&lt;=0,0,1)</f>
        <v>1</v>
      </c>
      <c r="H129" s="4">
        <f>IF(澳门新定位结果!H129&lt;=0,0,1)</f>
        <v>0</v>
      </c>
      <c r="I129" s="4">
        <f>IF(澳门新定位结果!I129&lt;=0,0,1)</f>
        <v>1</v>
      </c>
      <c r="J129" s="4">
        <f>IF(澳门新定位结果!J129&lt;=0,0,1)</f>
        <v>0</v>
      </c>
      <c r="K129" s="4">
        <f>IF(澳门新定位结果!K129&lt;=0,0,1)</f>
        <v>1</v>
      </c>
      <c r="L129" s="4">
        <f>IF(澳门新定位结果!L129&lt;=0,0,1)</f>
        <v>1</v>
      </c>
      <c r="M129" s="4">
        <f>IF(澳门新定位结果!M129&lt;=0,0,1)</f>
        <v>0</v>
      </c>
      <c r="N129" s="4">
        <f>IF(澳门新定位结果!N129&lt;=0,0,1)</f>
        <v>0</v>
      </c>
      <c r="O129" s="4">
        <f>IF(澳门新定位结果!O129&lt;=0,0,1)</f>
        <v>1</v>
      </c>
    </row>
    <row r="130" spans="1:15">
      <c r="A130" s="4" t="s">
        <v>279</v>
      </c>
      <c r="B130" s="4">
        <f>IF(澳门新定位结果!B130&lt;=0,0,1)</f>
        <v>1</v>
      </c>
      <c r="C130" s="4">
        <f>IF(澳门新定位结果!C130&lt;=0,0,1)</f>
        <v>0</v>
      </c>
      <c r="D130" s="4">
        <f>IF(澳门新定位结果!D130&lt;=0,0,1)</f>
        <v>1</v>
      </c>
      <c r="E130" s="4">
        <f>IF(澳门新定位结果!E130&lt;=0,0,1)</f>
        <v>1</v>
      </c>
      <c r="F130" s="4">
        <f>IF(澳门新定位结果!F130&lt;=0,0,1)</f>
        <v>1</v>
      </c>
      <c r="G130" s="4">
        <f>IF(澳门新定位结果!G130&lt;=0,0,1)</f>
        <v>1</v>
      </c>
      <c r="H130" s="4">
        <f>IF(澳门新定位结果!H130&lt;=0,0,1)</f>
        <v>0</v>
      </c>
      <c r="I130" s="4">
        <f>IF(澳门新定位结果!I130&lt;=0,0,1)</f>
        <v>0</v>
      </c>
      <c r="J130" s="4">
        <f>IF(澳门新定位结果!J130&lt;=0,0,1)</f>
        <v>1</v>
      </c>
      <c r="K130" s="4">
        <f>IF(澳门新定位结果!K130&lt;=0,0,1)</f>
        <v>0</v>
      </c>
      <c r="L130" s="4">
        <f>IF(澳门新定位结果!L130&lt;=0,0,1)</f>
        <v>0</v>
      </c>
      <c r="M130" s="4">
        <f>IF(澳门新定位结果!M130&lt;=0,0,1)</f>
        <v>1</v>
      </c>
      <c r="N130" s="4">
        <f>IF(澳门新定位结果!N130&lt;=0,0,1)</f>
        <v>0</v>
      </c>
      <c r="O130" s="4">
        <f>IF(澳门新定位结果!O130&lt;=0,0,1)</f>
        <v>1</v>
      </c>
    </row>
    <row r="131" spans="1:15">
      <c r="A131" s="4" t="s">
        <v>281</v>
      </c>
      <c r="B131" s="4">
        <f>IF(澳门新定位结果!B131&lt;=0,0,1)</f>
        <v>1</v>
      </c>
      <c r="C131" s="4">
        <f>IF(澳门新定位结果!C131&lt;=0,0,1)</f>
        <v>0</v>
      </c>
      <c r="D131" s="4">
        <f>IF(澳门新定位结果!D131&lt;=0,0,1)</f>
        <v>0</v>
      </c>
      <c r="E131" s="4">
        <f>IF(澳门新定位结果!E131&lt;=0,0,1)</f>
        <v>1</v>
      </c>
      <c r="F131" s="4">
        <f>IF(澳门新定位结果!F131&lt;=0,0,1)</f>
        <v>0</v>
      </c>
      <c r="G131" s="4">
        <f>IF(澳门新定位结果!G131&lt;=0,0,1)</f>
        <v>0</v>
      </c>
      <c r="H131" s="4">
        <f>IF(澳门新定位结果!H131&lt;=0,0,1)</f>
        <v>1</v>
      </c>
      <c r="I131" s="4">
        <f>IF(澳门新定位结果!I131&lt;=0,0,1)</f>
        <v>1</v>
      </c>
      <c r="J131" s="4">
        <f>IF(澳门新定位结果!J131&lt;=0,0,1)</f>
        <v>0</v>
      </c>
      <c r="K131" s="4">
        <f>IF(澳门新定位结果!K131&lt;=0,0,1)</f>
        <v>1</v>
      </c>
      <c r="L131" s="4">
        <f>IF(澳门新定位结果!L131&lt;=0,0,1)</f>
        <v>1</v>
      </c>
      <c r="M131" s="4">
        <f>IF(澳门新定位结果!M131&lt;=0,0,1)</f>
        <v>1</v>
      </c>
      <c r="N131" s="4">
        <f>IF(澳门新定位结果!N131&lt;=0,0,1)</f>
        <v>0</v>
      </c>
      <c r="O131" s="4">
        <f>IF(澳门新定位结果!O131&lt;=0,0,1)</f>
        <v>0</v>
      </c>
    </row>
    <row r="132" spans="1:15">
      <c r="A132" s="4" t="s">
        <v>283</v>
      </c>
      <c r="B132" s="4">
        <f>IF(澳门新定位结果!B132&lt;=0,0,1)</f>
        <v>1</v>
      </c>
      <c r="C132" s="4">
        <f>IF(澳门新定位结果!C132&lt;=0,0,1)</f>
        <v>1</v>
      </c>
      <c r="D132" s="4">
        <f>IF(澳门新定位结果!D132&lt;=0,0,1)</f>
        <v>0</v>
      </c>
      <c r="E132" s="4">
        <f>IF(澳门新定位结果!E132&lt;=0,0,1)</f>
        <v>1</v>
      </c>
      <c r="F132" s="4">
        <f>IF(澳门新定位结果!F132&lt;=0,0,1)</f>
        <v>1</v>
      </c>
      <c r="G132" s="4">
        <f>IF(澳门新定位结果!G132&lt;=0,0,1)</f>
        <v>1</v>
      </c>
      <c r="H132" s="4">
        <f>IF(澳门新定位结果!H132&lt;=0,0,1)</f>
        <v>1</v>
      </c>
      <c r="I132" s="4">
        <f>IF(澳门新定位结果!I132&lt;=0,0,1)</f>
        <v>1</v>
      </c>
      <c r="J132" s="4">
        <f>IF(澳门新定位结果!J132&lt;=0,0,1)</f>
        <v>0</v>
      </c>
      <c r="K132" s="4">
        <f>IF(澳门新定位结果!K132&lt;=0,0,1)</f>
        <v>0</v>
      </c>
      <c r="L132" s="4">
        <f>IF(澳门新定位结果!L132&lt;=0,0,1)</f>
        <v>1</v>
      </c>
      <c r="M132" s="4">
        <f>IF(澳门新定位结果!M132&lt;=0,0,1)</f>
        <v>0</v>
      </c>
      <c r="N132" s="4">
        <f>IF(澳门新定位结果!N132&lt;=0,0,1)</f>
        <v>0</v>
      </c>
      <c r="O132" s="4">
        <f>IF(澳门新定位结果!O132&lt;=0,0,1)</f>
        <v>1</v>
      </c>
    </row>
    <row r="133" spans="1:15">
      <c r="A133" s="4" t="s">
        <v>285</v>
      </c>
      <c r="B133" s="4">
        <f>IF(澳门新定位结果!B133&lt;=0,0,1)</f>
        <v>0</v>
      </c>
      <c r="C133" s="4">
        <f>IF(澳门新定位结果!C133&lt;=0,0,1)</f>
        <v>1</v>
      </c>
      <c r="D133" s="4">
        <f>IF(澳门新定位结果!D133&lt;=0,0,1)</f>
        <v>1</v>
      </c>
      <c r="E133" s="4">
        <f>IF(澳门新定位结果!E133&lt;=0,0,1)</f>
        <v>1</v>
      </c>
      <c r="F133" s="4">
        <f>IF(澳门新定位结果!F133&lt;=0,0,1)</f>
        <v>1</v>
      </c>
      <c r="G133" s="4">
        <f>IF(澳门新定位结果!G133&lt;=0,0,1)</f>
        <v>0</v>
      </c>
      <c r="H133" s="4">
        <f>IF(澳门新定位结果!H133&lt;=0,0,1)</f>
        <v>1</v>
      </c>
      <c r="I133" s="4">
        <f>IF(澳门新定位结果!I133&lt;=0,0,1)</f>
        <v>0</v>
      </c>
      <c r="J133" s="4">
        <f>IF(澳门新定位结果!J133&lt;=0,0,1)</f>
        <v>0</v>
      </c>
      <c r="K133" s="4">
        <f>IF(澳门新定位结果!K133&lt;=0,0,1)</f>
        <v>1</v>
      </c>
      <c r="L133" s="4">
        <f>IF(澳门新定位结果!L133&lt;=0,0,1)</f>
        <v>0</v>
      </c>
      <c r="M133" s="4">
        <f>IF(澳门新定位结果!M133&lt;=0,0,1)</f>
        <v>0</v>
      </c>
      <c r="N133" s="4">
        <f>IF(澳门新定位结果!N133&lt;=0,0,1)</f>
        <v>1</v>
      </c>
      <c r="O133" s="4">
        <f>IF(澳门新定位结果!O133&lt;=0,0,1)</f>
        <v>1</v>
      </c>
    </row>
    <row r="134" spans="1:15">
      <c r="A134" s="4" t="s">
        <v>287</v>
      </c>
      <c r="B134" s="4">
        <f>IF(澳门新定位结果!B134&lt;=0,0,1)</f>
        <v>1</v>
      </c>
      <c r="C134" s="4">
        <f>IF(澳门新定位结果!C134&lt;=0,0,1)</f>
        <v>0</v>
      </c>
      <c r="D134" s="4">
        <f>IF(澳门新定位结果!D134&lt;=0,0,1)</f>
        <v>0</v>
      </c>
      <c r="E134" s="4">
        <f>IF(澳门新定位结果!E134&lt;=0,0,1)</f>
        <v>0</v>
      </c>
      <c r="F134" s="4">
        <f>IF(澳门新定位结果!F134&lt;=0,0,1)</f>
        <v>0</v>
      </c>
      <c r="G134" s="4">
        <f>IF(澳门新定位结果!G134&lt;=0,0,1)</f>
        <v>0</v>
      </c>
      <c r="H134" s="4">
        <f>IF(澳门新定位结果!H134&lt;=0,0,1)</f>
        <v>1</v>
      </c>
      <c r="I134" s="4">
        <f>IF(澳门新定位结果!I134&lt;=0,0,1)</f>
        <v>1</v>
      </c>
      <c r="J134" s="4">
        <f>IF(澳门新定位结果!J134&lt;=0,0,1)</f>
        <v>0</v>
      </c>
      <c r="K134" s="4">
        <f>IF(澳门新定位结果!K134&lt;=0,0,1)</f>
        <v>1</v>
      </c>
      <c r="L134" s="4">
        <f>IF(澳门新定位结果!L134&lt;=0,0,1)</f>
        <v>0</v>
      </c>
      <c r="M134" s="4">
        <f>IF(澳门新定位结果!M134&lt;=0,0,1)</f>
        <v>0</v>
      </c>
      <c r="N134" s="4">
        <f>IF(澳门新定位结果!N134&lt;=0,0,1)</f>
        <v>0</v>
      </c>
      <c r="O134" s="4">
        <f>IF(澳门新定位结果!O134&lt;=0,0,1)</f>
        <v>1</v>
      </c>
    </row>
    <row r="135" spans="1:15">
      <c r="A135" s="4" t="s">
        <v>289</v>
      </c>
      <c r="B135" s="4">
        <f>IF(澳门新定位结果!B135&lt;=0,0,1)</f>
        <v>0</v>
      </c>
      <c r="C135" s="4">
        <f>IF(澳门新定位结果!C135&lt;=0,0,1)</f>
        <v>1</v>
      </c>
      <c r="D135" s="4">
        <f>IF(澳门新定位结果!D135&lt;=0,0,1)</f>
        <v>0</v>
      </c>
      <c r="E135" s="4">
        <f>IF(澳门新定位结果!E135&lt;=0,0,1)</f>
        <v>1</v>
      </c>
      <c r="F135" s="4">
        <f>IF(澳门新定位结果!F135&lt;=0,0,1)</f>
        <v>1</v>
      </c>
      <c r="G135" s="4">
        <f>IF(澳门新定位结果!G135&lt;=0,0,1)</f>
        <v>1</v>
      </c>
      <c r="H135" s="4">
        <f>IF(澳门新定位结果!H135&lt;=0,0,1)</f>
        <v>0</v>
      </c>
      <c r="I135" s="4">
        <f>IF(澳门新定位结果!I135&lt;=0,0,1)</f>
        <v>1</v>
      </c>
      <c r="J135" s="4">
        <f>IF(澳门新定位结果!J135&lt;=0,0,1)</f>
        <v>1</v>
      </c>
      <c r="K135" s="4">
        <f>IF(澳门新定位结果!K135&lt;=0,0,1)</f>
        <v>0</v>
      </c>
      <c r="L135" s="4">
        <f>IF(澳门新定位结果!L135&lt;=0,0,1)</f>
        <v>0</v>
      </c>
      <c r="M135" s="4">
        <f>IF(澳门新定位结果!M135&lt;=0,0,1)</f>
        <v>0</v>
      </c>
      <c r="N135" s="4">
        <f>IF(澳门新定位结果!N135&lt;=0,0,1)</f>
        <v>0</v>
      </c>
      <c r="O135" s="4">
        <f>IF(澳门新定位结果!O135&lt;=0,0,1)</f>
        <v>1</v>
      </c>
    </row>
    <row r="136" spans="1:15">
      <c r="A136" s="4" t="s">
        <v>291</v>
      </c>
      <c r="B136" s="4">
        <f>IF(澳门新定位结果!B136&lt;=0,0,1)</f>
        <v>0</v>
      </c>
      <c r="C136" s="4">
        <f>IF(澳门新定位结果!C136&lt;=0,0,1)</f>
        <v>1</v>
      </c>
      <c r="D136" s="4">
        <f>IF(澳门新定位结果!D136&lt;=0,0,1)</f>
        <v>0</v>
      </c>
      <c r="E136" s="4">
        <f>IF(澳门新定位结果!E136&lt;=0,0,1)</f>
        <v>1</v>
      </c>
      <c r="F136" s="4">
        <f>IF(澳门新定位结果!F136&lt;=0,0,1)</f>
        <v>0</v>
      </c>
      <c r="G136" s="4">
        <f>IF(澳门新定位结果!G136&lt;=0,0,1)</f>
        <v>0</v>
      </c>
      <c r="H136" s="4">
        <f>IF(澳门新定位结果!H136&lt;=0,0,1)</f>
        <v>1</v>
      </c>
      <c r="I136" s="4">
        <f>IF(澳门新定位结果!I136&lt;=0,0,1)</f>
        <v>1</v>
      </c>
      <c r="J136" s="4">
        <f>IF(澳门新定位结果!J136&lt;=0,0,1)</f>
        <v>0</v>
      </c>
      <c r="K136" s="4">
        <f>IF(澳门新定位结果!K136&lt;=0,0,1)</f>
        <v>1</v>
      </c>
      <c r="L136" s="4">
        <f>IF(澳门新定位结果!L136&lt;=0,0,1)</f>
        <v>1</v>
      </c>
      <c r="M136" s="4">
        <f>IF(澳门新定位结果!M136&lt;=0,0,1)</f>
        <v>0</v>
      </c>
      <c r="N136" s="4">
        <f>IF(澳门新定位结果!N136&lt;=0,0,1)</f>
        <v>1</v>
      </c>
      <c r="O136" s="4">
        <f>IF(澳门新定位结果!O136&lt;=0,0,1)</f>
        <v>0</v>
      </c>
    </row>
    <row r="137" spans="1:15">
      <c r="A137" s="4" t="s">
        <v>293</v>
      </c>
      <c r="B137" s="4">
        <f>IF(澳门新定位结果!B137&lt;=0,0,1)</f>
        <v>0</v>
      </c>
      <c r="C137" s="4">
        <f>IF(澳门新定位结果!C137&lt;=0,0,1)</f>
        <v>1</v>
      </c>
      <c r="D137" s="4">
        <f>IF(澳门新定位结果!D137&lt;=0,0,1)</f>
        <v>0</v>
      </c>
      <c r="E137" s="4">
        <f>IF(澳门新定位结果!E137&lt;=0,0,1)</f>
        <v>0</v>
      </c>
      <c r="F137" s="4">
        <f>IF(澳门新定位结果!F137&lt;=0,0,1)</f>
        <v>1</v>
      </c>
      <c r="G137" s="4">
        <f>IF(澳门新定位结果!G137&lt;=0,0,1)</f>
        <v>1</v>
      </c>
      <c r="H137" s="4">
        <f>IF(澳门新定位结果!H137&lt;=0,0,1)</f>
        <v>1</v>
      </c>
      <c r="I137" s="4">
        <f>IF(澳门新定位结果!I137&lt;=0,0,1)</f>
        <v>1</v>
      </c>
      <c r="J137" s="4">
        <f>IF(澳门新定位结果!J137&lt;=0,0,1)</f>
        <v>1</v>
      </c>
      <c r="K137" s="4">
        <f>IF(澳门新定位结果!K137&lt;=0,0,1)</f>
        <v>1</v>
      </c>
      <c r="L137" s="4">
        <f>IF(澳门新定位结果!L137&lt;=0,0,1)</f>
        <v>1</v>
      </c>
      <c r="M137" s="4">
        <f>IF(澳门新定位结果!M137&lt;=0,0,1)</f>
        <v>1</v>
      </c>
      <c r="N137" s="4">
        <f>IF(澳门新定位结果!N137&lt;=0,0,1)</f>
        <v>0</v>
      </c>
      <c r="O137" s="4">
        <f>IF(澳门新定位结果!O137&lt;=0,0,1)</f>
        <v>0</v>
      </c>
    </row>
    <row r="138" spans="1:15">
      <c r="A138" s="4" t="s">
        <v>295</v>
      </c>
      <c r="B138" s="4">
        <f>IF(澳门新定位结果!B138&lt;=0,0,1)</f>
        <v>0</v>
      </c>
      <c r="C138" s="4">
        <f>IF(澳门新定位结果!C138&lt;=0,0,1)</f>
        <v>1</v>
      </c>
      <c r="D138" s="4">
        <f>IF(澳门新定位结果!D138&lt;=0,0,1)</f>
        <v>0</v>
      </c>
      <c r="E138" s="4">
        <f>IF(澳门新定位结果!E138&lt;=0,0,1)</f>
        <v>0</v>
      </c>
      <c r="F138" s="4">
        <f>IF(澳门新定位结果!F138&lt;=0,0,1)</f>
        <v>1</v>
      </c>
      <c r="G138" s="4">
        <f>IF(澳门新定位结果!G138&lt;=0,0,1)</f>
        <v>0</v>
      </c>
      <c r="H138" s="4">
        <f>IF(澳门新定位结果!H138&lt;=0,0,1)</f>
        <v>1</v>
      </c>
      <c r="I138" s="4">
        <f>IF(澳门新定位结果!I138&lt;=0,0,1)</f>
        <v>0</v>
      </c>
      <c r="J138" s="4">
        <f>IF(澳门新定位结果!J138&lt;=0,0,1)</f>
        <v>1</v>
      </c>
      <c r="K138" s="4">
        <f>IF(澳门新定位结果!K138&lt;=0,0,1)</f>
        <v>0</v>
      </c>
      <c r="L138" s="4">
        <f>IF(澳门新定位结果!L138&lt;=0,0,1)</f>
        <v>0</v>
      </c>
      <c r="M138" s="4">
        <f>IF(澳门新定位结果!M138&lt;=0,0,1)</f>
        <v>1</v>
      </c>
      <c r="N138" s="4">
        <f>IF(澳门新定位结果!N138&lt;=0,0,1)</f>
        <v>1</v>
      </c>
      <c r="O138" s="4">
        <f>IF(澳门新定位结果!O138&lt;=0,0,1)</f>
        <v>0</v>
      </c>
    </row>
    <row r="139" spans="1:15">
      <c r="A139" s="4" t="s">
        <v>297</v>
      </c>
      <c r="B139" s="4">
        <f>IF(澳门新定位结果!B139&lt;=0,0,1)</f>
        <v>0</v>
      </c>
      <c r="C139" s="4">
        <f>IF(澳门新定位结果!C139&lt;=0,0,1)</f>
        <v>1</v>
      </c>
      <c r="D139" s="4">
        <f>IF(澳门新定位结果!D139&lt;=0,0,1)</f>
        <v>0</v>
      </c>
      <c r="E139" s="4">
        <f>IF(澳门新定位结果!E139&lt;=0,0,1)</f>
        <v>1</v>
      </c>
      <c r="F139" s="4">
        <f>IF(澳门新定位结果!F139&lt;=0,0,1)</f>
        <v>0</v>
      </c>
      <c r="G139" s="4">
        <f>IF(澳门新定位结果!G139&lt;=0,0,1)</f>
        <v>1</v>
      </c>
      <c r="H139" s="4">
        <f>IF(澳门新定位结果!H139&lt;=0,0,1)</f>
        <v>1</v>
      </c>
      <c r="I139" s="4">
        <f>IF(澳门新定位结果!I139&lt;=0,0,1)</f>
        <v>1</v>
      </c>
      <c r="J139" s="4">
        <f>IF(澳门新定位结果!J139&lt;=0,0,1)</f>
        <v>0</v>
      </c>
      <c r="K139" s="4">
        <f>IF(澳门新定位结果!K139&lt;=0,0,1)</f>
        <v>0</v>
      </c>
      <c r="L139" s="4">
        <f>IF(澳门新定位结果!L139&lt;=0,0,1)</f>
        <v>1</v>
      </c>
      <c r="M139" s="4">
        <f>IF(澳门新定位结果!M139&lt;=0,0,1)</f>
        <v>1</v>
      </c>
      <c r="N139" s="4">
        <f>IF(澳门新定位结果!N139&lt;=0,0,1)</f>
        <v>1</v>
      </c>
      <c r="O139" s="4">
        <f>IF(澳门新定位结果!O139&lt;=0,0,1)</f>
        <v>0</v>
      </c>
    </row>
    <row r="140" spans="1:15">
      <c r="A140" s="4" t="s">
        <v>299</v>
      </c>
      <c r="B140" s="4">
        <f>IF(澳门新定位结果!B140&lt;=0,0,1)</f>
        <v>0</v>
      </c>
      <c r="C140" s="4">
        <f>IF(澳门新定位结果!C140&lt;=0,0,1)</f>
        <v>1</v>
      </c>
      <c r="D140" s="4">
        <f>IF(澳门新定位结果!D140&lt;=0,0,1)</f>
        <v>1</v>
      </c>
      <c r="E140" s="4">
        <f>IF(澳门新定位结果!E140&lt;=0,0,1)</f>
        <v>0</v>
      </c>
      <c r="F140" s="4">
        <f>IF(澳门新定位结果!F140&lt;=0,0,1)</f>
        <v>1</v>
      </c>
      <c r="G140" s="4">
        <f>IF(澳门新定位结果!G140&lt;=0,0,1)</f>
        <v>1</v>
      </c>
      <c r="H140" s="4">
        <f>IF(澳门新定位结果!H140&lt;=0,0,1)</f>
        <v>0</v>
      </c>
      <c r="I140" s="4">
        <f>IF(澳门新定位结果!I140&lt;=0,0,1)</f>
        <v>1</v>
      </c>
      <c r="J140" s="4">
        <f>IF(澳门新定位结果!J140&lt;=0,0,1)</f>
        <v>0</v>
      </c>
      <c r="K140" s="4">
        <f>IF(澳门新定位结果!K140&lt;=0,0,1)</f>
        <v>1</v>
      </c>
      <c r="L140" s="4">
        <f>IF(澳门新定位结果!L140&lt;=0,0,1)</f>
        <v>0</v>
      </c>
      <c r="M140" s="4">
        <f>IF(澳门新定位结果!M140&lt;=0,0,1)</f>
        <v>1</v>
      </c>
      <c r="N140" s="4">
        <f>IF(澳门新定位结果!N140&lt;=0,0,1)</f>
        <v>1</v>
      </c>
      <c r="O140" s="4">
        <f>IF(澳门新定位结果!O140&lt;=0,0,1)</f>
        <v>0</v>
      </c>
    </row>
    <row r="141" spans="1:15">
      <c r="A141" s="4" t="s">
        <v>301</v>
      </c>
      <c r="B141" s="4">
        <f>IF(澳门新定位结果!B141&lt;=0,0,1)</f>
        <v>0</v>
      </c>
      <c r="C141" s="4">
        <f>IF(澳门新定位结果!C141&lt;=0,0,1)</f>
        <v>1</v>
      </c>
      <c r="D141" s="4">
        <f>IF(澳门新定位结果!D141&lt;=0,0,1)</f>
        <v>1</v>
      </c>
      <c r="E141" s="4">
        <f>IF(澳门新定位结果!E141&lt;=0,0,1)</f>
        <v>1</v>
      </c>
      <c r="F141" s="4">
        <f>IF(澳门新定位结果!F141&lt;=0,0,1)</f>
        <v>0</v>
      </c>
      <c r="G141" s="4">
        <f>IF(澳门新定位结果!G141&lt;=0,0,1)</f>
        <v>0</v>
      </c>
      <c r="H141" s="4">
        <f>IF(澳门新定位结果!H141&lt;=0,0,1)</f>
        <v>1</v>
      </c>
      <c r="I141" s="4">
        <f>IF(澳门新定位结果!I141&lt;=0,0,1)</f>
        <v>0</v>
      </c>
      <c r="J141" s="4">
        <f>IF(澳门新定位结果!J141&lt;=0,0,1)</f>
        <v>1</v>
      </c>
      <c r="K141" s="4">
        <f>IF(澳门新定位结果!K141&lt;=0,0,1)</f>
        <v>1</v>
      </c>
      <c r="L141" s="4">
        <f>IF(澳门新定位结果!L141&lt;=0,0,1)</f>
        <v>0</v>
      </c>
      <c r="M141" s="4">
        <f>IF(澳门新定位结果!M141&lt;=0,0,1)</f>
        <v>0</v>
      </c>
      <c r="N141" s="4">
        <f>IF(澳门新定位结果!N141&lt;=0,0,1)</f>
        <v>1</v>
      </c>
      <c r="O141" s="4">
        <f>IF(澳门新定位结果!O141&lt;=0,0,1)</f>
        <v>0</v>
      </c>
    </row>
    <row r="142" spans="1:15">
      <c r="A142" s="4" t="s">
        <v>303</v>
      </c>
      <c r="B142" s="4">
        <f>IF(澳门新定位结果!B142&lt;=0,0,1)</f>
        <v>0</v>
      </c>
      <c r="C142" s="4">
        <f>IF(澳门新定位结果!C142&lt;=0,0,1)</f>
        <v>1</v>
      </c>
      <c r="D142" s="4">
        <f>IF(澳门新定位结果!D142&lt;=0,0,1)</f>
        <v>0</v>
      </c>
      <c r="E142" s="4">
        <f>IF(澳门新定位结果!E142&lt;=0,0,1)</f>
        <v>0</v>
      </c>
      <c r="F142" s="4">
        <f>IF(澳门新定位结果!F142&lt;=0,0,1)</f>
        <v>0</v>
      </c>
      <c r="G142" s="4">
        <f>IF(澳门新定位结果!G142&lt;=0,0,1)</f>
        <v>0</v>
      </c>
      <c r="H142" s="4">
        <f>IF(澳门新定位结果!H142&lt;=0,0,1)</f>
        <v>1</v>
      </c>
      <c r="I142" s="4">
        <f>IF(澳门新定位结果!I142&lt;=0,0,1)</f>
        <v>1</v>
      </c>
      <c r="J142" s="4">
        <f>IF(澳门新定位结果!J142&lt;=0,0,1)</f>
        <v>1</v>
      </c>
      <c r="K142" s="4">
        <f>IF(澳门新定位结果!K142&lt;=0,0,1)</f>
        <v>1</v>
      </c>
      <c r="L142" s="4">
        <f>IF(澳门新定位结果!L142&lt;=0,0,1)</f>
        <v>1</v>
      </c>
      <c r="M142" s="4">
        <f>IF(澳门新定位结果!M142&lt;=0,0,1)</f>
        <v>0</v>
      </c>
      <c r="N142" s="4">
        <f>IF(澳门新定位结果!N142&lt;=0,0,1)</f>
        <v>0</v>
      </c>
      <c r="O142" s="4">
        <f>IF(澳门新定位结果!O142&lt;=0,0,1)</f>
        <v>1</v>
      </c>
    </row>
    <row r="143" spans="1:15">
      <c r="A143" s="4" t="s">
        <v>305</v>
      </c>
      <c r="B143" s="4">
        <f>IF(澳门新定位结果!B143&lt;=0,0,1)</f>
        <v>1</v>
      </c>
      <c r="C143" s="4">
        <f>IF(澳门新定位结果!C143&lt;=0,0,1)</f>
        <v>1</v>
      </c>
      <c r="D143" s="4">
        <f>IF(澳门新定位结果!D143&lt;=0,0,1)</f>
        <v>0</v>
      </c>
      <c r="E143" s="4">
        <f>IF(澳门新定位结果!E143&lt;=0,0,1)</f>
        <v>1</v>
      </c>
      <c r="F143" s="4">
        <f>IF(澳门新定位结果!F143&lt;=0,0,1)</f>
        <v>1</v>
      </c>
      <c r="G143" s="4">
        <f>IF(澳门新定位结果!G143&lt;=0,0,1)</f>
        <v>0</v>
      </c>
      <c r="H143" s="4">
        <f>IF(澳门新定位结果!H143&lt;=0,0,1)</f>
        <v>1</v>
      </c>
      <c r="I143" s="4">
        <f>IF(澳门新定位结果!I143&lt;=0,0,1)</f>
        <v>1</v>
      </c>
      <c r="J143" s="4">
        <f>IF(澳门新定位结果!J143&lt;=0,0,1)</f>
        <v>1</v>
      </c>
      <c r="K143" s="4">
        <f>IF(澳门新定位结果!K143&lt;=0,0,1)</f>
        <v>0</v>
      </c>
      <c r="L143" s="4">
        <f>IF(澳门新定位结果!L143&lt;=0,0,1)</f>
        <v>1</v>
      </c>
      <c r="M143" s="4">
        <f>IF(澳门新定位结果!M143&lt;=0,0,1)</f>
        <v>0</v>
      </c>
      <c r="N143" s="4">
        <f>IF(澳门新定位结果!N143&lt;=0,0,1)</f>
        <v>1</v>
      </c>
      <c r="O143" s="4">
        <f>IF(澳门新定位结果!O143&lt;=0,0,1)</f>
        <v>1</v>
      </c>
    </row>
    <row r="144" spans="1:15">
      <c r="A144" s="4" t="s">
        <v>307</v>
      </c>
      <c r="B144" s="4">
        <f>IF(澳门新定位结果!B144&lt;=0,0,1)</f>
        <v>0</v>
      </c>
      <c r="C144" s="4">
        <f>IF(澳门新定位结果!C144&lt;=0,0,1)</f>
        <v>1</v>
      </c>
      <c r="D144" s="4">
        <f>IF(澳门新定位结果!D144&lt;=0,0,1)</f>
        <v>1</v>
      </c>
      <c r="E144" s="4">
        <f>IF(澳门新定位结果!E144&lt;=0,0,1)</f>
        <v>1</v>
      </c>
      <c r="F144" s="4">
        <f>IF(澳门新定位结果!F144&lt;=0,0,1)</f>
        <v>0</v>
      </c>
      <c r="G144" s="4">
        <f>IF(澳门新定位结果!G144&lt;=0,0,1)</f>
        <v>1</v>
      </c>
      <c r="H144" s="4">
        <f>IF(澳门新定位结果!H144&lt;=0,0,1)</f>
        <v>0</v>
      </c>
      <c r="I144" s="4">
        <f>IF(澳门新定位结果!I144&lt;=0,0,1)</f>
        <v>0</v>
      </c>
      <c r="J144" s="4">
        <f>IF(澳门新定位结果!J144&lt;=0,0,1)</f>
        <v>0</v>
      </c>
      <c r="K144" s="4">
        <f>IF(澳门新定位结果!K144&lt;=0,0,1)</f>
        <v>0</v>
      </c>
      <c r="L144" s="4">
        <f>IF(澳门新定位结果!L144&lt;=0,0,1)</f>
        <v>0</v>
      </c>
      <c r="M144" s="4">
        <f>IF(澳门新定位结果!M144&lt;=0,0,1)</f>
        <v>0</v>
      </c>
      <c r="N144" s="4">
        <f>IF(澳门新定位结果!N144&lt;=0,0,1)</f>
        <v>1</v>
      </c>
      <c r="O144" s="4">
        <f>IF(澳门新定位结果!O144&lt;=0,0,1)</f>
        <v>1</v>
      </c>
    </row>
    <row r="145" spans="1:15">
      <c r="A145" s="4" t="s">
        <v>309</v>
      </c>
      <c r="B145" s="4">
        <f>IF(澳门新定位结果!B145&lt;=0,0,1)</f>
        <v>0</v>
      </c>
      <c r="C145" s="4">
        <f>IF(澳门新定位结果!C145&lt;=0,0,1)</f>
        <v>1</v>
      </c>
      <c r="D145" s="4">
        <f>IF(澳门新定位结果!D145&lt;=0,0,1)</f>
        <v>1</v>
      </c>
      <c r="E145" s="4">
        <f>IF(澳门新定位结果!E145&lt;=0,0,1)</f>
        <v>0</v>
      </c>
      <c r="F145" s="4">
        <f>IF(澳门新定位结果!F145&lt;=0,0,1)</f>
        <v>1</v>
      </c>
      <c r="G145" s="4">
        <f>IF(澳门新定位结果!G145&lt;=0,0,1)</f>
        <v>0</v>
      </c>
      <c r="H145" s="4">
        <f>IF(澳门新定位结果!H145&lt;=0,0,1)</f>
        <v>0</v>
      </c>
      <c r="I145" s="4">
        <f>IF(澳门新定位结果!I145&lt;=0,0,1)</f>
        <v>1</v>
      </c>
      <c r="J145" s="4">
        <f>IF(澳门新定位结果!J145&lt;=0,0,1)</f>
        <v>0</v>
      </c>
      <c r="K145" s="4">
        <f>IF(澳门新定位结果!K145&lt;=0,0,1)</f>
        <v>1</v>
      </c>
      <c r="L145" s="4">
        <f>IF(澳门新定位结果!L145&lt;=0,0,1)</f>
        <v>0</v>
      </c>
      <c r="M145" s="4">
        <f>IF(澳门新定位结果!M145&lt;=0,0,1)</f>
        <v>0</v>
      </c>
      <c r="N145" s="4">
        <f>IF(澳门新定位结果!N145&lt;=0,0,1)</f>
        <v>0</v>
      </c>
      <c r="O145" s="4">
        <f>IF(澳门新定位结果!O145&lt;=0,0,1)</f>
        <v>1</v>
      </c>
    </row>
    <row r="146" spans="1:15">
      <c r="A146" s="4" t="s">
        <v>311</v>
      </c>
      <c r="B146" s="4">
        <f>IF(澳门新定位结果!B146&lt;=0,0,1)</f>
        <v>1</v>
      </c>
      <c r="C146" s="4">
        <f>IF(澳门新定位结果!C146&lt;=0,0,1)</f>
        <v>1</v>
      </c>
      <c r="D146" s="4">
        <f>IF(澳门新定位结果!D146&lt;=0,0,1)</f>
        <v>1</v>
      </c>
      <c r="E146" s="4">
        <f>IF(澳门新定位结果!E146&lt;=0,0,1)</f>
        <v>1</v>
      </c>
      <c r="F146" s="4">
        <f>IF(澳门新定位结果!F146&lt;=0,0,1)</f>
        <v>0</v>
      </c>
      <c r="G146" s="4">
        <f>IF(澳门新定位结果!G146&lt;=0,0,1)</f>
        <v>0</v>
      </c>
      <c r="H146" s="4">
        <f>IF(澳门新定位结果!H146&lt;=0,0,1)</f>
        <v>0</v>
      </c>
      <c r="I146" s="4">
        <f>IF(澳门新定位结果!I146&lt;=0,0,1)</f>
        <v>1</v>
      </c>
      <c r="J146" s="4">
        <f>IF(澳门新定位结果!J146&lt;=0,0,1)</f>
        <v>1</v>
      </c>
      <c r="K146" s="4">
        <f>IF(澳门新定位结果!K146&lt;=0,0,1)</f>
        <v>1</v>
      </c>
      <c r="L146" s="4">
        <f>IF(澳门新定位结果!L146&lt;=0,0,1)</f>
        <v>1</v>
      </c>
      <c r="M146" s="4">
        <f>IF(澳门新定位结果!M146&lt;=0,0,1)</f>
        <v>1</v>
      </c>
      <c r="N146" s="4">
        <f>IF(澳门新定位结果!N146&lt;=0,0,1)</f>
        <v>0</v>
      </c>
      <c r="O146" s="4">
        <f>IF(澳门新定位结果!O146&lt;=0,0,1)</f>
        <v>0</v>
      </c>
    </row>
    <row r="147" spans="1:15">
      <c r="A147" s="4" t="s">
        <v>313</v>
      </c>
      <c r="B147" s="4">
        <f>IF(澳门新定位结果!B147&lt;=0,0,1)</f>
        <v>1</v>
      </c>
      <c r="C147" s="4">
        <f>IF(澳门新定位结果!C147&lt;=0,0,1)</f>
        <v>0</v>
      </c>
      <c r="D147" s="4">
        <f>IF(澳门新定位结果!D147&lt;=0,0,1)</f>
        <v>0</v>
      </c>
      <c r="E147" s="4">
        <f>IF(澳门新定位结果!E147&lt;=0,0,1)</f>
        <v>1</v>
      </c>
      <c r="F147" s="4">
        <f>IF(澳门新定位结果!F147&lt;=0,0,1)</f>
        <v>1</v>
      </c>
      <c r="G147" s="4">
        <f>IF(澳门新定位结果!G147&lt;=0,0,1)</f>
        <v>1</v>
      </c>
      <c r="H147" s="4">
        <f>IF(澳门新定位结果!H147&lt;=0,0,1)</f>
        <v>1</v>
      </c>
      <c r="I147" s="4">
        <f>IF(澳门新定位结果!I147&lt;=0,0,1)</f>
        <v>1</v>
      </c>
      <c r="J147" s="4">
        <f>IF(澳门新定位结果!J147&lt;=0,0,1)</f>
        <v>0</v>
      </c>
      <c r="K147" s="4">
        <f>IF(澳门新定位结果!K147&lt;=0,0,1)</f>
        <v>1</v>
      </c>
      <c r="L147" s="4">
        <f>IF(澳门新定位结果!L147&lt;=0,0,1)</f>
        <v>1</v>
      </c>
      <c r="M147" s="4">
        <f>IF(澳门新定位结果!M147&lt;=0,0,1)</f>
        <v>1</v>
      </c>
      <c r="N147" s="4">
        <f>IF(澳门新定位结果!N147&lt;=0,0,1)</f>
        <v>0</v>
      </c>
      <c r="O147" s="4">
        <f>IF(澳门新定位结果!O147&lt;=0,0,1)</f>
        <v>1</v>
      </c>
    </row>
    <row r="148" spans="1:15">
      <c r="A148" s="4" t="s">
        <v>315</v>
      </c>
      <c r="B148" s="4">
        <f>IF(澳门新定位结果!B148&lt;=0,0,1)</f>
        <v>1</v>
      </c>
      <c r="C148" s="4">
        <f>IF(澳门新定位结果!C148&lt;=0,0,1)</f>
        <v>1</v>
      </c>
      <c r="D148" s="4">
        <f>IF(澳门新定位结果!D148&lt;=0,0,1)</f>
        <v>1</v>
      </c>
      <c r="E148" s="4">
        <f>IF(澳门新定位结果!E148&lt;=0,0,1)</f>
        <v>0</v>
      </c>
      <c r="F148" s="4">
        <f>IF(澳门新定位结果!F148&lt;=0,0,1)</f>
        <v>1</v>
      </c>
      <c r="G148" s="4">
        <f>IF(澳门新定位结果!G148&lt;=0,0,1)</f>
        <v>0</v>
      </c>
      <c r="H148" s="4">
        <f>IF(澳门新定位结果!H148&lt;=0,0,1)</f>
        <v>1</v>
      </c>
      <c r="I148" s="4">
        <f>IF(澳门新定位结果!I148&lt;=0,0,1)</f>
        <v>1</v>
      </c>
      <c r="J148" s="4">
        <f>IF(澳门新定位结果!J148&lt;=0,0,1)</f>
        <v>0</v>
      </c>
      <c r="K148" s="4">
        <f>IF(澳门新定位结果!K148&lt;=0,0,1)</f>
        <v>1</v>
      </c>
      <c r="L148" s="4">
        <f>IF(澳门新定位结果!L148&lt;=0,0,1)</f>
        <v>0</v>
      </c>
      <c r="M148" s="4">
        <f>IF(澳门新定位结果!M148&lt;=0,0,1)</f>
        <v>1</v>
      </c>
      <c r="N148" s="4">
        <f>IF(澳门新定位结果!N148&lt;=0,0,1)</f>
        <v>1</v>
      </c>
      <c r="O148" s="4">
        <f>IF(澳门新定位结果!O148&lt;=0,0,1)</f>
        <v>0</v>
      </c>
    </row>
    <row r="149" spans="1:15">
      <c r="A149" s="4" t="s">
        <v>317</v>
      </c>
      <c r="B149" s="4">
        <f>IF(澳门新定位结果!B149&lt;=0,0,1)</f>
        <v>0</v>
      </c>
      <c r="C149" s="4">
        <f>IF(澳门新定位结果!C149&lt;=0,0,1)</f>
        <v>0</v>
      </c>
      <c r="D149" s="4">
        <f>IF(澳门新定位结果!D149&lt;=0,0,1)</f>
        <v>1</v>
      </c>
      <c r="E149" s="4">
        <f>IF(澳门新定位结果!E149&lt;=0,0,1)</f>
        <v>1</v>
      </c>
      <c r="F149" s="4">
        <f>IF(澳门新定位结果!F149&lt;=0,0,1)</f>
        <v>0</v>
      </c>
      <c r="G149" s="4">
        <f>IF(澳门新定位结果!G149&lt;=0,0,1)</f>
        <v>1</v>
      </c>
      <c r="H149" s="4">
        <f>IF(澳门新定位结果!H149&lt;=0,0,1)</f>
        <v>0</v>
      </c>
      <c r="I149" s="4">
        <f>IF(澳门新定位结果!I149&lt;=0,0,1)</f>
        <v>0</v>
      </c>
      <c r="J149" s="4">
        <f>IF(澳门新定位结果!J149&lt;=0,0,1)</f>
        <v>0</v>
      </c>
      <c r="K149" s="4">
        <f>IF(澳门新定位结果!K149&lt;=0,0,1)</f>
        <v>1</v>
      </c>
      <c r="L149" s="4">
        <f>IF(澳门新定位结果!L149&lt;=0,0,1)</f>
        <v>0</v>
      </c>
      <c r="M149" s="4">
        <f>IF(澳门新定位结果!M149&lt;=0,0,1)</f>
        <v>0</v>
      </c>
      <c r="N149" s="4">
        <f>IF(澳门新定位结果!N149&lt;=0,0,1)</f>
        <v>0</v>
      </c>
      <c r="O149" s="4">
        <f>IF(澳门新定位结果!O149&lt;=0,0,1)</f>
        <v>1</v>
      </c>
    </row>
    <row r="150" spans="1:15">
      <c r="A150" s="4" t="s">
        <v>319</v>
      </c>
      <c r="B150" s="4">
        <f>IF(澳门新定位结果!B150&lt;=0,0,1)</f>
        <v>1</v>
      </c>
      <c r="C150" s="4">
        <f>IF(澳门新定位结果!C150&lt;=0,0,1)</f>
        <v>1</v>
      </c>
      <c r="D150" s="4">
        <f>IF(澳门新定位结果!D150&lt;=0,0,1)</f>
        <v>1</v>
      </c>
      <c r="E150" s="4">
        <f>IF(澳门新定位结果!E150&lt;=0,0,1)</f>
        <v>0</v>
      </c>
      <c r="F150" s="4">
        <f>IF(澳门新定位结果!F150&lt;=0,0,1)</f>
        <v>1</v>
      </c>
      <c r="G150" s="4">
        <f>IF(澳门新定位结果!G150&lt;=0,0,1)</f>
        <v>0</v>
      </c>
      <c r="H150" s="4">
        <f>IF(澳门新定位结果!H150&lt;=0,0,1)</f>
        <v>0</v>
      </c>
      <c r="I150" s="4">
        <f>IF(澳门新定位结果!I150&lt;=0,0,1)</f>
        <v>1</v>
      </c>
      <c r="J150" s="4">
        <f>IF(澳门新定位结果!J150&lt;=0,0,1)</f>
        <v>0</v>
      </c>
      <c r="K150" s="4">
        <f>IF(澳门新定位结果!K150&lt;=0,0,1)</f>
        <v>1</v>
      </c>
      <c r="L150" s="4">
        <f>IF(澳门新定位结果!L150&lt;=0,0,1)</f>
        <v>1</v>
      </c>
      <c r="M150" s="4">
        <f>IF(澳门新定位结果!M150&lt;=0,0,1)</f>
        <v>1</v>
      </c>
      <c r="N150" s="4">
        <f>IF(澳门新定位结果!N150&lt;=0,0,1)</f>
        <v>1</v>
      </c>
      <c r="O150" s="4">
        <f>IF(澳门新定位结果!O150&lt;=0,0,1)</f>
        <v>1</v>
      </c>
    </row>
    <row r="151" spans="1:15">
      <c r="A151" s="4" t="s">
        <v>321</v>
      </c>
      <c r="B151" s="4">
        <f>IF(澳门新定位结果!B151&lt;=0,0,1)</f>
        <v>0</v>
      </c>
      <c r="C151" s="4">
        <f>IF(澳门新定位结果!C151&lt;=0,0,1)</f>
        <v>1</v>
      </c>
      <c r="D151" s="4">
        <f>IF(澳门新定位结果!D151&lt;=0,0,1)</f>
        <v>0</v>
      </c>
      <c r="E151" s="4">
        <f>IF(澳门新定位结果!E151&lt;=0,0,1)</f>
        <v>0</v>
      </c>
      <c r="F151" s="4">
        <f>IF(澳门新定位结果!F151&lt;=0,0,1)</f>
        <v>0</v>
      </c>
      <c r="G151" s="4">
        <f>IF(澳门新定位结果!G151&lt;=0,0,1)</f>
        <v>1</v>
      </c>
      <c r="H151" s="4">
        <f>IF(澳门新定位结果!H151&lt;=0,0,1)</f>
        <v>1</v>
      </c>
      <c r="I151" s="4">
        <f>IF(澳门新定位结果!I151&lt;=0,0,1)</f>
        <v>1</v>
      </c>
      <c r="J151" s="4">
        <f>IF(澳门新定位结果!J151&lt;=0,0,1)</f>
        <v>1</v>
      </c>
      <c r="K151" s="4">
        <f>IF(澳门新定位结果!K151&lt;=0,0,1)</f>
        <v>1</v>
      </c>
      <c r="L151" s="4">
        <f>IF(澳门新定位结果!L151&lt;=0,0,1)</f>
        <v>1</v>
      </c>
      <c r="M151" s="4">
        <f>IF(澳门新定位结果!M151&lt;=0,0,1)</f>
        <v>1</v>
      </c>
      <c r="N151" s="4">
        <f>IF(澳门新定位结果!N151&lt;=0,0,1)</f>
        <v>0</v>
      </c>
      <c r="O151" s="4">
        <f>IF(澳门新定位结果!O151&lt;=0,0,1)</f>
        <v>0</v>
      </c>
    </row>
    <row r="152" spans="1:15">
      <c r="A152" s="4" t="s">
        <v>323</v>
      </c>
      <c r="B152" s="4">
        <f>IF(澳门新定位结果!B152&lt;=0,0,1)</f>
        <v>0</v>
      </c>
      <c r="C152" s="4">
        <f>IF(澳门新定位结果!C152&lt;=0,0,1)</f>
        <v>1</v>
      </c>
      <c r="D152" s="4">
        <f>IF(澳门新定位结果!D152&lt;=0,0,1)</f>
        <v>0</v>
      </c>
      <c r="E152" s="4">
        <f>IF(澳门新定位结果!E152&lt;=0,0,1)</f>
        <v>0</v>
      </c>
      <c r="F152" s="4">
        <f>IF(澳门新定位结果!F152&lt;=0,0,1)</f>
        <v>0</v>
      </c>
      <c r="G152" s="4">
        <f>IF(澳门新定位结果!G152&lt;=0,0,1)</f>
        <v>0</v>
      </c>
      <c r="H152" s="4">
        <f>IF(澳门新定位结果!H152&lt;=0,0,1)</f>
        <v>0</v>
      </c>
      <c r="I152" s="4">
        <f>IF(澳门新定位结果!I152&lt;=0,0,1)</f>
        <v>1</v>
      </c>
      <c r="J152" s="4">
        <f>IF(澳门新定位结果!J152&lt;=0,0,1)</f>
        <v>0</v>
      </c>
      <c r="K152" s="4">
        <f>IF(澳门新定位结果!K152&lt;=0,0,1)</f>
        <v>1</v>
      </c>
      <c r="L152" s="4">
        <f>IF(澳门新定位结果!L152&lt;=0,0,1)</f>
        <v>0</v>
      </c>
      <c r="M152" s="4">
        <f>IF(澳门新定位结果!M152&lt;=0,0,1)</f>
        <v>0</v>
      </c>
      <c r="N152" s="4">
        <f>IF(澳门新定位结果!N152&lt;=0,0,1)</f>
        <v>0</v>
      </c>
      <c r="O152" s="4">
        <f>IF(澳门新定位结果!O152&lt;=0,0,1)</f>
        <v>0</v>
      </c>
    </row>
    <row r="153" spans="1:15">
      <c r="A153" s="4" t="s">
        <v>325</v>
      </c>
      <c r="B153" s="4">
        <f>IF(澳门新定位结果!B153&lt;=0,0,1)</f>
        <v>1</v>
      </c>
      <c r="C153" s="4">
        <f>IF(澳门新定位结果!C153&lt;=0,0,1)</f>
        <v>1</v>
      </c>
      <c r="D153" s="4">
        <f>IF(澳门新定位结果!D153&lt;=0,0,1)</f>
        <v>1</v>
      </c>
      <c r="E153" s="4">
        <f>IF(澳门新定位结果!E153&lt;=0,0,1)</f>
        <v>1</v>
      </c>
      <c r="F153" s="4">
        <f>IF(澳门新定位结果!F153&lt;=0,0,1)</f>
        <v>1</v>
      </c>
      <c r="G153" s="4">
        <f>IF(澳门新定位结果!G153&lt;=0,0,1)</f>
        <v>0</v>
      </c>
      <c r="H153" s="4">
        <f>IF(澳门新定位结果!H153&lt;=0,0,1)</f>
        <v>1</v>
      </c>
      <c r="I153" s="4">
        <f>IF(澳门新定位结果!I153&lt;=0,0,1)</f>
        <v>0</v>
      </c>
      <c r="J153" s="4">
        <f>IF(澳门新定位结果!J153&lt;=0,0,1)</f>
        <v>1</v>
      </c>
      <c r="K153" s="4">
        <f>IF(澳门新定位结果!K153&lt;=0,0,1)</f>
        <v>1</v>
      </c>
      <c r="L153" s="4">
        <f>IF(澳门新定位结果!L153&lt;=0,0,1)</f>
        <v>1</v>
      </c>
      <c r="M153" s="4">
        <f>IF(澳门新定位结果!M153&lt;=0,0,1)</f>
        <v>1</v>
      </c>
      <c r="N153" s="4">
        <f>IF(澳门新定位结果!N153&lt;=0,0,1)</f>
        <v>1</v>
      </c>
      <c r="O153" s="4">
        <f>IF(澳门新定位结果!O153&lt;=0,0,1)</f>
        <v>0</v>
      </c>
    </row>
    <row r="154" spans="1:15">
      <c r="A154" s="4" t="s">
        <v>327</v>
      </c>
      <c r="B154" s="4">
        <f>IF(澳门新定位结果!B154&lt;=0,0,1)</f>
        <v>1</v>
      </c>
      <c r="C154" s="4">
        <f>IF(澳门新定位结果!C154&lt;=0,0,1)</f>
        <v>1</v>
      </c>
      <c r="D154" s="4">
        <f>IF(澳门新定位结果!D154&lt;=0,0,1)</f>
        <v>1</v>
      </c>
      <c r="E154" s="4">
        <f>IF(澳门新定位结果!E154&lt;=0,0,1)</f>
        <v>1</v>
      </c>
      <c r="F154" s="4">
        <f>IF(澳门新定位结果!F154&lt;=0,0,1)</f>
        <v>0</v>
      </c>
      <c r="G154" s="4">
        <f>IF(澳门新定位结果!G154&lt;=0,0,1)</f>
        <v>1</v>
      </c>
      <c r="H154" s="4">
        <f>IF(澳门新定位结果!H154&lt;=0,0,1)</f>
        <v>1</v>
      </c>
      <c r="I154" s="4">
        <f>IF(澳门新定位结果!I154&lt;=0,0,1)</f>
        <v>1</v>
      </c>
      <c r="J154" s="4">
        <f>IF(澳门新定位结果!J154&lt;=0,0,1)</f>
        <v>0</v>
      </c>
      <c r="K154" s="4">
        <f>IF(澳门新定位结果!K154&lt;=0,0,1)</f>
        <v>1</v>
      </c>
      <c r="L154" s="4">
        <f>IF(澳门新定位结果!L154&lt;=0,0,1)</f>
        <v>1</v>
      </c>
      <c r="M154" s="4">
        <f>IF(澳门新定位结果!M154&lt;=0,0,1)</f>
        <v>0</v>
      </c>
      <c r="N154" s="4">
        <f>IF(澳门新定位结果!N154&lt;=0,0,1)</f>
        <v>0</v>
      </c>
      <c r="O154" s="4">
        <f>IF(澳门新定位结果!O154&lt;=0,0,1)</f>
        <v>0</v>
      </c>
    </row>
    <row r="155" spans="1:15">
      <c r="A155" s="4" t="s">
        <v>329</v>
      </c>
      <c r="B155" s="4">
        <f>IF(澳门新定位结果!B155&lt;=0,0,1)</f>
        <v>0</v>
      </c>
      <c r="C155" s="4">
        <f>IF(澳门新定位结果!C155&lt;=0,0,1)</f>
        <v>1</v>
      </c>
      <c r="D155" s="4">
        <f>IF(澳门新定位结果!D155&lt;=0,0,1)</f>
        <v>0</v>
      </c>
      <c r="E155" s="4">
        <f>IF(澳门新定位结果!E155&lt;=0,0,1)</f>
        <v>0</v>
      </c>
      <c r="F155" s="4">
        <f>IF(澳门新定位结果!F155&lt;=0,0,1)</f>
        <v>1</v>
      </c>
      <c r="G155" s="4">
        <f>IF(澳门新定位结果!G155&lt;=0,0,1)</f>
        <v>0</v>
      </c>
      <c r="H155" s="4">
        <f>IF(澳门新定位结果!H155&lt;=0,0,1)</f>
        <v>0</v>
      </c>
      <c r="I155" s="4">
        <f>IF(澳门新定位结果!I155&lt;=0,0,1)</f>
        <v>0</v>
      </c>
      <c r="J155" s="4">
        <f>IF(澳门新定位结果!J155&lt;=0,0,1)</f>
        <v>1</v>
      </c>
      <c r="K155" s="4">
        <f>IF(澳门新定位结果!K155&lt;=0,0,1)</f>
        <v>0</v>
      </c>
      <c r="L155" s="4">
        <f>IF(澳门新定位结果!L155&lt;=0,0,1)</f>
        <v>0</v>
      </c>
      <c r="M155" s="4">
        <f>IF(澳门新定位结果!M155&lt;=0,0,1)</f>
        <v>0</v>
      </c>
      <c r="N155" s="4">
        <f>IF(澳门新定位结果!N155&lt;=0,0,1)</f>
        <v>1</v>
      </c>
      <c r="O155" s="4">
        <f>IF(澳门新定位结果!O155&lt;=0,0,1)</f>
        <v>1</v>
      </c>
    </row>
    <row r="156" spans="1:15">
      <c r="A156" s="4" t="s">
        <v>331</v>
      </c>
      <c r="B156" s="4">
        <f>IF(澳门新定位结果!B156&lt;=0,0,1)</f>
        <v>1</v>
      </c>
      <c r="C156" s="4">
        <f>IF(澳门新定位结果!C156&lt;=0,0,1)</f>
        <v>1</v>
      </c>
      <c r="D156" s="4">
        <f>IF(澳门新定位结果!D156&lt;=0,0,1)</f>
        <v>1</v>
      </c>
      <c r="E156" s="4">
        <f>IF(澳门新定位结果!E156&lt;=0,0,1)</f>
        <v>1</v>
      </c>
      <c r="F156" s="4">
        <f>IF(澳门新定位结果!F156&lt;=0,0,1)</f>
        <v>0</v>
      </c>
      <c r="G156" s="4">
        <f>IF(澳门新定位结果!G156&lt;=0,0,1)</f>
        <v>1</v>
      </c>
      <c r="H156" s="4">
        <f>IF(澳门新定位结果!H156&lt;=0,0,1)</f>
        <v>1</v>
      </c>
      <c r="I156" s="4">
        <f>IF(澳门新定位结果!I156&lt;=0,0,1)</f>
        <v>1</v>
      </c>
      <c r="J156" s="4">
        <f>IF(澳门新定位结果!J156&lt;=0,0,1)</f>
        <v>1</v>
      </c>
      <c r="K156" s="4">
        <f>IF(澳门新定位结果!K156&lt;=0,0,1)</f>
        <v>0</v>
      </c>
      <c r="L156" s="4">
        <f>IF(澳门新定位结果!L156&lt;=0,0,1)</f>
        <v>1</v>
      </c>
      <c r="M156" s="4">
        <f>IF(澳门新定位结果!M156&lt;=0,0,1)</f>
        <v>1</v>
      </c>
      <c r="N156" s="4">
        <f>IF(澳门新定位结果!N156&lt;=0,0,1)</f>
        <v>0</v>
      </c>
      <c r="O156" s="4">
        <f>IF(澳门新定位结果!O156&lt;=0,0,1)</f>
        <v>0</v>
      </c>
    </row>
    <row r="157" spans="1:15">
      <c r="A157" s="4" t="s">
        <v>333</v>
      </c>
      <c r="B157" s="4">
        <f>IF(澳门新定位结果!B157&lt;=0,0,1)</f>
        <v>1</v>
      </c>
      <c r="C157" s="4">
        <f>IF(澳门新定位结果!C157&lt;=0,0,1)</f>
        <v>1</v>
      </c>
      <c r="D157" s="4">
        <f>IF(澳门新定位结果!D157&lt;=0,0,1)</f>
        <v>0</v>
      </c>
      <c r="E157" s="4">
        <f>IF(澳门新定位结果!E157&lt;=0,0,1)</f>
        <v>0</v>
      </c>
      <c r="F157" s="4">
        <f>IF(澳门新定位结果!F157&lt;=0,0,1)</f>
        <v>0</v>
      </c>
      <c r="G157" s="4">
        <f>IF(澳门新定位结果!G157&lt;=0,0,1)</f>
        <v>0</v>
      </c>
      <c r="H157" s="4">
        <f>IF(澳门新定位结果!H157&lt;=0,0,1)</f>
        <v>1</v>
      </c>
      <c r="I157" s="4">
        <f>IF(澳门新定位结果!I157&lt;=0,0,1)</f>
        <v>1</v>
      </c>
      <c r="J157" s="4">
        <f>IF(澳门新定位结果!J157&lt;=0,0,1)</f>
        <v>1</v>
      </c>
      <c r="K157" s="4">
        <f>IF(澳门新定位结果!K157&lt;=0,0,1)</f>
        <v>1</v>
      </c>
      <c r="L157" s="4">
        <f>IF(澳门新定位结果!L157&lt;=0,0,1)</f>
        <v>1</v>
      </c>
      <c r="M157" s="4">
        <f>IF(澳门新定位结果!M157&lt;=0,0,1)</f>
        <v>0</v>
      </c>
      <c r="N157" s="4">
        <f>IF(澳门新定位结果!N157&lt;=0,0,1)</f>
        <v>0</v>
      </c>
      <c r="O157" s="4">
        <f>IF(澳门新定位结果!O157&lt;=0,0,1)</f>
        <v>1</v>
      </c>
    </row>
    <row r="158" spans="1:15">
      <c r="A158" s="4" t="s">
        <v>335</v>
      </c>
      <c r="B158" s="4">
        <f>IF(澳门新定位结果!B158&lt;=0,0,1)</f>
        <v>0</v>
      </c>
      <c r="C158" s="4">
        <f>IF(澳门新定位结果!C158&lt;=0,0,1)</f>
        <v>1</v>
      </c>
      <c r="D158" s="4">
        <f>IF(澳门新定位结果!D158&lt;=0,0,1)</f>
        <v>0</v>
      </c>
      <c r="E158" s="4">
        <f>IF(澳门新定位结果!E158&lt;=0,0,1)</f>
        <v>1</v>
      </c>
      <c r="F158" s="4">
        <f>IF(澳门新定位结果!F158&lt;=0,0,1)</f>
        <v>0</v>
      </c>
      <c r="G158" s="4">
        <f>IF(澳门新定位结果!G158&lt;=0,0,1)</f>
        <v>0</v>
      </c>
      <c r="H158" s="4">
        <f>IF(澳门新定位结果!H158&lt;=0,0,1)</f>
        <v>1</v>
      </c>
      <c r="I158" s="4">
        <f>IF(澳门新定位结果!I158&lt;=0,0,1)</f>
        <v>0</v>
      </c>
      <c r="J158" s="4">
        <f>IF(澳门新定位结果!J158&lt;=0,0,1)</f>
        <v>1</v>
      </c>
      <c r="K158" s="4">
        <f>IF(澳门新定位结果!K158&lt;=0,0,1)</f>
        <v>0</v>
      </c>
      <c r="L158" s="4">
        <f>IF(澳门新定位结果!L158&lt;=0,0,1)</f>
        <v>0</v>
      </c>
      <c r="M158" s="4">
        <f>IF(澳门新定位结果!M158&lt;=0,0,1)</f>
        <v>1</v>
      </c>
      <c r="N158" s="4">
        <f>IF(澳门新定位结果!N158&lt;=0,0,1)</f>
        <v>1</v>
      </c>
      <c r="O158" s="4">
        <f>IF(澳门新定位结果!O158&lt;=0,0,1)</f>
        <v>1</v>
      </c>
    </row>
    <row r="159" spans="1:15">
      <c r="A159" s="4" t="s">
        <v>337</v>
      </c>
      <c r="B159" s="4">
        <f>IF(澳门新定位结果!B159&lt;=0,0,1)</f>
        <v>0</v>
      </c>
      <c r="C159" s="4">
        <f>IF(澳门新定位结果!C159&lt;=0,0,1)</f>
        <v>0</v>
      </c>
      <c r="D159" s="4">
        <f>IF(澳门新定位结果!D159&lt;=0,0,1)</f>
        <v>1</v>
      </c>
      <c r="E159" s="4">
        <f>IF(澳门新定位结果!E159&lt;=0,0,1)</f>
        <v>0</v>
      </c>
      <c r="F159" s="4">
        <f>IF(澳门新定位结果!F159&lt;=0,0,1)</f>
        <v>0</v>
      </c>
      <c r="G159" s="4">
        <f>IF(澳门新定位结果!G159&lt;=0,0,1)</f>
        <v>0</v>
      </c>
      <c r="H159" s="4">
        <f>IF(澳门新定位结果!H159&lt;=0,0,1)</f>
        <v>0</v>
      </c>
      <c r="I159" s="4">
        <f>IF(澳门新定位结果!I159&lt;=0,0,1)</f>
        <v>1</v>
      </c>
      <c r="J159" s="4">
        <f>IF(澳门新定位结果!J159&lt;=0,0,1)</f>
        <v>0</v>
      </c>
      <c r="K159" s="4">
        <f>IF(澳门新定位结果!K159&lt;=0,0,1)</f>
        <v>1</v>
      </c>
      <c r="L159" s="4">
        <f>IF(澳门新定位结果!L159&lt;=0,0,1)</f>
        <v>0</v>
      </c>
      <c r="M159" s="4">
        <f>IF(澳门新定位结果!M159&lt;=0,0,1)</f>
        <v>0</v>
      </c>
      <c r="N159" s="4">
        <f>IF(澳门新定位结果!N159&lt;=0,0,1)</f>
        <v>1</v>
      </c>
      <c r="O159" s="4">
        <f>IF(澳门新定位结果!O159&lt;=0,0,1)</f>
        <v>0</v>
      </c>
    </row>
    <row r="160" spans="1:15">
      <c r="A160" s="4" t="s">
        <v>339</v>
      </c>
      <c r="B160" s="4">
        <f>IF(澳门新定位结果!B160&lt;=0,0,1)</f>
        <v>1</v>
      </c>
      <c r="C160" s="4">
        <f>IF(澳门新定位结果!C160&lt;=0,0,1)</f>
        <v>1</v>
      </c>
      <c r="D160" s="4">
        <f>IF(澳门新定位结果!D160&lt;=0,0,1)</f>
        <v>0</v>
      </c>
      <c r="E160" s="4">
        <f>IF(澳门新定位结果!E160&lt;=0,0,1)</f>
        <v>0</v>
      </c>
      <c r="F160" s="4">
        <f>IF(澳门新定位结果!F160&lt;=0,0,1)</f>
        <v>1</v>
      </c>
      <c r="G160" s="4">
        <f>IF(澳门新定位结果!G160&lt;=0,0,1)</f>
        <v>1</v>
      </c>
      <c r="H160" s="4">
        <f>IF(澳门新定位结果!H160&lt;=0,0,1)</f>
        <v>0</v>
      </c>
      <c r="I160" s="4">
        <f>IF(澳门新定位结果!I160&lt;=0,0,1)</f>
        <v>1</v>
      </c>
      <c r="J160" s="4">
        <f>IF(澳门新定位结果!J160&lt;=0,0,1)</f>
        <v>1</v>
      </c>
      <c r="K160" s="4">
        <f>IF(澳门新定位结果!K160&lt;=0,0,1)</f>
        <v>1</v>
      </c>
      <c r="L160" s="4">
        <f>IF(澳门新定位结果!L160&lt;=0,0,1)</f>
        <v>1</v>
      </c>
      <c r="M160" s="4">
        <f>IF(澳门新定位结果!M160&lt;=0,0,1)</f>
        <v>1</v>
      </c>
      <c r="N160" s="4">
        <f>IF(澳门新定位结果!N160&lt;=0,0,1)</f>
        <v>1</v>
      </c>
      <c r="O160" s="4">
        <f>IF(澳门新定位结果!O160&lt;=0,0,1)</f>
        <v>1</v>
      </c>
    </row>
    <row r="161" spans="1:15">
      <c r="A161" s="4" t="s">
        <v>341</v>
      </c>
      <c r="B161" s="4">
        <f>IF(澳门新定位结果!B161&lt;=0,0,1)</f>
        <v>1</v>
      </c>
      <c r="C161" s="4">
        <f>IF(澳门新定位结果!C161&lt;=0,0,1)</f>
        <v>0</v>
      </c>
      <c r="D161" s="4">
        <f>IF(澳门新定位结果!D161&lt;=0,0,1)</f>
        <v>1</v>
      </c>
      <c r="E161" s="4">
        <f>IF(澳门新定位结果!E161&lt;=0,0,1)</f>
        <v>1</v>
      </c>
      <c r="F161" s="4">
        <f>IF(澳门新定位结果!F161&lt;=0,0,1)</f>
        <v>0</v>
      </c>
      <c r="G161" s="4">
        <f>IF(澳门新定位结果!G161&lt;=0,0,1)</f>
        <v>0</v>
      </c>
      <c r="H161" s="4">
        <f>IF(澳门新定位结果!H161&lt;=0,0,1)</f>
        <v>1</v>
      </c>
      <c r="I161" s="4">
        <f>IF(澳门新定位结果!I161&lt;=0,0,1)</f>
        <v>1</v>
      </c>
      <c r="J161" s="4">
        <f>IF(澳门新定位结果!J161&lt;=0,0,1)</f>
        <v>0</v>
      </c>
      <c r="K161" s="4">
        <f>IF(澳门新定位结果!K161&lt;=0,0,1)</f>
        <v>1</v>
      </c>
      <c r="L161" s="4">
        <f>IF(澳门新定位结果!L161&lt;=0,0,1)</f>
        <v>1</v>
      </c>
      <c r="M161" s="4">
        <f>IF(澳门新定位结果!M161&lt;=0,0,1)</f>
        <v>1</v>
      </c>
      <c r="N161" s="4">
        <f>IF(澳门新定位结果!N161&lt;=0,0,1)</f>
        <v>1</v>
      </c>
      <c r="O161" s="4">
        <f>IF(澳门新定位结果!O161&lt;=0,0,1)</f>
        <v>0</v>
      </c>
    </row>
    <row r="162" spans="1:15">
      <c r="A162" s="4" t="s">
        <v>343</v>
      </c>
      <c r="B162" s="4">
        <f>IF(澳门新定位结果!B162&lt;=0,0,1)</f>
        <v>1</v>
      </c>
      <c r="C162" s="4">
        <f>IF(澳门新定位结果!C162&lt;=0,0,1)</f>
        <v>1</v>
      </c>
      <c r="D162" s="4">
        <f>IF(澳门新定位结果!D162&lt;=0,0,1)</f>
        <v>0</v>
      </c>
      <c r="E162" s="4">
        <f>IF(澳门新定位结果!E162&lt;=0,0,1)</f>
        <v>0</v>
      </c>
      <c r="F162" s="4">
        <f>IF(澳门新定位结果!F162&lt;=0,0,1)</f>
        <v>1</v>
      </c>
      <c r="G162" s="4">
        <f>IF(澳门新定位结果!G162&lt;=0,0,1)</f>
        <v>1</v>
      </c>
      <c r="H162" s="4">
        <f>IF(澳门新定位结果!H162&lt;=0,0,1)</f>
        <v>1</v>
      </c>
      <c r="I162" s="4">
        <f>IF(澳门新定位结果!I162&lt;=0,0,1)</f>
        <v>1</v>
      </c>
      <c r="J162" s="4">
        <f>IF(澳门新定位结果!J162&lt;=0,0,1)</f>
        <v>1</v>
      </c>
      <c r="K162" s="4">
        <f>IF(澳门新定位结果!K162&lt;=0,0,1)</f>
        <v>0</v>
      </c>
      <c r="L162" s="4">
        <f>IF(澳门新定位结果!L162&lt;=0,0,1)</f>
        <v>1</v>
      </c>
      <c r="M162" s="4">
        <f>IF(澳门新定位结果!M162&lt;=0,0,1)</f>
        <v>0</v>
      </c>
      <c r="N162" s="4">
        <f>IF(澳门新定位结果!N162&lt;=0,0,1)</f>
        <v>0</v>
      </c>
      <c r="O162" s="4">
        <f>IF(澳门新定位结果!O162&lt;=0,0,1)</f>
        <v>1</v>
      </c>
    </row>
    <row r="163" spans="1:15">
      <c r="A163" s="4" t="s">
        <v>345</v>
      </c>
      <c r="B163" s="4">
        <f>IF(澳门新定位结果!B163&lt;=0,0,1)</f>
        <v>1</v>
      </c>
      <c r="C163" s="4">
        <f>IF(澳门新定位结果!C163&lt;=0,0,1)</f>
        <v>0</v>
      </c>
      <c r="D163" s="4">
        <f>IF(澳门新定位结果!D163&lt;=0,0,1)</f>
        <v>1</v>
      </c>
      <c r="E163" s="4">
        <f>IF(澳门新定位结果!E163&lt;=0,0,1)</f>
        <v>1</v>
      </c>
      <c r="F163" s="4">
        <f>IF(澳门新定位结果!F163&lt;=0,0,1)</f>
        <v>0</v>
      </c>
      <c r="G163" s="4">
        <f>IF(澳门新定位结果!G163&lt;=0,0,1)</f>
        <v>0</v>
      </c>
      <c r="H163" s="4">
        <f>IF(澳门新定位结果!H163&lt;=0,0,1)</f>
        <v>0</v>
      </c>
      <c r="I163" s="4">
        <f>IF(澳门新定位结果!I163&lt;=0,0,1)</f>
        <v>1</v>
      </c>
      <c r="J163" s="4">
        <f>IF(澳门新定位结果!J163&lt;=0,0,1)</f>
        <v>1</v>
      </c>
      <c r="K163" s="4">
        <f>IF(澳门新定位结果!K163&lt;=0,0,1)</f>
        <v>1</v>
      </c>
      <c r="L163" s="4">
        <f>IF(澳门新定位结果!L163&lt;=0,0,1)</f>
        <v>1</v>
      </c>
      <c r="M163" s="4">
        <f>IF(澳门新定位结果!M163&lt;=0,0,1)</f>
        <v>0</v>
      </c>
      <c r="N163" s="4">
        <f>IF(澳门新定位结果!N163&lt;=0,0,1)</f>
        <v>0</v>
      </c>
      <c r="O163" s="4">
        <f>IF(澳门新定位结果!O163&lt;=0,0,1)</f>
        <v>0</v>
      </c>
    </row>
    <row r="164" spans="1:15">
      <c r="A164" s="4" t="s">
        <v>347</v>
      </c>
      <c r="B164" s="4">
        <f>IF(澳门新定位结果!B164&lt;=0,0,1)</f>
        <v>0</v>
      </c>
      <c r="C164" s="4">
        <f>IF(澳门新定位结果!C164&lt;=0,0,1)</f>
        <v>0</v>
      </c>
      <c r="D164" s="4">
        <f>IF(澳门新定位结果!D164&lt;=0,0,1)</f>
        <v>1</v>
      </c>
      <c r="E164" s="4">
        <f>IF(澳门新定位结果!E164&lt;=0,0,1)</f>
        <v>0</v>
      </c>
      <c r="F164" s="4">
        <f>IF(澳门新定位结果!F164&lt;=0,0,1)</f>
        <v>0</v>
      </c>
      <c r="G164" s="4">
        <f>IF(澳门新定位结果!G164&lt;=0,0,1)</f>
        <v>0</v>
      </c>
      <c r="H164" s="4">
        <f>IF(澳门新定位结果!H164&lt;=0,0,1)</f>
        <v>1</v>
      </c>
      <c r="I164" s="4">
        <f>IF(澳门新定位结果!I164&lt;=0,0,1)</f>
        <v>1</v>
      </c>
      <c r="J164" s="4">
        <f>IF(澳门新定位结果!J164&lt;=0,0,1)</f>
        <v>0</v>
      </c>
      <c r="K164" s="4">
        <f>IF(澳门新定位结果!K164&lt;=0,0,1)</f>
        <v>1</v>
      </c>
      <c r="L164" s="4">
        <f>IF(澳门新定位结果!L164&lt;=0,0,1)</f>
        <v>0</v>
      </c>
      <c r="M164" s="4">
        <f>IF(澳门新定位结果!M164&lt;=0,0,1)</f>
        <v>1</v>
      </c>
      <c r="N164" s="4">
        <f>IF(澳门新定位结果!N164&lt;=0,0,1)</f>
        <v>1</v>
      </c>
      <c r="O164" s="4">
        <f>IF(澳门新定位结果!O164&lt;=0,0,1)</f>
        <v>1</v>
      </c>
    </row>
    <row r="165" spans="1:15">
      <c r="A165" s="4" t="s">
        <v>349</v>
      </c>
      <c r="B165" s="4">
        <f>IF(澳门新定位结果!B165&lt;=0,0,1)</f>
        <v>1</v>
      </c>
      <c r="C165" s="4">
        <f>IF(澳门新定位结果!C165&lt;=0,0,1)</f>
        <v>1</v>
      </c>
      <c r="D165" s="4">
        <f>IF(澳门新定位结果!D165&lt;=0,0,1)</f>
        <v>0</v>
      </c>
      <c r="E165" s="4">
        <f>IF(澳门新定位结果!E165&lt;=0,0,1)</f>
        <v>1</v>
      </c>
      <c r="F165" s="4">
        <f>IF(澳门新定位结果!F165&lt;=0,0,1)</f>
        <v>1</v>
      </c>
      <c r="G165" s="4">
        <f>IF(澳门新定位结果!G165&lt;=0,0,1)</f>
        <v>0</v>
      </c>
      <c r="H165" s="4">
        <f>IF(澳门新定位结果!H165&lt;=0,0,1)</f>
        <v>0</v>
      </c>
      <c r="I165" s="4">
        <f>IF(澳门新定位结果!I165&lt;=0,0,1)</f>
        <v>1</v>
      </c>
      <c r="J165" s="4">
        <f>IF(澳门新定位结果!J165&lt;=0,0,1)</f>
        <v>1</v>
      </c>
      <c r="K165" s="4">
        <f>IF(澳门新定位结果!K165&lt;=0,0,1)</f>
        <v>0</v>
      </c>
      <c r="L165" s="4">
        <f>IF(澳门新定位结果!L165&lt;=0,0,1)</f>
        <v>1</v>
      </c>
      <c r="M165" s="4">
        <f>IF(澳门新定位结果!M165&lt;=0,0,1)</f>
        <v>1</v>
      </c>
      <c r="N165" s="4">
        <f>IF(澳门新定位结果!N165&lt;=0,0,1)</f>
        <v>1</v>
      </c>
      <c r="O165" s="4">
        <f>IF(澳门新定位结果!O165&lt;=0,0,1)</f>
        <v>0</v>
      </c>
    </row>
    <row r="166" spans="1:15">
      <c r="A166" s="4" t="s">
        <v>351</v>
      </c>
      <c r="B166" s="4">
        <f>IF(澳门新定位结果!B166&lt;=0,0,1)</f>
        <v>0</v>
      </c>
      <c r="C166" s="4">
        <f>IF(澳门新定位结果!C166&lt;=0,0,1)</f>
        <v>1</v>
      </c>
      <c r="D166" s="4">
        <f>IF(澳门新定位结果!D166&lt;=0,0,1)</f>
        <v>0</v>
      </c>
      <c r="E166" s="4">
        <f>IF(澳门新定位结果!E166&lt;=0,0,1)</f>
        <v>1</v>
      </c>
      <c r="F166" s="4">
        <f>IF(澳门新定位结果!F166&lt;=0,0,1)</f>
        <v>0</v>
      </c>
      <c r="G166" s="4">
        <f>IF(澳门新定位结果!G166&lt;=0,0,1)</f>
        <v>0</v>
      </c>
      <c r="H166" s="4">
        <f>IF(澳门新定位结果!H166&lt;=0,0,1)</f>
        <v>1</v>
      </c>
      <c r="I166" s="4">
        <f>IF(澳门新定位结果!I166&lt;=0,0,1)</f>
        <v>0</v>
      </c>
      <c r="J166" s="4">
        <f>IF(澳门新定位结果!J166&lt;=0,0,1)</f>
        <v>1</v>
      </c>
      <c r="K166" s="4">
        <f>IF(澳门新定位结果!K166&lt;=0,0,1)</f>
        <v>1</v>
      </c>
      <c r="L166" s="4">
        <f>IF(澳门新定位结果!L166&lt;=0,0,1)</f>
        <v>1</v>
      </c>
      <c r="M166" s="4">
        <f>IF(澳门新定位结果!M166&lt;=0,0,1)</f>
        <v>0</v>
      </c>
      <c r="N166" s="4">
        <f>IF(澳门新定位结果!N166&lt;=0,0,1)</f>
        <v>0</v>
      </c>
      <c r="O166" s="4">
        <f>IF(澳门新定位结果!O166&lt;=0,0,1)</f>
        <v>0</v>
      </c>
    </row>
    <row r="167" spans="1:15">
      <c r="A167" s="4" t="s">
        <v>353</v>
      </c>
      <c r="B167" s="4">
        <f>IF(澳门新定位结果!B167&lt;=0,0,1)</f>
        <v>0</v>
      </c>
      <c r="C167" s="4">
        <f>IF(澳门新定位结果!C167&lt;=0,0,1)</f>
        <v>0</v>
      </c>
      <c r="D167" s="4">
        <f>IF(澳门新定位结果!D167&lt;=0,0,1)</f>
        <v>0</v>
      </c>
      <c r="E167" s="4">
        <f>IF(澳门新定位结果!E167&lt;=0,0,1)</f>
        <v>1</v>
      </c>
      <c r="F167" s="4">
        <f>IF(澳门新定位结果!F167&lt;=0,0,1)</f>
        <v>1</v>
      </c>
      <c r="G167" s="4">
        <f>IF(澳门新定位结果!G167&lt;=0,0,1)</f>
        <v>0</v>
      </c>
      <c r="H167" s="4">
        <f>IF(澳门新定位结果!H167&lt;=0,0,1)</f>
        <v>0</v>
      </c>
      <c r="I167" s="4">
        <f>IF(澳门新定位结果!I167&lt;=0,0,1)</f>
        <v>1</v>
      </c>
      <c r="J167" s="4">
        <f>IF(澳门新定位结果!J167&lt;=0,0,1)</f>
        <v>0</v>
      </c>
      <c r="K167" s="4">
        <f>IF(澳门新定位结果!K167&lt;=0,0,1)</f>
        <v>0</v>
      </c>
      <c r="L167" s="4">
        <f>IF(澳门新定位结果!L167&lt;=0,0,1)</f>
        <v>0</v>
      </c>
      <c r="M167" s="4">
        <f>IF(澳门新定位结果!M167&lt;=0,0,1)</f>
        <v>1</v>
      </c>
      <c r="N167" s="4">
        <f>IF(澳门新定位结果!N167&lt;=0,0,1)</f>
        <v>0</v>
      </c>
      <c r="O167" s="4">
        <f>IF(澳门新定位结果!O167&lt;=0,0,1)</f>
        <v>1</v>
      </c>
    </row>
    <row r="168" spans="1:15">
      <c r="A168" s="4" t="s">
        <v>355</v>
      </c>
      <c r="B168" s="4">
        <f>IF(澳门新定位结果!B168&lt;=0,0,1)</f>
        <v>1</v>
      </c>
      <c r="C168" s="4">
        <f>IF(澳门新定位结果!C168&lt;=0,0,1)</f>
        <v>1</v>
      </c>
      <c r="D168" s="4">
        <f>IF(澳门新定位结果!D168&lt;=0,0,1)</f>
        <v>1</v>
      </c>
      <c r="E168" s="4">
        <f>IF(澳门新定位结果!E168&lt;=0,0,1)</f>
        <v>1</v>
      </c>
      <c r="F168" s="4">
        <f>IF(澳门新定位结果!F168&lt;=0,0,1)</f>
        <v>1</v>
      </c>
      <c r="G168" s="4">
        <f>IF(澳门新定位结果!G168&lt;=0,0,1)</f>
        <v>0</v>
      </c>
      <c r="H168" s="4">
        <f>IF(澳门新定位结果!H168&lt;=0,0,1)</f>
        <v>0</v>
      </c>
      <c r="I168" s="4">
        <f>IF(澳门新定位结果!I168&lt;=0,0,1)</f>
        <v>1</v>
      </c>
      <c r="J168" s="4">
        <f>IF(澳门新定位结果!J168&lt;=0,0,1)</f>
        <v>0</v>
      </c>
      <c r="K168" s="4">
        <f>IF(澳门新定位结果!K168&lt;=0,0,1)</f>
        <v>1</v>
      </c>
      <c r="L168" s="4">
        <f>IF(澳门新定位结果!L168&lt;=0,0,1)</f>
        <v>1</v>
      </c>
      <c r="M168" s="4">
        <f>IF(澳门新定位结果!M168&lt;=0,0,1)</f>
        <v>1</v>
      </c>
      <c r="N168" s="4">
        <f>IF(澳门新定位结果!N168&lt;=0,0,1)</f>
        <v>1</v>
      </c>
      <c r="O168" s="4">
        <f>IF(澳门新定位结果!O168&lt;=0,0,1)</f>
        <v>1</v>
      </c>
    </row>
    <row r="169" spans="1:15">
      <c r="A169" s="4" t="s">
        <v>357</v>
      </c>
      <c r="B169" s="4">
        <f>IF(澳门新定位结果!B169&lt;=0,0,1)</f>
        <v>0</v>
      </c>
      <c r="C169" s="4">
        <f>IF(澳门新定位结果!C169&lt;=0,0,1)</f>
        <v>1</v>
      </c>
      <c r="D169" s="4">
        <f>IF(澳门新定位结果!D169&lt;=0,0,1)</f>
        <v>0</v>
      </c>
      <c r="E169" s="4">
        <f>IF(澳门新定位结果!E169&lt;=0,0,1)</f>
        <v>0</v>
      </c>
      <c r="F169" s="4">
        <f>IF(澳门新定位结果!F169&lt;=0,0,1)</f>
        <v>0</v>
      </c>
      <c r="G169" s="4">
        <f>IF(澳门新定位结果!G169&lt;=0,0,1)</f>
        <v>0</v>
      </c>
      <c r="H169" s="4">
        <f>IF(澳门新定位结果!H169&lt;=0,0,1)</f>
        <v>1</v>
      </c>
      <c r="I169" s="4">
        <f>IF(澳门新定位结果!I169&lt;=0,0,1)</f>
        <v>1</v>
      </c>
      <c r="J169" s="4">
        <f>IF(澳门新定位结果!J169&lt;=0,0,1)</f>
        <v>0</v>
      </c>
      <c r="K169" s="4">
        <f>IF(澳门新定位结果!K169&lt;=0,0,1)</f>
        <v>1</v>
      </c>
      <c r="L169" s="4">
        <f>IF(澳门新定位结果!L169&lt;=0,0,1)</f>
        <v>1</v>
      </c>
      <c r="M169" s="4">
        <f>IF(澳门新定位结果!M169&lt;=0,0,1)</f>
        <v>0</v>
      </c>
      <c r="N169" s="4">
        <f>IF(澳门新定位结果!N169&lt;=0,0,1)</f>
        <v>0</v>
      </c>
      <c r="O169" s="4">
        <f>IF(澳门新定位结果!O169&lt;=0,0,1)</f>
        <v>1</v>
      </c>
    </row>
    <row r="170" spans="1:15">
      <c r="A170" s="4" t="s">
        <v>359</v>
      </c>
      <c r="B170" s="4">
        <f>IF(澳门新定位结果!B170&lt;=0,0,1)</f>
        <v>1</v>
      </c>
      <c r="C170" s="4">
        <f>IF(澳门新定位结果!C170&lt;=0,0,1)</f>
        <v>1</v>
      </c>
      <c r="D170" s="4">
        <f>IF(澳门新定位结果!D170&lt;=0,0,1)</f>
        <v>0</v>
      </c>
      <c r="E170" s="4">
        <f>IF(澳门新定位结果!E170&lt;=0,0,1)</f>
        <v>0</v>
      </c>
      <c r="F170" s="4">
        <f>IF(澳门新定位结果!F170&lt;=0,0,1)</f>
        <v>1</v>
      </c>
      <c r="G170" s="4">
        <f>IF(澳门新定位结果!G170&lt;=0,0,1)</f>
        <v>0</v>
      </c>
      <c r="H170" s="4">
        <f>IF(澳门新定位结果!H170&lt;=0,0,1)</f>
        <v>0</v>
      </c>
      <c r="I170" s="4">
        <f>IF(澳门新定位结果!I170&lt;=0,0,1)</f>
        <v>1</v>
      </c>
      <c r="J170" s="4">
        <f>IF(澳门新定位结果!J170&lt;=0,0,1)</f>
        <v>0</v>
      </c>
      <c r="K170" s="4">
        <f>IF(澳门新定位结果!K170&lt;=0,0,1)</f>
        <v>1</v>
      </c>
      <c r="L170" s="4">
        <f>IF(澳门新定位结果!L170&lt;=0,0,1)</f>
        <v>1</v>
      </c>
      <c r="M170" s="4">
        <f>IF(澳门新定位结果!M170&lt;=0,0,1)</f>
        <v>0</v>
      </c>
      <c r="N170" s="4">
        <f>IF(澳门新定位结果!N170&lt;=0,0,1)</f>
        <v>0</v>
      </c>
      <c r="O170" s="4">
        <f>IF(澳门新定位结果!O170&lt;=0,0,1)</f>
        <v>1</v>
      </c>
    </row>
    <row r="171" spans="1:15">
      <c r="A171" s="4" t="s">
        <v>361</v>
      </c>
      <c r="B171" s="4">
        <f>IF(澳门新定位结果!B171&lt;=0,0,1)</f>
        <v>1</v>
      </c>
      <c r="C171" s="4">
        <f>IF(澳门新定位结果!C171&lt;=0,0,1)</f>
        <v>1</v>
      </c>
      <c r="D171" s="4">
        <f>IF(澳门新定位结果!D171&lt;=0,0,1)</f>
        <v>1</v>
      </c>
      <c r="E171" s="4">
        <f>IF(澳门新定位结果!E171&lt;=0,0,1)</f>
        <v>0</v>
      </c>
      <c r="F171" s="4">
        <f>IF(澳门新定位结果!F171&lt;=0,0,1)</f>
        <v>0</v>
      </c>
      <c r="G171" s="4">
        <f>IF(澳门新定位结果!G171&lt;=0,0,1)</f>
        <v>0</v>
      </c>
      <c r="H171" s="4">
        <f>IF(澳门新定位结果!H171&lt;=0,0,1)</f>
        <v>1</v>
      </c>
      <c r="I171" s="4">
        <f>IF(澳门新定位结果!I171&lt;=0,0,1)</f>
        <v>0</v>
      </c>
      <c r="J171" s="4">
        <f>IF(澳门新定位结果!J171&lt;=0,0,1)</f>
        <v>1</v>
      </c>
      <c r="K171" s="4">
        <f>IF(澳门新定位结果!K171&lt;=0,0,1)</f>
        <v>1</v>
      </c>
      <c r="L171" s="4">
        <f>IF(澳门新定位结果!L171&lt;=0,0,1)</f>
        <v>1</v>
      </c>
      <c r="M171" s="4">
        <f>IF(澳门新定位结果!M171&lt;=0,0,1)</f>
        <v>1</v>
      </c>
      <c r="N171" s="4">
        <f>IF(澳门新定位结果!N171&lt;=0,0,1)</f>
        <v>1</v>
      </c>
      <c r="O171" s="4">
        <f>IF(澳门新定位结果!O171&lt;=0,0,1)</f>
        <v>1</v>
      </c>
    </row>
    <row r="172" spans="1:15">
      <c r="A172" s="4" t="s">
        <v>363</v>
      </c>
      <c r="B172" s="4">
        <f>IF(澳门新定位结果!B172&lt;=0,0,1)</f>
        <v>1</v>
      </c>
      <c r="C172" s="4">
        <f>IF(澳门新定位结果!C172&lt;=0,0,1)</f>
        <v>1</v>
      </c>
      <c r="D172" s="4">
        <f>IF(澳门新定位结果!D172&lt;=0,0,1)</f>
        <v>0</v>
      </c>
      <c r="E172" s="4">
        <f>IF(澳门新定位结果!E172&lt;=0,0,1)</f>
        <v>1</v>
      </c>
      <c r="F172" s="4">
        <f>IF(澳门新定位结果!F172&lt;=0,0,1)</f>
        <v>1</v>
      </c>
      <c r="G172" s="4">
        <f>IF(澳门新定位结果!G172&lt;=0,0,1)</f>
        <v>1</v>
      </c>
      <c r="H172" s="4">
        <f>IF(澳门新定位结果!H172&lt;=0,0,1)</f>
        <v>0</v>
      </c>
      <c r="I172" s="4">
        <f>IF(澳门新定位结果!I172&lt;=0,0,1)</f>
        <v>1</v>
      </c>
      <c r="J172" s="4">
        <f>IF(澳门新定位结果!J172&lt;=0,0,1)</f>
        <v>1</v>
      </c>
      <c r="K172" s="4">
        <f>IF(澳门新定位结果!K172&lt;=0,0,1)</f>
        <v>1</v>
      </c>
      <c r="L172" s="4">
        <f>IF(澳门新定位结果!L172&lt;=0,0,1)</f>
        <v>1</v>
      </c>
      <c r="M172" s="4">
        <f>IF(澳门新定位结果!M172&lt;=0,0,1)</f>
        <v>1</v>
      </c>
      <c r="N172" s="4">
        <f>IF(澳门新定位结果!N172&lt;=0,0,1)</f>
        <v>0</v>
      </c>
      <c r="O172" s="4">
        <f>IF(澳门新定位结果!O172&lt;=0,0,1)</f>
        <v>1</v>
      </c>
    </row>
    <row r="173" spans="1:15">
      <c r="A173" s="4" t="s">
        <v>365</v>
      </c>
      <c r="B173" s="4">
        <f>IF(澳门新定位结果!B173&lt;=0,0,1)</f>
        <v>1</v>
      </c>
      <c r="C173" s="4">
        <f>IF(澳门新定位结果!C173&lt;=0,0,1)</f>
        <v>0</v>
      </c>
      <c r="D173" s="4">
        <f>IF(澳门新定位结果!D173&lt;=0,0,1)</f>
        <v>0</v>
      </c>
      <c r="E173" s="4">
        <f>IF(澳门新定位结果!E173&lt;=0,0,1)</f>
        <v>0</v>
      </c>
      <c r="F173" s="4">
        <f>IF(澳门新定位结果!F173&lt;=0,0,1)</f>
        <v>0</v>
      </c>
      <c r="G173" s="4">
        <f>IF(澳门新定位结果!G173&lt;=0,0,1)</f>
        <v>0</v>
      </c>
      <c r="H173" s="4">
        <f>IF(澳门新定位结果!H173&lt;=0,0,1)</f>
        <v>0</v>
      </c>
      <c r="I173" s="4">
        <f>IF(澳门新定位结果!I173&lt;=0,0,1)</f>
        <v>0</v>
      </c>
      <c r="J173" s="4">
        <f>IF(澳门新定位结果!J173&lt;=0,0,1)</f>
        <v>0</v>
      </c>
      <c r="K173" s="4">
        <f>IF(澳门新定位结果!K173&lt;=0,0,1)</f>
        <v>0</v>
      </c>
      <c r="L173" s="4">
        <f>IF(澳门新定位结果!L173&lt;=0,0,1)</f>
        <v>1</v>
      </c>
      <c r="M173" s="4">
        <f>IF(澳门新定位结果!M173&lt;=0,0,1)</f>
        <v>1</v>
      </c>
      <c r="N173" s="4">
        <f>IF(澳门新定位结果!N173&lt;=0,0,1)</f>
        <v>1</v>
      </c>
      <c r="O173" s="4">
        <f>IF(澳门新定位结果!O173&lt;=0,0,1)</f>
        <v>1</v>
      </c>
    </row>
    <row r="174" spans="1:15">
      <c r="A174" s="4" t="s">
        <v>367</v>
      </c>
      <c r="B174" s="4">
        <f>IF(澳门新定位结果!B174&lt;=0,0,1)</f>
        <v>1</v>
      </c>
      <c r="C174" s="4">
        <f>IF(澳门新定位结果!C174&lt;=0,0,1)</f>
        <v>1</v>
      </c>
      <c r="D174" s="4">
        <f>IF(澳门新定位结果!D174&lt;=0,0,1)</f>
        <v>1</v>
      </c>
      <c r="E174" s="4">
        <f>IF(澳门新定位结果!E174&lt;=0,0,1)</f>
        <v>1</v>
      </c>
      <c r="F174" s="4">
        <f>IF(澳门新定位结果!F174&lt;=0,0,1)</f>
        <v>0</v>
      </c>
      <c r="G174" s="4">
        <f>IF(澳门新定位结果!G174&lt;=0,0,1)</f>
        <v>1</v>
      </c>
      <c r="H174" s="4">
        <f>IF(澳门新定位结果!H174&lt;=0,0,1)</f>
        <v>1</v>
      </c>
      <c r="I174" s="4">
        <f>IF(澳门新定位结果!I174&lt;=0,0,1)</f>
        <v>1</v>
      </c>
      <c r="J174" s="4">
        <f>IF(澳门新定位结果!J174&lt;=0,0,1)</f>
        <v>0</v>
      </c>
      <c r="K174" s="4">
        <f>IF(澳门新定位结果!K174&lt;=0,0,1)</f>
        <v>0</v>
      </c>
      <c r="L174" s="4">
        <f>IF(澳门新定位结果!L174&lt;=0,0,1)</f>
        <v>1</v>
      </c>
      <c r="M174" s="4">
        <f>IF(澳门新定位结果!M174&lt;=0,0,1)</f>
        <v>1</v>
      </c>
      <c r="N174" s="4">
        <f>IF(澳门新定位结果!N174&lt;=0,0,1)</f>
        <v>1</v>
      </c>
      <c r="O174" s="4">
        <f>IF(澳门新定位结果!O174&lt;=0,0,1)</f>
        <v>1</v>
      </c>
    </row>
    <row r="175" spans="1:15">
      <c r="A175" s="4" t="s">
        <v>369</v>
      </c>
      <c r="B175" s="4">
        <f>IF(澳门新定位结果!B175&lt;=0,0,1)</f>
        <v>1</v>
      </c>
      <c r="C175" s="4">
        <f>IF(澳门新定位结果!C175&lt;=0,0,1)</f>
        <v>1</v>
      </c>
      <c r="D175" s="4">
        <f>IF(澳门新定位结果!D175&lt;=0,0,1)</f>
        <v>1</v>
      </c>
      <c r="E175" s="4">
        <f>IF(澳门新定位结果!E175&lt;=0,0,1)</f>
        <v>0</v>
      </c>
      <c r="F175" s="4">
        <f>IF(澳门新定位结果!F175&lt;=0,0,1)</f>
        <v>1</v>
      </c>
      <c r="G175" s="4">
        <f>IF(澳门新定位结果!G175&lt;=0,0,1)</f>
        <v>0</v>
      </c>
      <c r="H175" s="4">
        <f>IF(澳门新定位结果!H175&lt;=0,0,1)</f>
        <v>0</v>
      </c>
      <c r="I175" s="4">
        <f>IF(澳门新定位结果!I175&lt;=0,0,1)</f>
        <v>0</v>
      </c>
      <c r="J175" s="4">
        <f>IF(澳门新定位结果!J175&lt;=0,0,1)</f>
        <v>0</v>
      </c>
      <c r="K175" s="4">
        <f>IF(澳门新定位结果!K175&lt;=0,0,1)</f>
        <v>1</v>
      </c>
      <c r="L175" s="4">
        <f>IF(澳门新定位结果!L175&lt;=0,0,1)</f>
        <v>1</v>
      </c>
      <c r="M175" s="4">
        <f>IF(澳门新定位结果!M175&lt;=0,0,1)</f>
        <v>1</v>
      </c>
      <c r="N175" s="4">
        <f>IF(澳门新定位结果!N175&lt;=0,0,1)</f>
        <v>1</v>
      </c>
      <c r="O175" s="4">
        <f>IF(澳门新定位结果!O175&lt;=0,0,1)</f>
        <v>0</v>
      </c>
    </row>
    <row r="176" spans="1:15">
      <c r="A176" s="4" t="s">
        <v>371</v>
      </c>
      <c r="B176" s="4">
        <f>IF(澳门新定位结果!B176&lt;=0,0,1)</f>
        <v>0</v>
      </c>
      <c r="C176" s="4">
        <f>IF(澳门新定位结果!C176&lt;=0,0,1)</f>
        <v>0</v>
      </c>
      <c r="D176" s="4">
        <f>IF(澳门新定位结果!D176&lt;=0,0,1)</f>
        <v>0</v>
      </c>
      <c r="E176" s="4">
        <f>IF(澳门新定位结果!E176&lt;=0,0,1)</f>
        <v>0</v>
      </c>
      <c r="F176" s="4">
        <f>IF(澳门新定位结果!F176&lt;=0,0,1)</f>
        <v>0</v>
      </c>
      <c r="G176" s="4">
        <f>IF(澳门新定位结果!G176&lt;=0,0,1)</f>
        <v>0</v>
      </c>
      <c r="H176" s="4">
        <f>IF(澳门新定位结果!H176&lt;=0,0,1)</f>
        <v>1</v>
      </c>
      <c r="I176" s="4">
        <f>IF(澳门新定位结果!I176&lt;=0,0,1)</f>
        <v>1</v>
      </c>
      <c r="J176" s="4">
        <f>IF(澳门新定位结果!J176&lt;=0,0,1)</f>
        <v>0</v>
      </c>
      <c r="K176" s="4">
        <f>IF(澳门新定位结果!K176&lt;=0,0,1)</f>
        <v>1</v>
      </c>
      <c r="L176" s="4">
        <f>IF(澳门新定位结果!L176&lt;=0,0,1)</f>
        <v>1</v>
      </c>
      <c r="M176" s="4">
        <f>IF(澳门新定位结果!M176&lt;=0,0,1)</f>
        <v>0</v>
      </c>
      <c r="N176" s="4">
        <f>IF(澳门新定位结果!N176&lt;=0,0,1)</f>
        <v>1</v>
      </c>
      <c r="O176" s="4">
        <f>IF(澳门新定位结果!O176&lt;=0,0,1)</f>
        <v>0</v>
      </c>
    </row>
    <row r="177" spans="1:15">
      <c r="A177" s="4" t="s">
        <v>373</v>
      </c>
      <c r="B177" s="4">
        <f>IF(澳门新定位结果!B177&lt;=0,0,1)</f>
        <v>1</v>
      </c>
      <c r="C177" s="4">
        <f>IF(澳门新定位结果!C177&lt;=0,0,1)</f>
        <v>1</v>
      </c>
      <c r="D177" s="4">
        <f>IF(澳门新定位结果!D177&lt;=0,0,1)</f>
        <v>0</v>
      </c>
      <c r="E177" s="4">
        <f>IF(澳门新定位结果!E177&lt;=0,0,1)</f>
        <v>1</v>
      </c>
      <c r="F177" s="4">
        <f>IF(澳门新定位结果!F177&lt;=0,0,1)</f>
        <v>1</v>
      </c>
      <c r="G177" s="4">
        <f>IF(澳门新定位结果!G177&lt;=0,0,1)</f>
        <v>0</v>
      </c>
      <c r="H177" s="4">
        <f>IF(澳门新定位结果!H177&lt;=0,0,1)</f>
        <v>1</v>
      </c>
      <c r="I177" s="4">
        <f>IF(澳门新定位结果!I177&lt;=0,0,1)</f>
        <v>1</v>
      </c>
      <c r="J177" s="4">
        <f>IF(澳门新定位结果!J177&lt;=0,0,1)</f>
        <v>1</v>
      </c>
      <c r="K177" s="4">
        <f>IF(澳门新定位结果!K177&lt;=0,0,1)</f>
        <v>1</v>
      </c>
      <c r="L177" s="4">
        <f>IF(澳门新定位结果!L177&lt;=0,0,1)</f>
        <v>1</v>
      </c>
      <c r="M177" s="4">
        <f>IF(澳门新定位结果!M177&lt;=0,0,1)</f>
        <v>1</v>
      </c>
      <c r="N177" s="4">
        <f>IF(澳门新定位结果!N177&lt;=0,0,1)</f>
        <v>0</v>
      </c>
      <c r="O177" s="4">
        <f>IF(澳门新定位结果!O177&lt;=0,0,1)</f>
        <v>1</v>
      </c>
    </row>
    <row r="178" spans="1:15">
      <c r="A178" s="4" t="s">
        <v>375</v>
      </c>
      <c r="B178" s="4">
        <f>IF(澳门新定位结果!B178&lt;=0,0,1)</f>
        <v>0</v>
      </c>
      <c r="C178" s="4">
        <f>IF(澳门新定位结果!C178&lt;=0,0,1)</f>
        <v>1</v>
      </c>
      <c r="D178" s="4">
        <f>IF(澳门新定位结果!D178&lt;=0,0,1)</f>
        <v>0</v>
      </c>
      <c r="E178" s="4">
        <f>IF(澳门新定位结果!E178&lt;=0,0,1)</f>
        <v>0</v>
      </c>
      <c r="F178" s="4">
        <f>IF(澳门新定位结果!F178&lt;=0,0,1)</f>
        <v>0</v>
      </c>
      <c r="G178" s="4">
        <f>IF(澳门新定位结果!G178&lt;=0,0,1)</f>
        <v>0</v>
      </c>
      <c r="H178" s="4">
        <f>IF(澳门新定位结果!H178&lt;=0,0,1)</f>
        <v>0</v>
      </c>
      <c r="I178" s="4">
        <f>IF(澳门新定位结果!I178&lt;=0,0,1)</f>
        <v>1</v>
      </c>
      <c r="J178" s="4">
        <f>IF(澳门新定位结果!J178&lt;=0,0,1)</f>
        <v>1</v>
      </c>
      <c r="K178" s="4">
        <f>IF(澳门新定位结果!K178&lt;=0,0,1)</f>
        <v>0</v>
      </c>
      <c r="L178" s="4">
        <f>IF(澳门新定位结果!L178&lt;=0,0,1)</f>
        <v>0</v>
      </c>
      <c r="M178" s="4">
        <f>IF(澳门新定位结果!M178&lt;=0,0,1)</f>
        <v>1</v>
      </c>
      <c r="N178" s="4">
        <f>IF(澳门新定位结果!N178&lt;=0,0,1)</f>
        <v>1</v>
      </c>
      <c r="O178" s="4">
        <f>IF(澳门新定位结果!O178&lt;=0,0,1)</f>
        <v>1</v>
      </c>
    </row>
    <row r="179" spans="1:15">
      <c r="A179" s="4" t="s">
        <v>377</v>
      </c>
      <c r="B179" s="4">
        <f>IF(澳门新定位结果!B179&lt;=0,0,1)</f>
        <v>1</v>
      </c>
      <c r="C179" s="4">
        <f>IF(澳门新定位结果!C179&lt;=0,0,1)</f>
        <v>0</v>
      </c>
      <c r="D179" s="4">
        <f>IF(澳门新定位结果!D179&lt;=0,0,1)</f>
        <v>0</v>
      </c>
      <c r="E179" s="4">
        <f>IF(澳门新定位结果!E179&lt;=0,0,1)</f>
        <v>1</v>
      </c>
      <c r="F179" s="4">
        <f>IF(澳门新定位结果!F179&lt;=0,0,1)</f>
        <v>0</v>
      </c>
      <c r="G179" s="4">
        <f>IF(澳门新定位结果!G179&lt;=0,0,1)</f>
        <v>1</v>
      </c>
      <c r="H179" s="4">
        <f>IF(澳门新定位结果!H179&lt;=0,0,1)</f>
        <v>1</v>
      </c>
      <c r="I179" s="4">
        <f>IF(澳门新定位结果!I179&lt;=0,0,1)</f>
        <v>1</v>
      </c>
      <c r="J179" s="4">
        <f>IF(澳门新定位结果!J179&lt;=0,0,1)</f>
        <v>0</v>
      </c>
      <c r="K179" s="4">
        <f>IF(澳门新定位结果!K179&lt;=0,0,1)</f>
        <v>0</v>
      </c>
      <c r="L179" s="4">
        <f>IF(澳门新定位结果!L179&lt;=0,0,1)</f>
        <v>0</v>
      </c>
      <c r="M179" s="4">
        <f>IF(澳门新定位结果!M179&lt;=0,0,1)</f>
        <v>0</v>
      </c>
      <c r="N179" s="4">
        <f>IF(澳门新定位结果!N179&lt;=0,0,1)</f>
        <v>0</v>
      </c>
      <c r="O179" s="4">
        <f>IF(澳门新定位结果!O179&lt;=0,0,1)</f>
        <v>1</v>
      </c>
    </row>
    <row r="180" spans="1:15">
      <c r="A180" s="4" t="s">
        <v>379</v>
      </c>
      <c r="B180" s="4">
        <f>IF(澳门新定位结果!B180&lt;=0,0,1)</f>
        <v>0</v>
      </c>
      <c r="C180" s="4">
        <f>IF(澳门新定位结果!C180&lt;=0,0,1)</f>
        <v>0</v>
      </c>
      <c r="D180" s="4">
        <f>IF(澳门新定位结果!D180&lt;=0,0,1)</f>
        <v>1</v>
      </c>
      <c r="E180" s="4">
        <f>IF(澳门新定位结果!E180&lt;=0,0,1)</f>
        <v>0</v>
      </c>
      <c r="F180" s="4">
        <f>IF(澳门新定位结果!F180&lt;=0,0,1)</f>
        <v>1</v>
      </c>
      <c r="G180" s="4">
        <f>IF(澳门新定位结果!G180&lt;=0,0,1)</f>
        <v>1</v>
      </c>
      <c r="H180" s="4">
        <f>IF(澳门新定位结果!H180&lt;=0,0,1)</f>
        <v>0</v>
      </c>
      <c r="I180" s="4">
        <f>IF(澳门新定位结果!I180&lt;=0,0,1)</f>
        <v>0</v>
      </c>
      <c r="J180" s="4">
        <f>IF(澳门新定位结果!J180&lt;=0,0,1)</f>
        <v>0</v>
      </c>
      <c r="K180" s="4">
        <f>IF(澳门新定位结果!K180&lt;=0,0,1)</f>
        <v>0</v>
      </c>
      <c r="L180" s="4">
        <f>IF(澳门新定位结果!L180&lt;=0,0,1)</f>
        <v>0</v>
      </c>
      <c r="M180" s="4">
        <f>IF(澳门新定位结果!M180&lt;=0,0,1)</f>
        <v>1</v>
      </c>
      <c r="N180" s="4">
        <f>IF(澳门新定位结果!N180&lt;=0,0,1)</f>
        <v>1</v>
      </c>
      <c r="O180" s="4">
        <f>IF(澳门新定位结果!O180&lt;=0,0,1)</f>
        <v>1</v>
      </c>
    </row>
    <row r="181" spans="1:15">
      <c r="A181" s="4" t="s">
        <v>381</v>
      </c>
      <c r="B181" s="4">
        <f>IF(澳门新定位结果!B181&lt;=0,0,1)</f>
        <v>1</v>
      </c>
      <c r="C181" s="4">
        <f>IF(澳门新定位结果!C181&lt;=0,0,1)</f>
        <v>1</v>
      </c>
      <c r="D181" s="4">
        <f>IF(澳门新定位结果!D181&lt;=0,0,1)</f>
        <v>0</v>
      </c>
      <c r="E181" s="4">
        <f>IF(澳门新定位结果!E181&lt;=0,0,1)</f>
        <v>0</v>
      </c>
      <c r="F181" s="4">
        <f>IF(澳门新定位结果!F181&lt;=0,0,1)</f>
        <v>0</v>
      </c>
      <c r="G181" s="4">
        <f>IF(澳门新定位结果!G181&lt;=0,0,1)</f>
        <v>0</v>
      </c>
      <c r="H181" s="4">
        <f>IF(澳门新定位结果!H181&lt;=0,0,1)</f>
        <v>1</v>
      </c>
      <c r="I181" s="4">
        <f>IF(澳门新定位结果!I181&lt;=0,0,1)</f>
        <v>1</v>
      </c>
      <c r="J181" s="4">
        <f>IF(澳门新定位结果!J181&lt;=0,0,1)</f>
        <v>1</v>
      </c>
      <c r="K181" s="4">
        <f>IF(澳门新定位结果!K181&lt;=0,0,1)</f>
        <v>1</v>
      </c>
      <c r="L181" s="4">
        <f>IF(澳门新定位结果!L181&lt;=0,0,1)</f>
        <v>1</v>
      </c>
      <c r="M181" s="4">
        <f>IF(澳门新定位结果!M181&lt;=0,0,1)</f>
        <v>1</v>
      </c>
      <c r="N181" s="4">
        <f>IF(澳门新定位结果!N181&lt;=0,0,1)</f>
        <v>1</v>
      </c>
      <c r="O181" s="4">
        <f>IF(澳门新定位结果!O181&lt;=0,0,1)</f>
        <v>0</v>
      </c>
    </row>
    <row r="182" spans="1:15">
      <c r="A182" s="4" t="s">
        <v>383</v>
      </c>
      <c r="B182" s="4">
        <f>IF(澳门新定位结果!B182&lt;=0,0,1)</f>
        <v>0</v>
      </c>
      <c r="C182" s="4">
        <f>IF(澳门新定位结果!C182&lt;=0,0,1)</f>
        <v>1</v>
      </c>
      <c r="D182" s="4">
        <f>IF(澳门新定位结果!D182&lt;=0,0,1)</f>
        <v>0</v>
      </c>
      <c r="E182" s="4">
        <f>IF(澳门新定位结果!E182&lt;=0,0,1)</f>
        <v>1</v>
      </c>
      <c r="F182" s="4">
        <f>IF(澳门新定位结果!F182&lt;=0,0,1)</f>
        <v>1</v>
      </c>
      <c r="G182" s="4">
        <f>IF(澳门新定位结果!G182&lt;=0,0,1)</f>
        <v>1</v>
      </c>
      <c r="H182" s="4">
        <f>IF(澳门新定位结果!H182&lt;=0,0,1)</f>
        <v>1</v>
      </c>
      <c r="I182" s="4">
        <f>IF(澳门新定位结果!I182&lt;=0,0,1)</f>
        <v>1</v>
      </c>
      <c r="J182" s="4">
        <f>IF(澳门新定位结果!J182&lt;=0,0,1)</f>
        <v>1</v>
      </c>
      <c r="K182" s="4">
        <f>IF(澳门新定位结果!K182&lt;=0,0,1)</f>
        <v>0</v>
      </c>
      <c r="L182" s="4">
        <f>IF(澳门新定位结果!L182&lt;=0,0,1)</f>
        <v>0</v>
      </c>
      <c r="M182" s="4">
        <f>IF(澳门新定位结果!M182&lt;=0,0,1)</f>
        <v>1</v>
      </c>
      <c r="N182" s="4">
        <f>IF(澳门新定位结果!N182&lt;=0,0,1)</f>
        <v>0</v>
      </c>
      <c r="O182" s="4">
        <f>IF(澳门新定位结果!O182&lt;=0,0,1)</f>
        <v>1</v>
      </c>
    </row>
    <row r="183" spans="1:15">
      <c r="A183" s="4" t="s">
        <v>385</v>
      </c>
      <c r="B183" s="4">
        <f>IF(澳门新定位结果!B183&lt;=0,0,1)</f>
        <v>0</v>
      </c>
      <c r="C183" s="4">
        <f>IF(澳门新定位结果!C183&lt;=0,0,1)</f>
        <v>0</v>
      </c>
      <c r="D183" s="4">
        <f>IF(澳门新定位结果!D183&lt;=0,0,1)</f>
        <v>1</v>
      </c>
      <c r="E183" s="4">
        <f>IF(澳门新定位结果!E183&lt;=0,0,1)</f>
        <v>1</v>
      </c>
      <c r="F183" s="4">
        <f>IF(澳门新定位结果!F183&lt;=0,0,1)</f>
        <v>1</v>
      </c>
      <c r="G183" s="4">
        <f>IF(澳门新定位结果!G183&lt;=0,0,1)</f>
        <v>0</v>
      </c>
      <c r="H183" s="4">
        <f>IF(澳门新定位结果!H183&lt;=0,0,1)</f>
        <v>0</v>
      </c>
      <c r="I183" s="4">
        <f>IF(澳门新定位结果!I183&lt;=0,0,1)</f>
        <v>0</v>
      </c>
      <c r="J183" s="4">
        <f>IF(澳门新定位结果!J183&lt;=0,0,1)</f>
        <v>0</v>
      </c>
      <c r="K183" s="4">
        <f>IF(澳门新定位结果!K183&lt;=0,0,1)</f>
        <v>1</v>
      </c>
      <c r="L183" s="4">
        <f>IF(澳门新定位结果!L183&lt;=0,0,1)</f>
        <v>0</v>
      </c>
      <c r="M183" s="4">
        <f>IF(澳门新定位结果!M183&lt;=0,0,1)</f>
        <v>1</v>
      </c>
      <c r="N183" s="4">
        <f>IF(澳门新定位结果!N183&lt;=0,0,1)</f>
        <v>1</v>
      </c>
      <c r="O183" s="4">
        <f>IF(澳门新定位结果!O183&lt;=0,0,1)</f>
        <v>1</v>
      </c>
    </row>
    <row r="184" spans="1:15">
      <c r="A184" s="4" t="s">
        <v>387</v>
      </c>
      <c r="B184" s="4">
        <f>IF(澳门新定位结果!B184&lt;=0,0,1)</f>
        <v>0</v>
      </c>
      <c r="C184" s="4">
        <f>IF(澳门新定位结果!C184&lt;=0,0,1)</f>
        <v>1</v>
      </c>
      <c r="D184" s="4">
        <f>IF(澳门新定位结果!D184&lt;=0,0,1)</f>
        <v>1</v>
      </c>
      <c r="E184" s="4">
        <f>IF(澳门新定位结果!E184&lt;=0,0,1)</f>
        <v>0</v>
      </c>
      <c r="F184" s="4">
        <f>IF(澳门新定位结果!F184&lt;=0,0,1)</f>
        <v>0</v>
      </c>
      <c r="G184" s="4">
        <f>IF(澳门新定位结果!G184&lt;=0,0,1)</f>
        <v>1</v>
      </c>
      <c r="H184" s="4">
        <f>IF(澳门新定位结果!H184&lt;=0,0,1)</f>
        <v>1</v>
      </c>
      <c r="I184" s="4">
        <f>IF(澳门新定位结果!I184&lt;=0,0,1)</f>
        <v>0</v>
      </c>
      <c r="J184" s="4">
        <f>IF(澳门新定位结果!J184&lt;=0,0,1)</f>
        <v>0</v>
      </c>
      <c r="K184" s="4">
        <f>IF(澳门新定位结果!K184&lt;=0,0,1)</f>
        <v>1</v>
      </c>
      <c r="L184" s="4">
        <f>IF(澳门新定位结果!L184&lt;=0,0,1)</f>
        <v>1</v>
      </c>
      <c r="M184" s="4">
        <f>IF(澳门新定位结果!M184&lt;=0,0,1)</f>
        <v>0</v>
      </c>
      <c r="N184" s="4">
        <f>IF(澳门新定位结果!N184&lt;=0,0,1)</f>
        <v>0</v>
      </c>
      <c r="O184" s="4">
        <f>IF(澳门新定位结果!O184&lt;=0,0,1)</f>
        <v>1</v>
      </c>
    </row>
    <row r="185" spans="1:15">
      <c r="A185" s="4" t="s">
        <v>389</v>
      </c>
      <c r="B185" s="4">
        <f>IF(澳门新定位结果!B185&lt;=0,0,1)</f>
        <v>0</v>
      </c>
      <c r="C185" s="4">
        <f>IF(澳门新定位结果!C185&lt;=0,0,1)</f>
        <v>1</v>
      </c>
      <c r="D185" s="4">
        <f>IF(澳门新定位结果!D185&lt;=0,0,1)</f>
        <v>1</v>
      </c>
      <c r="E185" s="4">
        <f>IF(澳门新定位结果!E185&lt;=0,0,1)</f>
        <v>1</v>
      </c>
      <c r="F185" s="4">
        <f>IF(澳门新定位结果!F185&lt;=0,0,1)</f>
        <v>1</v>
      </c>
      <c r="G185" s="4">
        <f>IF(澳门新定位结果!G185&lt;=0,0,1)</f>
        <v>0</v>
      </c>
      <c r="H185" s="4">
        <f>IF(澳门新定位结果!H185&lt;=0,0,1)</f>
        <v>0</v>
      </c>
      <c r="I185" s="4">
        <f>IF(澳门新定位结果!I185&lt;=0,0,1)</f>
        <v>1</v>
      </c>
      <c r="J185" s="4">
        <f>IF(澳门新定位结果!J185&lt;=0,0,1)</f>
        <v>1</v>
      </c>
      <c r="K185" s="4">
        <f>IF(澳门新定位结果!K185&lt;=0,0,1)</f>
        <v>1</v>
      </c>
      <c r="L185" s="4">
        <f>IF(澳门新定位结果!L185&lt;=0,0,1)</f>
        <v>0</v>
      </c>
      <c r="M185" s="4">
        <f>IF(澳门新定位结果!M185&lt;=0,0,1)</f>
        <v>0</v>
      </c>
      <c r="N185" s="4">
        <f>IF(澳门新定位结果!N185&lt;=0,0,1)</f>
        <v>0</v>
      </c>
      <c r="O185" s="4">
        <f>IF(澳门新定位结果!O185&lt;=0,0,1)</f>
        <v>1</v>
      </c>
    </row>
    <row r="186" spans="1:15">
      <c r="A186" s="4" t="s">
        <v>391</v>
      </c>
      <c r="B186" s="4">
        <f>IF(澳门新定位结果!B186&lt;=0,0,1)</f>
        <v>0</v>
      </c>
      <c r="C186" s="4">
        <f>IF(澳门新定位结果!C186&lt;=0,0,1)</f>
        <v>1</v>
      </c>
      <c r="D186" s="4">
        <f>IF(澳门新定位结果!D186&lt;=0,0,1)</f>
        <v>0</v>
      </c>
      <c r="E186" s="4">
        <f>IF(澳门新定位结果!E186&lt;=0,0,1)</f>
        <v>1</v>
      </c>
      <c r="F186" s="4">
        <f>IF(澳门新定位结果!F186&lt;=0,0,1)</f>
        <v>0</v>
      </c>
      <c r="G186" s="4">
        <f>IF(澳门新定位结果!G186&lt;=0,0,1)</f>
        <v>0</v>
      </c>
      <c r="H186" s="4">
        <f>IF(澳门新定位结果!H186&lt;=0,0,1)</f>
        <v>1</v>
      </c>
      <c r="I186" s="4">
        <f>IF(澳门新定位结果!I186&lt;=0,0,1)</f>
        <v>0</v>
      </c>
      <c r="J186" s="4">
        <f>IF(澳门新定位结果!J186&lt;=0,0,1)</f>
        <v>1</v>
      </c>
      <c r="K186" s="4">
        <f>IF(澳门新定位结果!K186&lt;=0,0,1)</f>
        <v>1</v>
      </c>
      <c r="L186" s="4">
        <f>IF(澳门新定位结果!L186&lt;=0,0,1)</f>
        <v>0</v>
      </c>
      <c r="M186" s="4">
        <f>IF(澳门新定位结果!M186&lt;=0,0,1)</f>
        <v>0</v>
      </c>
      <c r="N186" s="4">
        <f>IF(澳门新定位结果!N186&lt;=0,0,1)</f>
        <v>1</v>
      </c>
      <c r="O186" s="4">
        <f>IF(澳门新定位结果!O186&lt;=0,0,1)</f>
        <v>0</v>
      </c>
    </row>
    <row r="187" spans="1:15">
      <c r="A187" s="4" t="s">
        <v>393</v>
      </c>
      <c r="B187" s="4">
        <f>IF(澳门新定位结果!B187&lt;=0,0,1)</f>
        <v>0</v>
      </c>
      <c r="C187" s="4">
        <f>IF(澳门新定位结果!C187&lt;=0,0,1)</f>
        <v>1</v>
      </c>
      <c r="D187" s="4">
        <f>IF(澳门新定位结果!D187&lt;=0,0,1)</f>
        <v>0</v>
      </c>
      <c r="E187" s="4">
        <f>IF(澳门新定位结果!E187&lt;=0,0,1)</f>
        <v>1</v>
      </c>
      <c r="F187" s="4">
        <f>IF(澳门新定位结果!F187&lt;=0,0,1)</f>
        <v>1</v>
      </c>
      <c r="G187" s="4">
        <f>IF(澳门新定位结果!G187&lt;=0,0,1)</f>
        <v>1</v>
      </c>
      <c r="H187" s="4">
        <f>IF(澳门新定位结果!H187&lt;=0,0,1)</f>
        <v>1</v>
      </c>
      <c r="I187" s="4">
        <f>IF(澳门新定位结果!I187&lt;=0,0,1)</f>
        <v>1</v>
      </c>
      <c r="J187" s="4">
        <f>IF(澳门新定位结果!J187&lt;=0,0,1)</f>
        <v>0</v>
      </c>
      <c r="K187" s="4">
        <f>IF(澳门新定位结果!K187&lt;=0,0,1)</f>
        <v>0</v>
      </c>
      <c r="L187" s="4">
        <f>IF(澳门新定位结果!L187&lt;=0,0,1)</f>
        <v>1</v>
      </c>
      <c r="M187" s="4">
        <f>IF(澳门新定位结果!M187&lt;=0,0,1)</f>
        <v>1</v>
      </c>
      <c r="N187" s="4">
        <f>IF(澳门新定位结果!N187&lt;=0,0,1)</f>
        <v>0</v>
      </c>
      <c r="O187" s="4">
        <f>IF(澳门新定位结果!O187&lt;=0,0,1)</f>
        <v>0</v>
      </c>
    </row>
    <row r="188" spans="1:15">
      <c r="A188" s="4" t="s">
        <v>395</v>
      </c>
      <c r="B188" s="4">
        <f>IF(澳门新定位结果!B188&lt;=0,0,1)</f>
        <v>0</v>
      </c>
      <c r="C188" s="4">
        <f>IF(澳门新定位结果!C188&lt;=0,0,1)</f>
        <v>1</v>
      </c>
      <c r="D188" s="4">
        <f>IF(澳门新定位结果!D188&lt;=0,0,1)</f>
        <v>0</v>
      </c>
      <c r="E188" s="4">
        <f>IF(澳门新定位结果!E188&lt;=0,0,1)</f>
        <v>0</v>
      </c>
      <c r="F188" s="4">
        <f>IF(澳门新定位结果!F188&lt;=0,0,1)</f>
        <v>0</v>
      </c>
      <c r="G188" s="4">
        <f>IF(澳门新定位结果!G188&lt;=0,0,1)</f>
        <v>0</v>
      </c>
      <c r="H188" s="4">
        <f>IF(澳门新定位结果!H188&lt;=0,0,1)</f>
        <v>0</v>
      </c>
      <c r="I188" s="4">
        <f>IF(澳门新定位结果!I188&lt;=0,0,1)</f>
        <v>0</v>
      </c>
      <c r="J188" s="4">
        <f>IF(澳门新定位结果!J188&lt;=0,0,1)</f>
        <v>0</v>
      </c>
      <c r="K188" s="4">
        <f>IF(澳门新定位结果!K188&lt;=0,0,1)</f>
        <v>0</v>
      </c>
      <c r="L188" s="4">
        <f>IF(澳门新定位结果!L188&lt;=0,0,1)</f>
        <v>0</v>
      </c>
      <c r="M188" s="4">
        <f>IF(澳门新定位结果!M188&lt;=0,0,1)</f>
        <v>1</v>
      </c>
      <c r="N188" s="4">
        <f>IF(澳门新定位结果!N188&lt;=0,0,1)</f>
        <v>1</v>
      </c>
      <c r="O188" s="4">
        <f>IF(澳门新定位结果!O188&lt;=0,0,1)</f>
        <v>1</v>
      </c>
    </row>
    <row r="189" spans="1:15">
      <c r="A189" s="4" t="s">
        <v>397</v>
      </c>
      <c r="B189" s="4">
        <f>IF(澳门新定位结果!B189&lt;=0,0,1)</f>
        <v>0</v>
      </c>
      <c r="C189" s="4">
        <f>IF(澳门新定位结果!C189&lt;=0,0,1)</f>
        <v>1</v>
      </c>
      <c r="D189" s="4">
        <f>IF(澳门新定位结果!D189&lt;=0,0,1)</f>
        <v>0</v>
      </c>
      <c r="E189" s="4">
        <f>IF(澳门新定位结果!E189&lt;=0,0,1)</f>
        <v>0</v>
      </c>
      <c r="F189" s="4">
        <f>IF(澳门新定位结果!F189&lt;=0,0,1)</f>
        <v>0</v>
      </c>
      <c r="G189" s="4">
        <f>IF(澳门新定位结果!G189&lt;=0,0,1)</f>
        <v>0</v>
      </c>
      <c r="H189" s="4">
        <f>IF(澳门新定位结果!H189&lt;=0,0,1)</f>
        <v>0</v>
      </c>
      <c r="I189" s="4">
        <f>IF(澳门新定位结果!I189&lt;=0,0,1)</f>
        <v>1</v>
      </c>
      <c r="J189" s="4">
        <f>IF(澳门新定位结果!J189&lt;=0,0,1)</f>
        <v>0</v>
      </c>
      <c r="K189" s="4">
        <f>IF(澳门新定位结果!K189&lt;=0,0,1)</f>
        <v>1</v>
      </c>
      <c r="L189" s="4">
        <f>IF(澳门新定位结果!L189&lt;=0,0,1)</f>
        <v>1</v>
      </c>
      <c r="M189" s="4">
        <f>IF(澳门新定位结果!M189&lt;=0,0,1)</f>
        <v>0</v>
      </c>
      <c r="N189" s="4">
        <f>IF(澳门新定位结果!N189&lt;=0,0,1)</f>
        <v>1</v>
      </c>
      <c r="O189" s="4">
        <f>IF(澳门新定位结果!O189&lt;=0,0,1)</f>
        <v>1</v>
      </c>
    </row>
    <row r="190" spans="1:15">
      <c r="A190" s="4" t="s">
        <v>399</v>
      </c>
      <c r="B190" s="4">
        <f>IF(澳门新定位结果!B190&lt;=0,0,1)</f>
        <v>0</v>
      </c>
      <c r="C190" s="4">
        <f>IF(澳门新定位结果!C190&lt;=0,0,1)</f>
        <v>1</v>
      </c>
      <c r="D190" s="4">
        <f>IF(澳门新定位结果!D190&lt;=0,0,1)</f>
        <v>0</v>
      </c>
      <c r="E190" s="4">
        <f>IF(澳门新定位结果!E190&lt;=0,0,1)</f>
        <v>0</v>
      </c>
      <c r="F190" s="4">
        <f>IF(澳门新定位结果!F190&lt;=0,0,1)</f>
        <v>0</v>
      </c>
      <c r="G190" s="4">
        <f>IF(澳门新定位结果!G190&lt;=0,0,1)</f>
        <v>0</v>
      </c>
      <c r="H190" s="4">
        <f>IF(澳门新定位结果!H190&lt;=0,0,1)</f>
        <v>0</v>
      </c>
      <c r="I190" s="4">
        <f>IF(澳门新定位结果!I190&lt;=0,0,1)</f>
        <v>1</v>
      </c>
      <c r="J190" s="4">
        <f>IF(澳门新定位结果!J190&lt;=0,0,1)</f>
        <v>0</v>
      </c>
      <c r="K190" s="4">
        <f>IF(澳门新定位结果!K190&lt;=0,0,1)</f>
        <v>1</v>
      </c>
      <c r="L190" s="4">
        <f>IF(澳门新定位结果!L190&lt;=0,0,1)</f>
        <v>1</v>
      </c>
      <c r="M190" s="4">
        <f>IF(澳门新定位结果!M190&lt;=0,0,1)</f>
        <v>0</v>
      </c>
      <c r="N190" s="4">
        <f>IF(澳门新定位结果!N190&lt;=0,0,1)</f>
        <v>1</v>
      </c>
      <c r="O190" s="4">
        <f>IF(澳门新定位结果!O190&lt;=0,0,1)</f>
        <v>0</v>
      </c>
    </row>
    <row r="191" spans="1:15">
      <c r="A191" s="4" t="s">
        <v>401</v>
      </c>
      <c r="B191" s="4">
        <f>IF(澳门新定位结果!B191&lt;=0,0,1)</f>
        <v>1</v>
      </c>
      <c r="C191" s="4">
        <f>IF(澳门新定位结果!C191&lt;=0,0,1)</f>
        <v>1</v>
      </c>
      <c r="D191" s="4">
        <f>IF(澳门新定位结果!D191&lt;=0,0,1)</f>
        <v>0</v>
      </c>
      <c r="E191" s="4">
        <f>IF(澳门新定位结果!E191&lt;=0,0,1)</f>
        <v>0</v>
      </c>
      <c r="F191" s="4">
        <f>IF(澳门新定位结果!F191&lt;=0,0,1)</f>
        <v>0</v>
      </c>
      <c r="G191" s="4">
        <f>IF(澳门新定位结果!G191&lt;=0,0,1)</f>
        <v>1</v>
      </c>
      <c r="H191" s="4">
        <f>IF(澳门新定位结果!H191&lt;=0,0,1)</f>
        <v>1</v>
      </c>
      <c r="I191" s="4">
        <f>IF(澳门新定位结果!I191&lt;=0,0,1)</f>
        <v>1</v>
      </c>
      <c r="J191" s="4">
        <f>IF(澳门新定位结果!J191&lt;=0,0,1)</f>
        <v>1</v>
      </c>
      <c r="K191" s="4">
        <f>IF(澳门新定位结果!K191&lt;=0,0,1)</f>
        <v>1</v>
      </c>
      <c r="L191" s="4">
        <f>IF(澳门新定位结果!L191&lt;=0,0,1)</f>
        <v>1</v>
      </c>
      <c r="M191" s="4">
        <f>IF(澳门新定位结果!M191&lt;=0,0,1)</f>
        <v>1</v>
      </c>
      <c r="N191" s="4">
        <f>IF(澳门新定位结果!N191&lt;=0,0,1)</f>
        <v>0</v>
      </c>
      <c r="O191" s="4">
        <f>IF(澳门新定位结果!O191&lt;=0,0,1)</f>
        <v>0</v>
      </c>
    </row>
    <row r="192" spans="1:15">
      <c r="A192" s="4" t="s">
        <v>403</v>
      </c>
      <c r="B192" s="4">
        <f>IF(澳门新定位结果!B192&lt;=0,0,1)</f>
        <v>1</v>
      </c>
      <c r="C192" s="4">
        <f>IF(澳门新定位结果!C192&lt;=0,0,1)</f>
        <v>1</v>
      </c>
      <c r="D192" s="4">
        <f>IF(澳门新定位结果!D192&lt;=0,0,1)</f>
        <v>0</v>
      </c>
      <c r="E192" s="4">
        <f>IF(澳门新定位结果!E192&lt;=0,0,1)</f>
        <v>0</v>
      </c>
      <c r="F192" s="4">
        <f>IF(澳门新定位结果!F192&lt;=0,0,1)</f>
        <v>1</v>
      </c>
      <c r="G192" s="4">
        <f>IF(澳门新定位结果!G192&lt;=0,0,1)</f>
        <v>0</v>
      </c>
      <c r="H192" s="4">
        <f>IF(澳门新定位结果!H192&lt;=0,0,1)</f>
        <v>0</v>
      </c>
      <c r="I192" s="4">
        <f>IF(澳门新定位结果!I192&lt;=0,0,1)</f>
        <v>1</v>
      </c>
      <c r="J192" s="4">
        <f>IF(澳门新定位结果!J192&lt;=0,0,1)</f>
        <v>1</v>
      </c>
      <c r="K192" s="4">
        <f>IF(澳门新定位结果!K192&lt;=0,0,1)</f>
        <v>1</v>
      </c>
      <c r="L192" s="4">
        <f>IF(澳门新定位结果!L192&lt;=0,0,1)</f>
        <v>1</v>
      </c>
      <c r="M192" s="4">
        <f>IF(澳门新定位结果!M192&lt;=0,0,1)</f>
        <v>0</v>
      </c>
      <c r="N192" s="4">
        <f>IF(澳门新定位结果!N192&lt;=0,0,1)</f>
        <v>0</v>
      </c>
      <c r="O192" s="4">
        <f>IF(澳门新定位结果!O192&lt;=0,0,1)</f>
        <v>1</v>
      </c>
    </row>
    <row r="193" spans="1:15">
      <c r="A193" s="4" t="s">
        <v>405</v>
      </c>
      <c r="B193" s="4">
        <f>IF(澳门新定位结果!B193&lt;=0,0,1)</f>
        <v>1</v>
      </c>
      <c r="C193" s="4">
        <f>IF(澳门新定位结果!C193&lt;=0,0,1)</f>
        <v>1</v>
      </c>
      <c r="D193" s="4">
        <f>IF(澳门新定位结果!D193&lt;=0,0,1)</f>
        <v>0</v>
      </c>
      <c r="E193" s="4">
        <f>IF(澳门新定位结果!E193&lt;=0,0,1)</f>
        <v>0</v>
      </c>
      <c r="F193" s="4">
        <f>IF(澳门新定位结果!F193&lt;=0,0,1)</f>
        <v>0</v>
      </c>
      <c r="G193" s="4">
        <f>IF(澳门新定位结果!G193&lt;=0,0,1)</f>
        <v>1</v>
      </c>
      <c r="H193" s="4">
        <f>IF(澳门新定位结果!H193&lt;=0,0,1)</f>
        <v>1</v>
      </c>
      <c r="I193" s="4">
        <f>IF(澳门新定位结果!I193&lt;=0,0,1)</f>
        <v>1</v>
      </c>
      <c r="J193" s="4">
        <f>IF(澳门新定位结果!J193&lt;=0,0,1)</f>
        <v>1</v>
      </c>
      <c r="K193" s="4">
        <f>IF(澳门新定位结果!K193&lt;=0,0,1)</f>
        <v>0</v>
      </c>
      <c r="L193" s="4">
        <f>IF(澳门新定位结果!L193&lt;=0,0,1)</f>
        <v>0</v>
      </c>
      <c r="M193" s="4">
        <f>IF(澳门新定位结果!M193&lt;=0,0,1)</f>
        <v>0</v>
      </c>
      <c r="N193" s="4">
        <f>IF(澳门新定位结果!N193&lt;=0,0,1)</f>
        <v>1</v>
      </c>
      <c r="O193" s="4">
        <f>IF(澳门新定位结果!O193&lt;=0,0,1)</f>
        <v>1</v>
      </c>
    </row>
    <row r="194" spans="1:15">
      <c r="A194" s="4" t="s">
        <v>407</v>
      </c>
      <c r="B194" s="4">
        <f>IF(澳门新定位结果!B194&lt;=0,0,1)</f>
        <v>0</v>
      </c>
      <c r="C194" s="4">
        <f>IF(澳门新定位结果!C194&lt;=0,0,1)</f>
        <v>0</v>
      </c>
      <c r="D194" s="4">
        <f>IF(澳门新定位结果!D194&lt;=0,0,1)</f>
        <v>0</v>
      </c>
      <c r="E194" s="4">
        <f>IF(澳门新定位结果!E194&lt;=0,0,1)</f>
        <v>1</v>
      </c>
      <c r="F194" s="4">
        <f>IF(澳门新定位结果!F194&lt;=0,0,1)</f>
        <v>0</v>
      </c>
      <c r="G194" s="4">
        <f>IF(澳门新定位结果!G194&lt;=0,0,1)</f>
        <v>0</v>
      </c>
      <c r="H194" s="4">
        <f>IF(澳门新定位结果!H194&lt;=0,0,1)</f>
        <v>1</v>
      </c>
      <c r="I194" s="4">
        <f>IF(澳门新定位结果!I194&lt;=0,0,1)</f>
        <v>1</v>
      </c>
      <c r="J194" s="4">
        <f>IF(澳门新定位结果!J194&lt;=0,0,1)</f>
        <v>0</v>
      </c>
      <c r="K194" s="4">
        <f>IF(澳门新定位结果!K194&lt;=0,0,1)</f>
        <v>0</v>
      </c>
      <c r="L194" s="4">
        <f>IF(澳门新定位结果!L194&lt;=0,0,1)</f>
        <v>1</v>
      </c>
      <c r="M194" s="4">
        <f>IF(澳门新定位结果!M194&lt;=0,0,1)</f>
        <v>0</v>
      </c>
      <c r="N194" s="4">
        <f>IF(澳门新定位结果!N194&lt;=0,0,1)</f>
        <v>1</v>
      </c>
      <c r="O194" s="4">
        <f>IF(澳门新定位结果!O194&lt;=0,0,1)</f>
        <v>0</v>
      </c>
    </row>
    <row r="195" spans="1:15">
      <c r="A195" s="4" t="s">
        <v>409</v>
      </c>
      <c r="B195" s="4">
        <f>IF(澳门新定位结果!B195&lt;=0,0,1)</f>
        <v>0</v>
      </c>
      <c r="C195" s="4">
        <f>IF(澳门新定位结果!C195&lt;=0,0,1)</f>
        <v>1</v>
      </c>
      <c r="D195" s="4">
        <f>IF(澳门新定位结果!D195&lt;=0,0,1)</f>
        <v>0</v>
      </c>
      <c r="E195" s="4">
        <f>IF(澳门新定位结果!E195&lt;=0,0,1)</f>
        <v>0</v>
      </c>
      <c r="F195" s="4">
        <f>IF(澳门新定位结果!F195&lt;=0,0,1)</f>
        <v>1</v>
      </c>
      <c r="G195" s="4">
        <f>IF(澳门新定位结果!G195&lt;=0,0,1)</f>
        <v>0</v>
      </c>
      <c r="H195" s="4">
        <f>IF(澳门新定位结果!H195&lt;=0,0,1)</f>
        <v>0</v>
      </c>
      <c r="I195" s="4">
        <f>IF(澳门新定位结果!I195&lt;=0,0,1)</f>
        <v>1</v>
      </c>
      <c r="J195" s="4">
        <f>IF(澳门新定位结果!J195&lt;=0,0,1)</f>
        <v>0</v>
      </c>
      <c r="K195" s="4">
        <f>IF(澳门新定位结果!K195&lt;=0,0,1)</f>
        <v>1</v>
      </c>
      <c r="L195" s="4">
        <f>IF(澳门新定位结果!L195&lt;=0,0,1)</f>
        <v>0</v>
      </c>
      <c r="M195" s="4">
        <f>IF(澳门新定位结果!M195&lt;=0,0,1)</f>
        <v>0</v>
      </c>
      <c r="N195" s="4">
        <f>IF(澳门新定位结果!N195&lt;=0,0,1)</f>
        <v>0</v>
      </c>
      <c r="O195" s="4">
        <f>IF(澳门新定位结果!O195&lt;=0,0,1)</f>
        <v>1</v>
      </c>
    </row>
    <row r="196" spans="1:15">
      <c r="A196" s="4" t="s">
        <v>411</v>
      </c>
      <c r="B196" s="4">
        <f>IF(澳门新定位结果!B196&lt;=0,0,1)</f>
        <v>0</v>
      </c>
      <c r="C196" s="4">
        <f>IF(澳门新定位结果!C196&lt;=0,0,1)</f>
        <v>0</v>
      </c>
      <c r="D196" s="4">
        <f>IF(澳门新定位结果!D196&lt;=0,0,1)</f>
        <v>0</v>
      </c>
      <c r="E196" s="4">
        <f>IF(澳门新定位结果!E196&lt;=0,0,1)</f>
        <v>0</v>
      </c>
      <c r="F196" s="4">
        <f>IF(澳门新定位结果!F196&lt;=0,0,1)</f>
        <v>0</v>
      </c>
      <c r="G196" s="4">
        <f>IF(澳门新定位结果!G196&lt;=0,0,1)</f>
        <v>0</v>
      </c>
      <c r="H196" s="4">
        <f>IF(澳门新定位结果!H196&lt;=0,0,1)</f>
        <v>1</v>
      </c>
      <c r="I196" s="4">
        <f>IF(澳门新定位结果!I196&lt;=0,0,1)</f>
        <v>0</v>
      </c>
      <c r="J196" s="4">
        <f>IF(澳门新定位结果!J196&lt;=0,0,1)</f>
        <v>1</v>
      </c>
      <c r="K196" s="4">
        <f>IF(澳门新定位结果!K196&lt;=0,0,1)</f>
        <v>0</v>
      </c>
      <c r="L196" s="4">
        <f>IF(澳门新定位结果!L196&lt;=0,0,1)</f>
        <v>1</v>
      </c>
      <c r="M196" s="4">
        <f>IF(澳门新定位结果!M196&lt;=0,0,1)</f>
        <v>0</v>
      </c>
      <c r="N196" s="4">
        <f>IF(澳门新定位结果!N196&lt;=0,0,1)</f>
        <v>0</v>
      </c>
      <c r="O196" s="4">
        <f>IF(澳门新定位结果!O196&lt;=0,0,1)</f>
        <v>0</v>
      </c>
    </row>
    <row r="197" spans="1:15">
      <c r="A197" s="4" t="s">
        <v>413</v>
      </c>
      <c r="B197" s="4">
        <f>IF(澳门新定位结果!B197&lt;=0,0,1)</f>
        <v>0</v>
      </c>
      <c r="C197" s="4">
        <f>IF(澳门新定位结果!C197&lt;=0,0,1)</f>
        <v>1</v>
      </c>
      <c r="D197" s="4">
        <f>IF(澳门新定位结果!D197&lt;=0,0,1)</f>
        <v>0</v>
      </c>
      <c r="E197" s="4">
        <f>IF(澳门新定位结果!E197&lt;=0,0,1)</f>
        <v>0</v>
      </c>
      <c r="F197" s="4">
        <f>IF(澳门新定位结果!F197&lt;=0,0,1)</f>
        <v>1</v>
      </c>
      <c r="G197" s="4">
        <f>IF(澳门新定位结果!G197&lt;=0,0,1)</f>
        <v>0</v>
      </c>
      <c r="H197" s="4">
        <f>IF(澳门新定位结果!H197&lt;=0,0,1)</f>
        <v>1</v>
      </c>
      <c r="I197" s="4">
        <f>IF(澳门新定位结果!I197&lt;=0,0,1)</f>
        <v>1</v>
      </c>
      <c r="J197" s="4">
        <f>IF(澳门新定位结果!J197&lt;=0,0,1)</f>
        <v>1</v>
      </c>
      <c r="K197" s="4">
        <f>IF(澳门新定位结果!K197&lt;=0,0,1)</f>
        <v>0</v>
      </c>
      <c r="L197" s="4">
        <f>IF(澳门新定位结果!L197&lt;=0,0,1)</f>
        <v>1</v>
      </c>
      <c r="M197" s="4">
        <f>IF(澳门新定位结果!M197&lt;=0,0,1)</f>
        <v>0</v>
      </c>
      <c r="N197" s="4">
        <f>IF(澳门新定位结果!N197&lt;=0,0,1)</f>
        <v>0</v>
      </c>
      <c r="O197" s="4">
        <f>IF(澳门新定位结果!O197&lt;=0,0,1)</f>
        <v>1</v>
      </c>
    </row>
    <row r="198" spans="1:15">
      <c r="A198" s="4" t="s">
        <v>415</v>
      </c>
      <c r="B198" s="4">
        <f>IF(澳门新定位结果!B198&lt;=0,0,1)</f>
        <v>1</v>
      </c>
      <c r="C198" s="4">
        <f>IF(澳门新定位结果!C198&lt;=0,0,1)</f>
        <v>1</v>
      </c>
      <c r="D198" s="4">
        <f>IF(澳门新定位结果!D198&lt;=0,0,1)</f>
        <v>1</v>
      </c>
      <c r="E198" s="4">
        <f>IF(澳门新定位结果!E198&lt;=0,0,1)</f>
        <v>1</v>
      </c>
      <c r="F198" s="4">
        <f>IF(澳门新定位结果!F198&lt;=0,0,1)</f>
        <v>1</v>
      </c>
      <c r="G198" s="4">
        <f>IF(澳门新定位结果!G198&lt;=0,0,1)</f>
        <v>0</v>
      </c>
      <c r="H198" s="4">
        <f>IF(澳门新定位结果!H198&lt;=0,0,1)</f>
        <v>0</v>
      </c>
      <c r="I198" s="4">
        <f>IF(澳门新定位结果!I198&lt;=0,0,1)</f>
        <v>0</v>
      </c>
      <c r="J198" s="4">
        <f>IF(澳门新定位结果!J198&lt;=0,0,1)</f>
        <v>1</v>
      </c>
      <c r="K198" s="4">
        <f>IF(澳门新定位结果!K198&lt;=0,0,1)</f>
        <v>1</v>
      </c>
      <c r="L198" s="4">
        <f>IF(澳门新定位结果!L198&lt;=0,0,1)</f>
        <v>0</v>
      </c>
      <c r="M198" s="4">
        <f>IF(澳门新定位结果!M198&lt;=0,0,1)</f>
        <v>1</v>
      </c>
      <c r="N198" s="4">
        <f>IF(澳门新定位结果!N198&lt;=0,0,1)</f>
        <v>0</v>
      </c>
      <c r="O198" s="4">
        <f>IF(澳门新定位结果!O198&lt;=0,0,1)</f>
        <v>1</v>
      </c>
    </row>
    <row r="199" spans="1:15">
      <c r="A199" s="4" t="s">
        <v>417</v>
      </c>
      <c r="B199" s="4">
        <f>IF(澳门新定位结果!B199&lt;=0,0,1)</f>
        <v>0</v>
      </c>
      <c r="C199" s="4">
        <f>IF(澳门新定位结果!C199&lt;=0,0,1)</f>
        <v>0</v>
      </c>
      <c r="D199" s="4">
        <f>IF(澳门新定位结果!D199&lt;=0,0,1)</f>
        <v>0</v>
      </c>
      <c r="E199" s="4">
        <f>IF(澳门新定位结果!E199&lt;=0,0,1)</f>
        <v>1</v>
      </c>
      <c r="F199" s="4">
        <f>IF(澳门新定位结果!F199&lt;=0,0,1)</f>
        <v>1</v>
      </c>
      <c r="G199" s="4">
        <f>IF(澳门新定位结果!G199&lt;=0,0,1)</f>
        <v>1</v>
      </c>
      <c r="H199" s="4">
        <f>IF(澳门新定位结果!H199&lt;=0,0,1)</f>
        <v>1</v>
      </c>
      <c r="I199" s="4">
        <f>IF(澳门新定位结果!I199&lt;=0,0,1)</f>
        <v>1</v>
      </c>
      <c r="J199" s="4">
        <f>IF(澳门新定位结果!J199&lt;=0,0,1)</f>
        <v>0</v>
      </c>
      <c r="K199" s="4">
        <f>IF(澳门新定位结果!K199&lt;=0,0,1)</f>
        <v>0</v>
      </c>
      <c r="L199" s="4">
        <f>IF(澳门新定位结果!L199&lt;=0,0,1)</f>
        <v>0</v>
      </c>
      <c r="M199" s="4">
        <f>IF(澳门新定位结果!M199&lt;=0,0,1)</f>
        <v>0</v>
      </c>
      <c r="N199" s="4">
        <f>IF(澳门新定位结果!N199&lt;=0,0,1)</f>
        <v>0</v>
      </c>
      <c r="O199" s="4">
        <f>IF(澳门新定位结果!O199&lt;=0,0,1)</f>
        <v>0</v>
      </c>
    </row>
    <row r="200" spans="1:15">
      <c r="A200" s="4" t="s">
        <v>419</v>
      </c>
      <c r="B200" s="4">
        <f>IF(澳门新定位结果!B200&lt;=0,0,1)</f>
        <v>0</v>
      </c>
      <c r="C200" s="4">
        <f>IF(澳门新定位结果!C200&lt;=0,0,1)</f>
        <v>1</v>
      </c>
      <c r="D200" s="4">
        <f>IF(澳门新定位结果!D200&lt;=0,0,1)</f>
        <v>1</v>
      </c>
      <c r="E200" s="4">
        <f>IF(澳门新定位结果!E200&lt;=0,0,1)</f>
        <v>0</v>
      </c>
      <c r="F200" s="4">
        <f>IF(澳门新定位结果!F200&lt;=0,0,1)</f>
        <v>1</v>
      </c>
      <c r="G200" s="4">
        <f>IF(澳门新定位结果!G200&lt;=0,0,1)</f>
        <v>0</v>
      </c>
      <c r="H200" s="4">
        <f>IF(澳门新定位结果!H200&lt;=0,0,1)</f>
        <v>0</v>
      </c>
      <c r="I200" s="4">
        <f>IF(澳门新定位结果!I200&lt;=0,0,1)</f>
        <v>1</v>
      </c>
      <c r="J200" s="4">
        <f>IF(澳门新定位结果!J200&lt;=0,0,1)</f>
        <v>0</v>
      </c>
      <c r="K200" s="4">
        <f>IF(澳门新定位结果!K200&lt;=0,0,1)</f>
        <v>1</v>
      </c>
      <c r="L200" s="4">
        <f>IF(澳门新定位结果!L200&lt;=0,0,1)</f>
        <v>0</v>
      </c>
      <c r="M200" s="4">
        <f>IF(澳门新定位结果!M200&lt;=0,0,1)</f>
        <v>1</v>
      </c>
      <c r="N200" s="4">
        <f>IF(澳门新定位结果!N200&lt;=0,0,1)</f>
        <v>0</v>
      </c>
      <c r="O200" s="4">
        <f>IF(澳门新定位结果!O200&lt;=0,0,1)</f>
        <v>1</v>
      </c>
    </row>
    <row r="201" spans="1:15">
      <c r="A201" s="4" t="s">
        <v>421</v>
      </c>
      <c r="B201" s="4">
        <f>IF(澳门新定位结果!B201&lt;=0,0,1)</f>
        <v>0</v>
      </c>
      <c r="C201" s="4">
        <f>IF(澳门新定位结果!C201&lt;=0,0,1)</f>
        <v>1</v>
      </c>
      <c r="D201" s="4">
        <f>IF(澳门新定位结果!D201&lt;=0,0,1)</f>
        <v>1</v>
      </c>
      <c r="E201" s="4">
        <f>IF(澳门新定位结果!E201&lt;=0,0,1)</f>
        <v>0</v>
      </c>
      <c r="F201" s="4">
        <f>IF(澳门新定位结果!F201&lt;=0,0,1)</f>
        <v>0</v>
      </c>
      <c r="G201" s="4">
        <f>IF(澳门新定位结果!G201&lt;=0,0,1)</f>
        <v>0</v>
      </c>
      <c r="H201" s="4">
        <f>IF(澳门新定位结果!H201&lt;=0,0,1)</f>
        <v>1</v>
      </c>
      <c r="I201" s="4">
        <f>IF(澳门新定位结果!I201&lt;=0,0,1)</f>
        <v>0</v>
      </c>
      <c r="J201" s="4">
        <f>IF(澳门新定位结果!J201&lt;=0,0,1)</f>
        <v>1</v>
      </c>
      <c r="K201" s="4">
        <f>IF(澳门新定位结果!K201&lt;=0,0,1)</f>
        <v>0</v>
      </c>
      <c r="L201" s="4">
        <f>IF(澳门新定位结果!L201&lt;=0,0,1)</f>
        <v>1</v>
      </c>
      <c r="M201" s="4">
        <f>IF(澳门新定位结果!M201&lt;=0,0,1)</f>
        <v>1</v>
      </c>
      <c r="N201" s="4">
        <f>IF(澳门新定位结果!N201&lt;=0,0,1)</f>
        <v>1</v>
      </c>
      <c r="O201" s="4">
        <f>IF(澳门新定位结果!O201&lt;=0,0,1)</f>
        <v>0</v>
      </c>
    </row>
    <row r="202" spans="1:15">
      <c r="A202" s="4" t="s">
        <v>423</v>
      </c>
      <c r="B202" s="4">
        <f>IF(澳门新定位结果!B202&lt;=0,0,1)</f>
        <v>0</v>
      </c>
      <c r="C202" s="4">
        <f>IF(澳门新定位结果!C202&lt;=0,0,1)</f>
        <v>0</v>
      </c>
      <c r="D202" s="4">
        <f>IF(澳门新定位结果!D202&lt;=0,0,1)</f>
        <v>0</v>
      </c>
      <c r="E202" s="4">
        <f>IF(澳门新定位结果!E202&lt;=0,0,1)</f>
        <v>0</v>
      </c>
      <c r="F202" s="4">
        <f>IF(澳门新定位结果!F202&lt;=0,0,1)</f>
        <v>1</v>
      </c>
      <c r="G202" s="4">
        <f>IF(澳门新定位结果!G202&lt;=0,0,1)</f>
        <v>0</v>
      </c>
      <c r="H202" s="4">
        <f>IF(澳门新定位结果!H202&lt;=0,0,1)</f>
        <v>0</v>
      </c>
      <c r="I202" s="4">
        <f>IF(澳门新定位结果!I202&lt;=0,0,1)</f>
        <v>0</v>
      </c>
      <c r="J202" s="4">
        <f>IF(澳门新定位结果!J202&lt;=0,0,1)</f>
        <v>0</v>
      </c>
      <c r="K202" s="4">
        <f>IF(澳门新定位结果!K202&lt;=0,0,1)</f>
        <v>0</v>
      </c>
      <c r="L202" s="4">
        <f>IF(澳门新定位结果!L202&lt;=0,0,1)</f>
        <v>0</v>
      </c>
      <c r="M202" s="4">
        <f>IF(澳门新定位结果!M202&lt;=0,0,1)</f>
        <v>0</v>
      </c>
      <c r="N202" s="4">
        <f>IF(澳门新定位结果!N202&lt;=0,0,1)</f>
        <v>0</v>
      </c>
      <c r="O202" s="4">
        <f>IF(澳门新定位结果!O202&lt;=0,0,1)</f>
        <v>1</v>
      </c>
    </row>
    <row r="203" spans="1:15">
      <c r="A203" s="4" t="s">
        <v>425</v>
      </c>
      <c r="B203" s="4">
        <f>IF(澳门新定位结果!B203&lt;=0,0,1)</f>
        <v>0</v>
      </c>
      <c r="C203" s="4">
        <f>IF(澳门新定位结果!C203&lt;=0,0,1)</f>
        <v>0</v>
      </c>
      <c r="D203" s="4">
        <f>IF(澳门新定位结果!D203&lt;=0,0,1)</f>
        <v>1</v>
      </c>
      <c r="E203" s="4">
        <f>IF(澳门新定位结果!E203&lt;=0,0,1)</f>
        <v>0</v>
      </c>
      <c r="F203" s="4">
        <f>IF(澳门新定位结果!F203&lt;=0,0,1)</f>
        <v>1</v>
      </c>
      <c r="G203" s="4">
        <f>IF(澳门新定位结果!G203&lt;=0,0,1)</f>
        <v>0</v>
      </c>
      <c r="H203" s="4">
        <f>IF(澳门新定位结果!H203&lt;=0,0,1)</f>
        <v>0</v>
      </c>
      <c r="I203" s="4">
        <f>IF(澳门新定位结果!I203&lt;=0,0,1)</f>
        <v>0</v>
      </c>
      <c r="J203" s="4">
        <f>IF(澳门新定位结果!J203&lt;=0,0,1)</f>
        <v>0</v>
      </c>
      <c r="K203" s="4">
        <f>IF(澳门新定位结果!K203&lt;=0,0,1)</f>
        <v>0</v>
      </c>
      <c r="L203" s="4">
        <f>IF(澳门新定位结果!L203&lt;=0,0,1)</f>
        <v>0</v>
      </c>
      <c r="M203" s="4">
        <f>IF(澳门新定位结果!M203&lt;=0,0,1)</f>
        <v>0</v>
      </c>
      <c r="N203" s="4">
        <f>IF(澳门新定位结果!N203&lt;=0,0,1)</f>
        <v>0</v>
      </c>
      <c r="O203" s="4">
        <f>IF(澳门新定位结果!O203&lt;=0,0,1)</f>
        <v>1</v>
      </c>
    </row>
    <row r="204" spans="1:15">
      <c r="A204" s="4" t="s">
        <v>427</v>
      </c>
      <c r="B204" s="4">
        <f>IF(澳门新定位结果!B204&lt;=0,0,1)</f>
        <v>1</v>
      </c>
      <c r="C204" s="4">
        <f>IF(澳门新定位结果!C204&lt;=0,0,1)</f>
        <v>0</v>
      </c>
      <c r="D204" s="4">
        <f>IF(澳门新定位结果!D204&lt;=0,0,1)</f>
        <v>0</v>
      </c>
      <c r="E204" s="4">
        <f>IF(澳门新定位结果!E204&lt;=0,0,1)</f>
        <v>0</v>
      </c>
      <c r="F204" s="4">
        <f>IF(澳门新定位结果!F204&lt;=0,0,1)</f>
        <v>0</v>
      </c>
      <c r="G204" s="4">
        <f>IF(澳门新定位结果!G204&lt;=0,0,1)</f>
        <v>0</v>
      </c>
      <c r="H204" s="4">
        <f>IF(澳门新定位结果!H204&lt;=0,0,1)</f>
        <v>1</v>
      </c>
      <c r="I204" s="4">
        <f>IF(澳门新定位结果!I204&lt;=0,0,1)</f>
        <v>1</v>
      </c>
      <c r="J204" s="4">
        <f>IF(澳门新定位结果!J204&lt;=0,0,1)</f>
        <v>0</v>
      </c>
      <c r="K204" s="4">
        <f>IF(澳门新定位结果!K204&lt;=0,0,1)</f>
        <v>1</v>
      </c>
      <c r="L204" s="4">
        <f>IF(澳门新定位结果!L204&lt;=0,0,1)</f>
        <v>1</v>
      </c>
      <c r="M204" s="4">
        <f>IF(澳门新定位结果!M204&lt;=0,0,1)</f>
        <v>0</v>
      </c>
      <c r="N204" s="4">
        <f>IF(澳门新定位结果!N204&lt;=0,0,1)</f>
        <v>1</v>
      </c>
      <c r="O204" s="4">
        <f>IF(澳门新定位结果!O204&lt;=0,0,1)</f>
        <v>1</v>
      </c>
    </row>
    <row r="205" spans="1:15">
      <c r="A205" s="4" t="s">
        <v>429</v>
      </c>
      <c r="B205" s="4">
        <f>IF(澳门新定位结果!B205&lt;=0,0,1)</f>
        <v>0</v>
      </c>
      <c r="C205" s="4">
        <f>IF(澳门新定位结果!C205&lt;=0,0,1)</f>
        <v>1</v>
      </c>
      <c r="D205" s="4">
        <f>IF(澳门新定位结果!D205&lt;=0,0,1)</f>
        <v>0</v>
      </c>
      <c r="E205" s="4">
        <f>IF(澳门新定位结果!E205&lt;=0,0,1)</f>
        <v>0</v>
      </c>
      <c r="F205" s="4">
        <f>IF(澳门新定位结果!F205&lt;=0,0,1)</f>
        <v>1</v>
      </c>
      <c r="G205" s="4">
        <f>IF(澳门新定位结果!G205&lt;=0,0,1)</f>
        <v>1</v>
      </c>
      <c r="H205" s="4">
        <f>IF(澳门新定位结果!H205&lt;=0,0,1)</f>
        <v>0</v>
      </c>
      <c r="I205" s="4">
        <f>IF(澳门新定位结果!I205&lt;=0,0,1)</f>
        <v>1</v>
      </c>
      <c r="J205" s="4">
        <f>IF(澳门新定位结果!J205&lt;=0,0,1)</f>
        <v>0</v>
      </c>
      <c r="K205" s="4">
        <f>IF(澳门新定位结果!K205&lt;=0,0,1)</f>
        <v>0</v>
      </c>
      <c r="L205" s="4">
        <f>IF(澳门新定位结果!L205&lt;=0,0,1)</f>
        <v>1</v>
      </c>
      <c r="M205" s="4">
        <f>IF(澳门新定位结果!M205&lt;=0,0,1)</f>
        <v>1</v>
      </c>
      <c r="N205" s="4">
        <f>IF(澳门新定位结果!N205&lt;=0,0,1)</f>
        <v>1</v>
      </c>
      <c r="O205" s="4">
        <f>IF(澳门新定位结果!O205&lt;=0,0,1)</f>
        <v>1</v>
      </c>
    </row>
    <row r="206" spans="1:15">
      <c r="A206" s="4" t="s">
        <v>431</v>
      </c>
      <c r="B206" s="4">
        <f>IF(澳门新定位结果!B206&lt;=0,0,1)</f>
        <v>0</v>
      </c>
      <c r="C206" s="4">
        <f>IF(澳门新定位结果!C206&lt;=0,0,1)</f>
        <v>1</v>
      </c>
      <c r="D206" s="4">
        <f>IF(澳门新定位结果!D206&lt;=0,0,1)</f>
        <v>0</v>
      </c>
      <c r="E206" s="4">
        <f>IF(澳门新定位结果!E206&lt;=0,0,1)</f>
        <v>1</v>
      </c>
      <c r="F206" s="4">
        <f>IF(澳门新定位结果!F206&lt;=0,0,1)</f>
        <v>0</v>
      </c>
      <c r="G206" s="4">
        <f>IF(澳门新定位结果!G206&lt;=0,0,1)</f>
        <v>1</v>
      </c>
      <c r="H206" s="4">
        <f>IF(澳门新定位结果!H206&lt;=0,0,1)</f>
        <v>1</v>
      </c>
      <c r="I206" s="4">
        <f>IF(澳门新定位结果!I206&lt;=0,0,1)</f>
        <v>0</v>
      </c>
      <c r="J206" s="4">
        <f>IF(澳门新定位结果!J206&lt;=0,0,1)</f>
        <v>1</v>
      </c>
      <c r="K206" s="4">
        <f>IF(澳门新定位结果!K206&lt;=0,0,1)</f>
        <v>0</v>
      </c>
      <c r="L206" s="4">
        <f>IF(澳门新定位结果!L206&lt;=0,0,1)</f>
        <v>0</v>
      </c>
      <c r="M206" s="4">
        <f>IF(澳门新定位结果!M206&lt;=0,0,1)</f>
        <v>1</v>
      </c>
      <c r="N206" s="4">
        <f>IF(澳门新定位结果!N206&lt;=0,0,1)</f>
        <v>1</v>
      </c>
      <c r="O206" s="4">
        <f>IF(澳门新定位结果!O206&lt;=0,0,1)</f>
        <v>0</v>
      </c>
    </row>
    <row r="207" spans="1:15">
      <c r="A207" s="4" t="s">
        <v>433</v>
      </c>
      <c r="B207" s="4">
        <f>IF(澳门新定位结果!B207&lt;=0,0,1)</f>
        <v>1</v>
      </c>
      <c r="C207" s="4">
        <f>IF(澳门新定位结果!C207&lt;=0,0,1)</f>
        <v>0</v>
      </c>
      <c r="D207" s="4">
        <f>IF(澳门新定位结果!D207&lt;=0,0,1)</f>
        <v>0</v>
      </c>
      <c r="E207" s="4">
        <f>IF(澳门新定位结果!E207&lt;=0,0,1)</f>
        <v>1</v>
      </c>
      <c r="F207" s="4">
        <f>IF(澳门新定位结果!F207&lt;=0,0,1)</f>
        <v>1</v>
      </c>
      <c r="G207" s="4">
        <f>IF(澳门新定位结果!G207&lt;=0,0,1)</f>
        <v>1</v>
      </c>
      <c r="H207" s="4">
        <f>IF(澳门新定位结果!H207&lt;=0,0,1)</f>
        <v>1</v>
      </c>
      <c r="I207" s="4">
        <f>IF(澳门新定位结果!I207&lt;=0,0,1)</f>
        <v>1</v>
      </c>
      <c r="J207" s="4">
        <f>IF(澳门新定位结果!J207&lt;=0,0,1)</f>
        <v>0</v>
      </c>
      <c r="K207" s="4">
        <f>IF(澳门新定位结果!K207&lt;=0,0,1)</f>
        <v>1</v>
      </c>
      <c r="L207" s="4">
        <f>IF(澳门新定位结果!L207&lt;=0,0,1)</f>
        <v>1</v>
      </c>
      <c r="M207" s="4">
        <f>IF(澳门新定位结果!M207&lt;=0,0,1)</f>
        <v>0</v>
      </c>
      <c r="N207" s="4">
        <f>IF(澳门新定位结果!N207&lt;=0,0,1)</f>
        <v>0</v>
      </c>
      <c r="O207" s="4">
        <f>IF(澳门新定位结果!O207&lt;=0,0,1)</f>
        <v>0</v>
      </c>
    </row>
    <row r="208" spans="1:15">
      <c r="A208" s="4" t="s">
        <v>435</v>
      </c>
      <c r="B208" s="4">
        <f>IF(澳门新定位结果!B208&lt;=0,0,1)</f>
        <v>0</v>
      </c>
      <c r="C208" s="4">
        <f>IF(澳门新定位结果!C208&lt;=0,0,1)</f>
        <v>0</v>
      </c>
      <c r="D208" s="4">
        <f>IF(澳门新定位结果!D208&lt;=0,0,1)</f>
        <v>0</v>
      </c>
      <c r="E208" s="4">
        <f>IF(澳门新定位结果!E208&lt;=0,0,1)</f>
        <v>0</v>
      </c>
      <c r="F208" s="4">
        <f>IF(澳门新定位结果!F208&lt;=0,0,1)</f>
        <v>1</v>
      </c>
      <c r="G208" s="4">
        <f>IF(澳门新定位结果!G208&lt;=0,0,1)</f>
        <v>0</v>
      </c>
      <c r="H208" s="4">
        <f>IF(澳门新定位结果!H208&lt;=0,0,1)</f>
        <v>0</v>
      </c>
      <c r="I208" s="4">
        <f>IF(澳门新定位结果!I208&lt;=0,0,1)</f>
        <v>0</v>
      </c>
      <c r="J208" s="4">
        <f>IF(澳门新定位结果!J208&lt;=0,0,1)</f>
        <v>0</v>
      </c>
      <c r="K208" s="4">
        <f>IF(澳门新定位结果!K208&lt;=0,0,1)</f>
        <v>0</v>
      </c>
      <c r="L208" s="4">
        <f>IF(澳门新定位结果!L208&lt;=0,0,1)</f>
        <v>0</v>
      </c>
      <c r="M208" s="4">
        <f>IF(澳门新定位结果!M208&lt;=0,0,1)</f>
        <v>0</v>
      </c>
      <c r="N208" s="4">
        <f>IF(澳门新定位结果!N208&lt;=0,0,1)</f>
        <v>0</v>
      </c>
      <c r="O208" s="4">
        <f>IF(澳门新定位结果!O208&lt;=0,0,1)</f>
        <v>0</v>
      </c>
    </row>
    <row r="209" spans="1:15">
      <c r="A209" s="4" t="s">
        <v>437</v>
      </c>
      <c r="B209" s="4">
        <f>IF(澳门新定位结果!B209&lt;=0,0,1)</f>
        <v>0</v>
      </c>
      <c r="C209" s="4">
        <f>IF(澳门新定位结果!C209&lt;=0,0,1)</f>
        <v>1</v>
      </c>
      <c r="D209" s="4">
        <f>IF(澳门新定位结果!D209&lt;=0,0,1)</f>
        <v>0</v>
      </c>
      <c r="E209" s="4">
        <f>IF(澳门新定位结果!E209&lt;=0,0,1)</f>
        <v>1</v>
      </c>
      <c r="F209" s="4">
        <f>IF(澳门新定位结果!F209&lt;=0,0,1)</f>
        <v>0</v>
      </c>
      <c r="G209" s="4">
        <f>IF(澳门新定位结果!G209&lt;=0,0,1)</f>
        <v>0</v>
      </c>
      <c r="H209" s="4">
        <f>IF(澳门新定位结果!H209&lt;=0,0,1)</f>
        <v>0</v>
      </c>
      <c r="I209" s="4">
        <f>IF(澳门新定位结果!I209&lt;=0,0,1)</f>
        <v>0</v>
      </c>
      <c r="J209" s="4">
        <f>IF(澳门新定位结果!J209&lt;=0,0,1)</f>
        <v>0</v>
      </c>
      <c r="K209" s="4">
        <f>IF(澳门新定位结果!K209&lt;=0,0,1)</f>
        <v>0</v>
      </c>
      <c r="L209" s="4">
        <f>IF(澳门新定位结果!L209&lt;=0,0,1)</f>
        <v>1</v>
      </c>
      <c r="M209" s="4">
        <f>IF(澳门新定位结果!M209&lt;=0,0,1)</f>
        <v>1</v>
      </c>
      <c r="N209" s="4">
        <f>IF(澳门新定位结果!N209&lt;=0,0,1)</f>
        <v>0</v>
      </c>
      <c r="O209" s="4">
        <f>IF(澳门新定位结果!O209&lt;=0,0,1)</f>
        <v>0</v>
      </c>
    </row>
    <row r="210" spans="1:15">
      <c r="A210" s="4" t="s">
        <v>439</v>
      </c>
      <c r="B210" s="4">
        <f>IF(澳门新定位结果!B210&lt;=0,0,1)</f>
        <v>1</v>
      </c>
      <c r="C210" s="4">
        <f>IF(澳门新定位结果!C210&lt;=0,0,1)</f>
        <v>1</v>
      </c>
      <c r="D210" s="4">
        <f>IF(澳门新定位结果!D210&lt;=0,0,1)</f>
        <v>1</v>
      </c>
      <c r="E210" s="4">
        <f>IF(澳门新定位结果!E210&lt;=0,0,1)</f>
        <v>0</v>
      </c>
      <c r="F210" s="4">
        <f>IF(澳门新定位结果!F210&lt;=0,0,1)</f>
        <v>0</v>
      </c>
      <c r="G210" s="4">
        <f>IF(澳门新定位结果!G210&lt;=0,0,1)</f>
        <v>0</v>
      </c>
      <c r="H210" s="4">
        <f>IF(澳门新定位结果!H210&lt;=0,0,1)</f>
        <v>0</v>
      </c>
      <c r="I210" s="4">
        <f>IF(澳门新定位结果!I210&lt;=0,0,1)</f>
        <v>1</v>
      </c>
      <c r="J210" s="4">
        <f>IF(澳门新定位结果!J210&lt;=0,0,1)</f>
        <v>1</v>
      </c>
      <c r="K210" s="4">
        <f>IF(澳门新定位结果!K210&lt;=0,0,1)</f>
        <v>1</v>
      </c>
      <c r="L210" s="4">
        <f>IF(澳门新定位结果!L210&lt;=0,0,1)</f>
        <v>1</v>
      </c>
      <c r="M210" s="4">
        <f>IF(澳门新定位结果!M210&lt;=0,0,1)</f>
        <v>0</v>
      </c>
      <c r="N210" s="4">
        <f>IF(澳门新定位结果!N210&lt;=0,0,1)</f>
        <v>1</v>
      </c>
      <c r="O210" s="4">
        <f>IF(澳门新定位结果!O210&lt;=0,0,1)</f>
        <v>1</v>
      </c>
    </row>
    <row r="211" spans="1:15">
      <c r="A211" s="4" t="s">
        <v>441</v>
      </c>
      <c r="B211" s="4">
        <f>IF(澳门新定位结果!B211&lt;=0,0,1)</f>
        <v>0</v>
      </c>
      <c r="C211" s="4">
        <f>IF(澳门新定位结果!C211&lt;=0,0,1)</f>
        <v>1</v>
      </c>
      <c r="D211" s="4">
        <f>IF(澳门新定位结果!D211&lt;=0,0,1)</f>
        <v>0</v>
      </c>
      <c r="E211" s="4">
        <f>IF(澳门新定位结果!E211&lt;=0,0,1)</f>
        <v>0</v>
      </c>
      <c r="F211" s="4">
        <f>IF(澳门新定位结果!F211&lt;=0,0,1)</f>
        <v>0</v>
      </c>
      <c r="G211" s="4">
        <f>IF(澳门新定位结果!G211&lt;=0,0,1)</f>
        <v>0</v>
      </c>
      <c r="H211" s="4">
        <f>IF(澳门新定位结果!H211&lt;=0,0,1)</f>
        <v>1</v>
      </c>
      <c r="I211" s="4">
        <f>IF(澳门新定位结果!I211&lt;=0,0,1)</f>
        <v>1</v>
      </c>
      <c r="J211" s="4">
        <f>IF(澳门新定位结果!J211&lt;=0,0,1)</f>
        <v>1</v>
      </c>
      <c r="K211" s="4">
        <f>IF(澳门新定位结果!K211&lt;=0,0,1)</f>
        <v>1</v>
      </c>
      <c r="L211" s="4">
        <f>IF(澳门新定位结果!L211&lt;=0,0,1)</f>
        <v>1</v>
      </c>
      <c r="M211" s="4">
        <f>IF(澳门新定位结果!M211&lt;=0,0,1)</f>
        <v>1</v>
      </c>
      <c r="N211" s="4">
        <f>IF(澳门新定位结果!N211&lt;=0,0,1)</f>
        <v>0</v>
      </c>
      <c r="O211" s="4">
        <f>IF(澳门新定位结果!O211&lt;=0,0,1)</f>
        <v>0</v>
      </c>
    </row>
    <row r="212" spans="1:15">
      <c r="A212" s="4" t="s">
        <v>443</v>
      </c>
      <c r="B212" s="4">
        <f>IF(澳门新定位结果!B212&lt;=0,0,1)</f>
        <v>1</v>
      </c>
      <c r="C212" s="4">
        <f>IF(澳门新定位结果!C212&lt;=0,0,1)</f>
        <v>0</v>
      </c>
      <c r="D212" s="4">
        <f>IF(澳门新定位结果!D212&lt;=0,0,1)</f>
        <v>0</v>
      </c>
      <c r="E212" s="4">
        <f>IF(澳门新定位结果!E212&lt;=0,0,1)</f>
        <v>1</v>
      </c>
      <c r="F212" s="4">
        <f>IF(澳门新定位结果!F212&lt;=0,0,1)</f>
        <v>1</v>
      </c>
      <c r="G212" s="4">
        <f>IF(澳门新定位结果!G212&lt;=0,0,1)</f>
        <v>1</v>
      </c>
      <c r="H212" s="4">
        <f>IF(澳门新定位结果!H212&lt;=0,0,1)</f>
        <v>1</v>
      </c>
      <c r="I212" s="4">
        <f>IF(澳门新定位结果!I212&lt;=0,0,1)</f>
        <v>0</v>
      </c>
      <c r="J212" s="4">
        <f>IF(澳门新定位结果!J212&lt;=0,0,1)</f>
        <v>1</v>
      </c>
      <c r="K212" s="4">
        <f>IF(澳门新定位结果!K212&lt;=0,0,1)</f>
        <v>1</v>
      </c>
      <c r="L212" s="4">
        <f>IF(澳门新定位结果!L212&lt;=0,0,1)</f>
        <v>1</v>
      </c>
      <c r="M212" s="4">
        <f>IF(澳门新定位结果!M212&lt;=0,0,1)</f>
        <v>1</v>
      </c>
      <c r="N212" s="4">
        <f>IF(澳门新定位结果!N212&lt;=0,0,1)</f>
        <v>0</v>
      </c>
      <c r="O212" s="4">
        <f>IF(澳门新定位结果!O212&lt;=0,0,1)</f>
        <v>1</v>
      </c>
    </row>
    <row r="213" spans="1:15">
      <c r="A213" s="4" t="s">
        <v>445</v>
      </c>
      <c r="B213" s="4">
        <f>IF(澳门新定位结果!B213&lt;=0,0,1)</f>
        <v>1</v>
      </c>
      <c r="C213" s="4">
        <f>IF(澳门新定位结果!C213&lt;=0,0,1)</f>
        <v>1</v>
      </c>
      <c r="D213" s="4">
        <f>IF(澳门新定位结果!D213&lt;=0,0,1)</f>
        <v>1</v>
      </c>
      <c r="E213" s="4">
        <f>IF(澳门新定位结果!E213&lt;=0,0,1)</f>
        <v>1</v>
      </c>
      <c r="F213" s="4">
        <f>IF(澳门新定位结果!F213&lt;=0,0,1)</f>
        <v>1</v>
      </c>
      <c r="G213" s="4">
        <f>IF(澳门新定位结果!G213&lt;=0,0,1)</f>
        <v>0</v>
      </c>
      <c r="H213" s="4">
        <f>IF(澳门新定位结果!H213&lt;=0,0,1)</f>
        <v>1</v>
      </c>
      <c r="I213" s="4">
        <f>IF(澳门新定位结果!I213&lt;=0,0,1)</f>
        <v>1</v>
      </c>
      <c r="J213" s="4">
        <f>IF(澳门新定位结果!J213&lt;=0,0,1)</f>
        <v>1</v>
      </c>
      <c r="K213" s="4">
        <f>IF(澳门新定位结果!K213&lt;=0,0,1)</f>
        <v>1</v>
      </c>
      <c r="L213" s="4">
        <f>IF(澳门新定位结果!L213&lt;=0,0,1)</f>
        <v>0</v>
      </c>
      <c r="M213" s="4">
        <f>IF(澳门新定位结果!M213&lt;=0,0,1)</f>
        <v>0</v>
      </c>
      <c r="N213" s="4">
        <f>IF(澳门新定位结果!N213&lt;=0,0,1)</f>
        <v>0</v>
      </c>
      <c r="O213" s="4">
        <f>IF(澳门新定位结果!O213&lt;=0,0,1)</f>
        <v>0</v>
      </c>
    </row>
    <row r="214" spans="1:15">
      <c r="A214" s="4" t="s">
        <v>447</v>
      </c>
      <c r="B214" s="4">
        <f>IF(澳门新定位结果!B214&lt;=0,0,1)</f>
        <v>0</v>
      </c>
      <c r="C214" s="4">
        <f>IF(澳门新定位结果!C214&lt;=0,0,1)</f>
        <v>0</v>
      </c>
      <c r="D214" s="4">
        <f>IF(澳门新定位结果!D214&lt;=0,0,1)</f>
        <v>0</v>
      </c>
      <c r="E214" s="4">
        <f>IF(澳门新定位结果!E214&lt;=0,0,1)</f>
        <v>0</v>
      </c>
      <c r="F214" s="4">
        <f>IF(澳门新定位结果!F214&lt;=0,0,1)</f>
        <v>0</v>
      </c>
      <c r="G214" s="4">
        <f>IF(澳门新定位结果!G214&lt;=0,0,1)</f>
        <v>0</v>
      </c>
      <c r="H214" s="4">
        <f>IF(澳门新定位结果!H214&lt;=0,0,1)</f>
        <v>0</v>
      </c>
      <c r="I214" s="4">
        <f>IF(澳门新定位结果!I214&lt;=0,0,1)</f>
        <v>1</v>
      </c>
      <c r="J214" s="4">
        <f>IF(澳门新定位结果!J214&lt;=0,0,1)</f>
        <v>0</v>
      </c>
      <c r="K214" s="4">
        <f>IF(澳门新定位结果!K214&lt;=0,0,1)</f>
        <v>1</v>
      </c>
      <c r="L214" s="4">
        <f>IF(澳门新定位结果!L214&lt;=0,0,1)</f>
        <v>0</v>
      </c>
      <c r="M214" s="4">
        <f>IF(澳门新定位结果!M214&lt;=0,0,1)</f>
        <v>0</v>
      </c>
      <c r="N214" s="4">
        <f>IF(澳门新定位结果!N214&lt;=0,0,1)</f>
        <v>1</v>
      </c>
      <c r="O214" s="4">
        <f>IF(澳门新定位结果!O214&lt;=0,0,1)</f>
        <v>1</v>
      </c>
    </row>
    <row r="215" spans="1:15">
      <c r="A215" s="4" t="s">
        <v>449</v>
      </c>
      <c r="B215" s="4">
        <f>IF(澳门新定位结果!B215&lt;=0,0,1)</f>
        <v>0</v>
      </c>
      <c r="C215" s="4">
        <f>IF(澳门新定位结果!C215&lt;=0,0,1)</f>
        <v>1</v>
      </c>
      <c r="D215" s="4">
        <f>IF(澳门新定位结果!D215&lt;=0,0,1)</f>
        <v>0</v>
      </c>
      <c r="E215" s="4">
        <f>IF(澳门新定位结果!E215&lt;=0,0,1)</f>
        <v>1</v>
      </c>
      <c r="F215" s="4">
        <f>IF(澳门新定位结果!F215&lt;=0,0,1)</f>
        <v>1</v>
      </c>
      <c r="G215" s="4">
        <f>IF(澳门新定位结果!G215&lt;=0,0,1)</f>
        <v>1</v>
      </c>
      <c r="H215" s="4">
        <f>IF(澳门新定位结果!H215&lt;=0,0,1)</f>
        <v>0</v>
      </c>
      <c r="I215" s="4">
        <f>IF(澳门新定位结果!I215&lt;=0,0,1)</f>
        <v>0</v>
      </c>
      <c r="J215" s="4">
        <f>IF(澳门新定位结果!J215&lt;=0,0,1)</f>
        <v>1</v>
      </c>
      <c r="K215" s="4">
        <f>IF(澳门新定位结果!K215&lt;=0,0,1)</f>
        <v>0</v>
      </c>
      <c r="L215" s="4">
        <f>IF(澳门新定位结果!L215&lt;=0,0,1)</f>
        <v>0</v>
      </c>
      <c r="M215" s="4">
        <f>IF(澳门新定位结果!M215&lt;=0,0,1)</f>
        <v>0</v>
      </c>
      <c r="N215" s="4">
        <f>IF(澳门新定位结果!N215&lt;=0,0,1)</f>
        <v>1</v>
      </c>
      <c r="O215" s="4">
        <f>IF(澳门新定位结果!O215&lt;=0,0,1)</f>
        <v>1</v>
      </c>
    </row>
    <row r="216" spans="1:15">
      <c r="A216" s="4" t="s">
        <v>451</v>
      </c>
      <c r="B216" s="4">
        <f>IF(澳门新定位结果!B216&lt;=0,0,1)</f>
        <v>0</v>
      </c>
      <c r="C216" s="4">
        <f>IF(澳门新定位结果!C216&lt;=0,0,1)</f>
        <v>1</v>
      </c>
      <c r="D216" s="4">
        <f>IF(澳门新定位结果!D216&lt;=0,0,1)</f>
        <v>0</v>
      </c>
      <c r="E216" s="4">
        <f>IF(澳门新定位结果!E216&lt;=0,0,1)</f>
        <v>1</v>
      </c>
      <c r="F216" s="4">
        <f>IF(澳门新定位结果!F216&lt;=0,0,1)</f>
        <v>0</v>
      </c>
      <c r="G216" s="4">
        <f>IF(澳门新定位结果!G216&lt;=0,0,1)</f>
        <v>0</v>
      </c>
      <c r="H216" s="4">
        <f>IF(澳门新定位结果!H216&lt;=0,0,1)</f>
        <v>0</v>
      </c>
      <c r="I216" s="4">
        <f>IF(澳门新定位结果!I216&lt;=0,0,1)</f>
        <v>0</v>
      </c>
      <c r="J216" s="4">
        <f>IF(澳门新定位结果!J216&lt;=0,0,1)</f>
        <v>1</v>
      </c>
      <c r="K216" s="4">
        <f>IF(澳门新定位结果!K216&lt;=0,0,1)</f>
        <v>1</v>
      </c>
      <c r="L216" s="4">
        <f>IF(澳门新定位结果!L216&lt;=0,0,1)</f>
        <v>1</v>
      </c>
      <c r="M216" s="4">
        <f>IF(澳门新定位结果!M216&lt;=0,0,1)</f>
        <v>0</v>
      </c>
      <c r="N216" s="4">
        <f>IF(澳门新定位结果!N216&lt;=0,0,1)</f>
        <v>0</v>
      </c>
      <c r="O216" s="4">
        <f>IF(澳门新定位结果!O216&lt;=0,0,1)</f>
        <v>0</v>
      </c>
    </row>
    <row r="217" spans="1:15">
      <c r="A217" s="4" t="s">
        <v>453</v>
      </c>
      <c r="B217" s="4">
        <f>IF(澳门新定位结果!B217&lt;=0,0,1)</f>
        <v>1</v>
      </c>
      <c r="C217" s="4">
        <f>IF(澳门新定位结果!C217&lt;=0,0,1)</f>
        <v>0</v>
      </c>
      <c r="D217" s="4">
        <f>IF(澳门新定位结果!D217&lt;=0,0,1)</f>
        <v>0</v>
      </c>
      <c r="E217" s="4">
        <f>IF(澳门新定位结果!E217&lt;=0,0,1)</f>
        <v>0</v>
      </c>
      <c r="F217" s="4">
        <f>IF(澳门新定位结果!F217&lt;=0,0,1)</f>
        <v>0</v>
      </c>
      <c r="G217" s="4">
        <f>IF(澳门新定位结果!G217&lt;=0,0,1)</f>
        <v>1</v>
      </c>
      <c r="H217" s="4">
        <f>IF(澳门新定位结果!H217&lt;=0,0,1)</f>
        <v>0</v>
      </c>
      <c r="I217" s="4">
        <f>IF(澳门新定位结果!I217&lt;=0,0,1)</f>
        <v>1</v>
      </c>
      <c r="J217" s="4">
        <f>IF(澳门新定位结果!J217&lt;=0,0,1)</f>
        <v>1</v>
      </c>
      <c r="K217" s="4">
        <f>IF(澳门新定位结果!K217&lt;=0,0,1)</f>
        <v>0</v>
      </c>
      <c r="L217" s="4">
        <f>IF(澳门新定位结果!L217&lt;=0,0,1)</f>
        <v>0</v>
      </c>
      <c r="M217" s="4">
        <f>IF(澳门新定位结果!M217&lt;=0,0,1)</f>
        <v>0</v>
      </c>
      <c r="N217" s="4">
        <f>IF(澳门新定位结果!N217&lt;=0,0,1)</f>
        <v>0</v>
      </c>
      <c r="O217" s="4">
        <f>IF(澳门新定位结果!O217&lt;=0,0,1)</f>
        <v>0</v>
      </c>
    </row>
    <row r="218" spans="1:15">
      <c r="A218" s="4" t="s">
        <v>455</v>
      </c>
      <c r="B218" s="4">
        <f>IF(澳门新定位结果!B218&lt;=0,0,1)</f>
        <v>0</v>
      </c>
      <c r="C218" s="4">
        <f>IF(澳门新定位结果!C218&lt;=0,0,1)</f>
        <v>1</v>
      </c>
      <c r="D218" s="4">
        <f>IF(澳门新定位结果!D218&lt;=0,0,1)</f>
        <v>1</v>
      </c>
      <c r="E218" s="4">
        <f>IF(澳门新定位结果!E218&lt;=0,0,1)</f>
        <v>0</v>
      </c>
      <c r="F218" s="4">
        <f>IF(澳门新定位结果!F218&lt;=0,0,1)</f>
        <v>1</v>
      </c>
      <c r="G218" s="4">
        <f>IF(澳门新定位结果!G218&lt;=0,0,1)</f>
        <v>0</v>
      </c>
      <c r="H218" s="4">
        <f>IF(澳门新定位结果!H218&lt;=0,0,1)</f>
        <v>0</v>
      </c>
      <c r="I218" s="4">
        <f>IF(澳门新定位结果!I218&lt;=0,0,1)</f>
        <v>1</v>
      </c>
      <c r="J218" s="4">
        <f>IF(澳门新定位结果!J218&lt;=0,0,1)</f>
        <v>0</v>
      </c>
      <c r="K218" s="4">
        <f>IF(澳门新定位结果!K218&lt;=0,0,1)</f>
        <v>0</v>
      </c>
      <c r="L218" s="4">
        <f>IF(澳门新定位结果!L218&lt;=0,0,1)</f>
        <v>0</v>
      </c>
      <c r="M218" s="4">
        <f>IF(澳门新定位结果!M218&lt;=0,0,1)</f>
        <v>1</v>
      </c>
      <c r="N218" s="4">
        <f>IF(澳门新定位结果!N218&lt;=0,0,1)</f>
        <v>0</v>
      </c>
      <c r="O218" s="4">
        <f>IF(澳门新定位结果!O218&lt;=0,0,1)</f>
        <v>1</v>
      </c>
    </row>
    <row r="219" spans="1:15">
      <c r="A219" s="4" t="s">
        <v>457</v>
      </c>
      <c r="B219" s="4">
        <f>IF(澳门新定位结果!B219&lt;=0,0,1)</f>
        <v>1</v>
      </c>
      <c r="C219" s="4">
        <f>IF(澳门新定位结果!C219&lt;=0,0,1)</f>
        <v>1</v>
      </c>
      <c r="D219" s="4">
        <f>IF(澳门新定位结果!D219&lt;=0,0,1)</f>
        <v>0</v>
      </c>
      <c r="E219" s="4">
        <f>IF(澳门新定位结果!E219&lt;=0,0,1)</f>
        <v>1</v>
      </c>
      <c r="F219" s="4">
        <f>IF(澳门新定位结果!F219&lt;=0,0,1)</f>
        <v>0</v>
      </c>
      <c r="G219" s="4">
        <f>IF(澳门新定位结果!G219&lt;=0,0,1)</f>
        <v>0</v>
      </c>
      <c r="H219" s="4">
        <f>IF(澳门新定位结果!H219&lt;=0,0,1)</f>
        <v>1</v>
      </c>
      <c r="I219" s="4">
        <f>IF(澳门新定位结果!I219&lt;=0,0,1)</f>
        <v>0</v>
      </c>
      <c r="J219" s="4">
        <f>IF(澳门新定位结果!J219&lt;=0,0,1)</f>
        <v>1</v>
      </c>
      <c r="K219" s="4">
        <f>IF(澳门新定位结果!K219&lt;=0,0,1)</f>
        <v>0</v>
      </c>
      <c r="L219" s="4">
        <f>IF(澳门新定位结果!L219&lt;=0,0,1)</f>
        <v>1</v>
      </c>
      <c r="M219" s="4">
        <f>IF(澳门新定位结果!M219&lt;=0,0,1)</f>
        <v>1</v>
      </c>
      <c r="N219" s="4">
        <f>IF(澳门新定位结果!N219&lt;=0,0,1)</f>
        <v>1</v>
      </c>
      <c r="O219" s="4">
        <f>IF(澳门新定位结果!O219&lt;=0,0,1)</f>
        <v>1</v>
      </c>
    </row>
    <row r="220" spans="1:15">
      <c r="A220" s="4" t="s">
        <v>459</v>
      </c>
      <c r="B220" s="4">
        <f>IF(澳门新定位结果!B220&lt;=0,0,1)</f>
        <v>1</v>
      </c>
      <c r="C220" s="4">
        <f>IF(澳门新定位结果!C220&lt;=0,0,1)</f>
        <v>0</v>
      </c>
      <c r="D220" s="4">
        <f>IF(澳门新定位结果!D220&lt;=0,0,1)</f>
        <v>0</v>
      </c>
      <c r="E220" s="4">
        <f>IF(澳门新定位结果!E220&lt;=0,0,1)</f>
        <v>0</v>
      </c>
      <c r="F220" s="4">
        <f>IF(澳门新定位结果!F220&lt;=0,0,1)</f>
        <v>1</v>
      </c>
      <c r="G220" s="4">
        <f>IF(澳门新定位结果!G220&lt;=0,0,1)</f>
        <v>1</v>
      </c>
      <c r="H220" s="4">
        <f>IF(澳门新定位结果!H220&lt;=0,0,1)</f>
        <v>0</v>
      </c>
      <c r="I220" s="4">
        <f>IF(澳门新定位结果!I220&lt;=0,0,1)</f>
        <v>1</v>
      </c>
      <c r="J220" s="4">
        <f>IF(澳门新定位结果!J220&lt;=0,0,1)</f>
        <v>0</v>
      </c>
      <c r="K220" s="4">
        <f>IF(澳门新定位结果!K220&lt;=0,0,1)</f>
        <v>0</v>
      </c>
      <c r="L220" s="4">
        <f>IF(澳门新定位结果!L220&lt;=0,0,1)</f>
        <v>1</v>
      </c>
      <c r="M220" s="4">
        <f>IF(澳门新定位结果!M220&lt;=0,0,1)</f>
        <v>1</v>
      </c>
      <c r="N220" s="4">
        <f>IF(澳门新定位结果!N220&lt;=0,0,1)</f>
        <v>1</v>
      </c>
      <c r="O220" s="4">
        <f>IF(澳门新定位结果!O220&lt;=0,0,1)</f>
        <v>1</v>
      </c>
    </row>
    <row r="221" spans="1:15">
      <c r="A221" s="4" t="s">
        <v>461</v>
      </c>
      <c r="B221" s="4">
        <f>IF(澳门新定位结果!B221&lt;=0,0,1)</f>
        <v>0</v>
      </c>
      <c r="C221" s="4">
        <f>IF(澳门新定位结果!C221&lt;=0,0,1)</f>
        <v>0</v>
      </c>
      <c r="D221" s="4">
        <f>IF(澳门新定位结果!D221&lt;=0,0,1)</f>
        <v>0</v>
      </c>
      <c r="E221" s="4">
        <f>IF(澳门新定位结果!E221&lt;=0,0,1)</f>
        <v>0</v>
      </c>
      <c r="F221" s="4">
        <f>IF(澳门新定位结果!F221&lt;=0,0,1)</f>
        <v>0</v>
      </c>
      <c r="G221" s="4">
        <f>IF(澳门新定位结果!G221&lt;=0,0,1)</f>
        <v>0</v>
      </c>
      <c r="H221" s="4">
        <f>IF(澳门新定位结果!H221&lt;=0,0,1)</f>
        <v>1</v>
      </c>
      <c r="I221" s="4">
        <f>IF(澳门新定位结果!I221&lt;=0,0,1)</f>
        <v>1</v>
      </c>
      <c r="J221" s="4">
        <f>IF(澳门新定位结果!J221&lt;=0,0,1)</f>
        <v>0</v>
      </c>
      <c r="K221" s="4">
        <f>IF(澳门新定位结果!K221&lt;=0,0,1)</f>
        <v>0</v>
      </c>
      <c r="L221" s="4">
        <f>IF(澳门新定位结果!L221&lt;=0,0,1)</f>
        <v>0</v>
      </c>
      <c r="M221" s="4">
        <f>IF(澳门新定位结果!M221&lt;=0,0,1)</f>
        <v>0</v>
      </c>
      <c r="N221" s="4">
        <f>IF(澳门新定位结果!N221&lt;=0,0,1)</f>
        <v>0</v>
      </c>
      <c r="O221" s="4">
        <f>IF(澳门新定位结果!O221&lt;=0,0,1)</f>
        <v>0</v>
      </c>
    </row>
    <row r="222" spans="1:15">
      <c r="A222" s="4" t="s">
        <v>463</v>
      </c>
      <c r="B222" s="4">
        <f>IF(澳门新定位结果!B222&lt;=0,0,1)</f>
        <v>1</v>
      </c>
      <c r="C222" s="4">
        <f>IF(澳门新定位结果!C222&lt;=0,0,1)</f>
        <v>1</v>
      </c>
      <c r="D222" s="4">
        <f>IF(澳门新定位结果!D222&lt;=0,0,1)</f>
        <v>0</v>
      </c>
      <c r="E222" s="4">
        <f>IF(澳门新定位结果!E222&lt;=0,0,1)</f>
        <v>1</v>
      </c>
      <c r="F222" s="4">
        <f>IF(澳门新定位结果!F222&lt;=0,0,1)</f>
        <v>1</v>
      </c>
      <c r="G222" s="4">
        <f>IF(澳门新定位结果!G222&lt;=0,0,1)</f>
        <v>0</v>
      </c>
      <c r="H222" s="4">
        <f>IF(澳门新定位结果!H222&lt;=0,0,1)</f>
        <v>0</v>
      </c>
      <c r="I222" s="4">
        <f>IF(澳门新定位结果!I222&lt;=0,0,1)</f>
        <v>1</v>
      </c>
      <c r="J222" s="4">
        <f>IF(澳门新定位结果!J222&lt;=0,0,1)</f>
        <v>1</v>
      </c>
      <c r="K222" s="4">
        <f>IF(澳门新定位结果!K222&lt;=0,0,1)</f>
        <v>1</v>
      </c>
      <c r="L222" s="4">
        <f>IF(澳门新定位结果!L222&lt;=0,0,1)</f>
        <v>1</v>
      </c>
      <c r="M222" s="4">
        <f>IF(澳门新定位结果!M222&lt;=0,0,1)</f>
        <v>0</v>
      </c>
      <c r="N222" s="4">
        <f>IF(澳门新定位结果!N222&lt;=0,0,1)</f>
        <v>1</v>
      </c>
      <c r="O222" s="4">
        <f>IF(澳门新定位结果!O222&lt;=0,0,1)</f>
        <v>1</v>
      </c>
    </row>
    <row r="223" spans="1:15">
      <c r="A223" s="4" t="s">
        <v>465</v>
      </c>
      <c r="B223" s="4">
        <f>IF(澳门新定位结果!B223&lt;=0,0,1)</f>
        <v>1</v>
      </c>
      <c r="C223" s="4">
        <f>IF(澳门新定位结果!C223&lt;=0,0,1)</f>
        <v>0</v>
      </c>
      <c r="D223" s="4">
        <f>IF(澳门新定位结果!D223&lt;=0,0,1)</f>
        <v>1</v>
      </c>
      <c r="E223" s="4">
        <f>IF(澳门新定位结果!E223&lt;=0,0,1)</f>
        <v>1</v>
      </c>
      <c r="F223" s="4">
        <f>IF(澳门新定位结果!F223&lt;=0,0,1)</f>
        <v>1</v>
      </c>
      <c r="G223" s="4">
        <f>IF(澳门新定位结果!G223&lt;=0,0,1)</f>
        <v>0</v>
      </c>
      <c r="H223" s="4">
        <f>IF(澳门新定位结果!H223&lt;=0,0,1)</f>
        <v>0</v>
      </c>
      <c r="I223" s="4">
        <f>IF(澳门新定位结果!I223&lt;=0,0,1)</f>
        <v>1</v>
      </c>
      <c r="J223" s="4">
        <f>IF(澳门新定位结果!J223&lt;=0,0,1)</f>
        <v>1</v>
      </c>
      <c r="K223" s="4">
        <f>IF(澳门新定位结果!K223&lt;=0,0,1)</f>
        <v>1</v>
      </c>
      <c r="L223" s="4">
        <f>IF(澳门新定位结果!L223&lt;=0,0,1)</f>
        <v>1</v>
      </c>
      <c r="M223" s="4">
        <f>IF(澳门新定位结果!M223&lt;=0,0,1)</f>
        <v>1</v>
      </c>
      <c r="N223" s="4">
        <f>IF(澳门新定位结果!N223&lt;=0,0,1)</f>
        <v>0</v>
      </c>
      <c r="O223" s="4">
        <f>IF(澳门新定位结果!O223&lt;=0,0,1)</f>
        <v>1</v>
      </c>
    </row>
    <row r="224" spans="1:15">
      <c r="A224" s="4" t="s">
        <v>467</v>
      </c>
      <c r="B224" s="4">
        <f>IF(澳门新定位结果!B224&lt;=0,0,1)</f>
        <v>0</v>
      </c>
      <c r="C224" s="4">
        <f>IF(澳门新定位结果!C224&lt;=0,0,1)</f>
        <v>1</v>
      </c>
      <c r="D224" s="4">
        <f>IF(澳门新定位结果!D224&lt;=0,0,1)</f>
        <v>0</v>
      </c>
      <c r="E224" s="4">
        <f>IF(澳门新定位结果!E224&lt;=0,0,1)</f>
        <v>0</v>
      </c>
      <c r="F224" s="4">
        <f>IF(澳门新定位结果!F224&lt;=0,0,1)</f>
        <v>1</v>
      </c>
      <c r="G224" s="4">
        <f>IF(澳门新定位结果!G224&lt;=0,0,1)</f>
        <v>1</v>
      </c>
      <c r="H224" s="4">
        <f>IF(澳门新定位结果!H224&lt;=0,0,1)</f>
        <v>1</v>
      </c>
      <c r="I224" s="4">
        <f>IF(澳门新定位结果!I224&lt;=0,0,1)</f>
        <v>0</v>
      </c>
      <c r="J224" s="4">
        <f>IF(澳门新定位结果!J224&lt;=0,0,1)</f>
        <v>0</v>
      </c>
      <c r="K224" s="4">
        <f>IF(澳门新定位结果!K224&lt;=0,0,1)</f>
        <v>1</v>
      </c>
      <c r="L224" s="4">
        <f>IF(澳门新定位结果!L224&lt;=0,0,1)</f>
        <v>0</v>
      </c>
      <c r="M224" s="4">
        <f>IF(澳门新定位结果!M224&lt;=0,0,1)</f>
        <v>0</v>
      </c>
      <c r="N224" s="4">
        <f>IF(澳门新定位结果!N224&lt;=0,0,1)</f>
        <v>1</v>
      </c>
      <c r="O224" s="4">
        <f>IF(澳门新定位结果!O224&lt;=0,0,1)</f>
        <v>0</v>
      </c>
    </row>
    <row r="225" spans="1:15">
      <c r="A225" s="4" t="s">
        <v>469</v>
      </c>
      <c r="B225" s="4">
        <f>IF(澳门新定位结果!B225&lt;=0,0,1)</f>
        <v>1</v>
      </c>
      <c r="C225" s="4">
        <f>IF(澳门新定位结果!C225&lt;=0,0,1)</f>
        <v>1</v>
      </c>
      <c r="D225" s="4">
        <f>IF(澳门新定位结果!D225&lt;=0,0,1)</f>
        <v>1</v>
      </c>
      <c r="E225" s="4">
        <f>IF(澳门新定位结果!E225&lt;=0,0,1)</f>
        <v>1</v>
      </c>
      <c r="F225" s="4">
        <f>IF(澳门新定位结果!F225&lt;=0,0,1)</f>
        <v>1</v>
      </c>
      <c r="G225" s="4">
        <f>IF(澳门新定位结果!G225&lt;=0,0,1)</f>
        <v>1</v>
      </c>
      <c r="H225" s="4">
        <f>IF(澳门新定位结果!H225&lt;=0,0,1)</f>
        <v>0</v>
      </c>
      <c r="I225" s="4">
        <f>IF(澳门新定位结果!I225&lt;=0,0,1)</f>
        <v>1</v>
      </c>
      <c r="J225" s="4">
        <f>IF(澳门新定位结果!J225&lt;=0,0,1)</f>
        <v>0</v>
      </c>
      <c r="K225" s="4">
        <f>IF(澳门新定位结果!K225&lt;=0,0,1)</f>
        <v>0</v>
      </c>
      <c r="L225" s="4">
        <f>IF(澳门新定位结果!L225&lt;=0,0,1)</f>
        <v>0</v>
      </c>
      <c r="M225" s="4">
        <f>IF(澳门新定位结果!M225&lt;=0,0,1)</f>
        <v>0</v>
      </c>
      <c r="N225" s="4">
        <f>IF(澳门新定位结果!N225&lt;=0,0,1)</f>
        <v>1</v>
      </c>
      <c r="O225" s="4">
        <f>IF(澳门新定位结果!O225&lt;=0,0,1)</f>
        <v>1</v>
      </c>
    </row>
    <row r="226" spans="1:15">
      <c r="A226" s="4" t="s">
        <v>471</v>
      </c>
      <c r="B226" s="4">
        <f>IF(澳门新定位结果!B226&lt;=0,0,1)</f>
        <v>0</v>
      </c>
      <c r="C226" s="4">
        <f>IF(澳门新定位结果!C226&lt;=0,0,1)</f>
        <v>0</v>
      </c>
      <c r="D226" s="4">
        <f>IF(澳门新定位结果!D226&lt;=0,0,1)</f>
        <v>1</v>
      </c>
      <c r="E226" s="4">
        <f>IF(澳门新定位结果!E226&lt;=0,0,1)</f>
        <v>0</v>
      </c>
      <c r="F226" s="4">
        <f>IF(澳门新定位结果!F226&lt;=0,0,1)</f>
        <v>0</v>
      </c>
      <c r="G226" s="4">
        <f>IF(澳门新定位结果!G226&lt;=0,0,1)</f>
        <v>0</v>
      </c>
      <c r="H226" s="4">
        <f>IF(澳门新定位结果!H226&lt;=0,0,1)</f>
        <v>1</v>
      </c>
      <c r="I226" s="4">
        <f>IF(澳门新定位结果!I226&lt;=0,0,1)</f>
        <v>0</v>
      </c>
      <c r="J226" s="4">
        <f>IF(澳门新定位结果!J226&lt;=0,0,1)</f>
        <v>1</v>
      </c>
      <c r="K226" s="4">
        <f>IF(澳门新定位结果!K226&lt;=0,0,1)</f>
        <v>1</v>
      </c>
      <c r="L226" s="4">
        <f>IF(澳门新定位结果!L226&lt;=0,0,1)</f>
        <v>1</v>
      </c>
      <c r="M226" s="4">
        <f>IF(澳门新定位结果!M226&lt;=0,0,1)</f>
        <v>1</v>
      </c>
      <c r="N226" s="4">
        <f>IF(澳门新定位结果!N226&lt;=0,0,1)</f>
        <v>1</v>
      </c>
      <c r="O226" s="4">
        <f>IF(澳门新定位结果!O226&lt;=0,0,1)</f>
        <v>0</v>
      </c>
    </row>
    <row r="227" spans="1:15">
      <c r="A227" s="4" t="s">
        <v>473</v>
      </c>
      <c r="B227" s="4">
        <f>IF(澳门新定位结果!B227&lt;=0,0,1)</f>
        <v>0</v>
      </c>
      <c r="C227" s="4">
        <f>IF(澳门新定位结果!C227&lt;=0,0,1)</f>
        <v>0</v>
      </c>
      <c r="D227" s="4">
        <f>IF(澳门新定位结果!D227&lt;=0,0,1)</f>
        <v>0</v>
      </c>
      <c r="E227" s="4">
        <f>IF(澳门新定位结果!E227&lt;=0,0,1)</f>
        <v>0</v>
      </c>
      <c r="F227" s="4">
        <f>IF(澳门新定位结果!F227&lt;=0,0,1)</f>
        <v>1</v>
      </c>
      <c r="G227" s="4">
        <f>IF(澳门新定位结果!G227&lt;=0,0,1)</f>
        <v>0</v>
      </c>
      <c r="H227" s="4">
        <f>IF(澳门新定位结果!H227&lt;=0,0,1)</f>
        <v>0</v>
      </c>
      <c r="I227" s="4">
        <f>IF(澳门新定位结果!I227&lt;=0,0,1)</f>
        <v>1</v>
      </c>
      <c r="J227" s="4">
        <f>IF(澳门新定位结果!J227&lt;=0,0,1)</f>
        <v>0</v>
      </c>
      <c r="K227" s="4">
        <f>IF(澳门新定位结果!K227&lt;=0,0,1)</f>
        <v>0</v>
      </c>
      <c r="L227" s="4">
        <f>IF(澳门新定位结果!L227&lt;=0,0,1)</f>
        <v>0</v>
      </c>
      <c r="M227" s="4">
        <f>IF(澳门新定位结果!M227&lt;=0,0,1)</f>
        <v>0</v>
      </c>
      <c r="N227" s="4">
        <f>IF(澳门新定位结果!N227&lt;=0,0,1)</f>
        <v>0</v>
      </c>
      <c r="O227" s="4">
        <f>IF(澳门新定位结果!O227&lt;=0,0,1)</f>
        <v>1</v>
      </c>
    </row>
    <row r="228" spans="1:15">
      <c r="A228" s="4" t="s">
        <v>475</v>
      </c>
      <c r="B228" s="4">
        <f>IF(澳门新定位结果!B228&lt;=0,0,1)</f>
        <v>0</v>
      </c>
      <c r="C228" s="4">
        <f>IF(澳门新定位结果!C228&lt;=0,0,1)</f>
        <v>0</v>
      </c>
      <c r="D228" s="4">
        <f>IF(澳门新定位结果!D228&lt;=0,0,1)</f>
        <v>0</v>
      </c>
      <c r="E228" s="4">
        <f>IF(澳门新定位结果!E228&lt;=0,0,1)</f>
        <v>1</v>
      </c>
      <c r="F228" s="4">
        <f>IF(澳门新定位结果!F228&lt;=0,0,1)</f>
        <v>1</v>
      </c>
      <c r="G228" s="4">
        <f>IF(澳门新定位结果!G228&lt;=0,0,1)</f>
        <v>0</v>
      </c>
      <c r="H228" s="4">
        <f>IF(澳门新定位结果!H228&lt;=0,0,1)</f>
        <v>0</v>
      </c>
      <c r="I228" s="4">
        <f>IF(澳门新定位结果!I228&lt;=0,0,1)</f>
        <v>0</v>
      </c>
      <c r="J228" s="4">
        <f>IF(澳门新定位结果!J228&lt;=0,0,1)</f>
        <v>0</v>
      </c>
      <c r="K228" s="4">
        <f>IF(澳门新定位结果!K228&lt;=0,0,1)</f>
        <v>0</v>
      </c>
      <c r="L228" s="4">
        <f>IF(澳门新定位结果!L228&lt;=0,0,1)</f>
        <v>0</v>
      </c>
      <c r="M228" s="4">
        <f>IF(澳门新定位结果!M228&lt;=0,0,1)</f>
        <v>0</v>
      </c>
      <c r="N228" s="4">
        <f>IF(澳门新定位结果!N228&lt;=0,0,1)</f>
        <v>0</v>
      </c>
      <c r="O228" s="4">
        <f>IF(澳门新定位结果!O228&lt;=0,0,1)</f>
        <v>0</v>
      </c>
    </row>
    <row r="229" spans="1:15">
      <c r="A229" s="4" t="s">
        <v>477</v>
      </c>
      <c r="B229" s="4">
        <f>IF(澳门新定位结果!B229&lt;=0,0,1)</f>
        <v>0</v>
      </c>
      <c r="C229" s="4">
        <f>IF(澳门新定位结果!C229&lt;=0,0,1)</f>
        <v>1</v>
      </c>
      <c r="D229" s="4">
        <f>IF(澳门新定位结果!D229&lt;=0,0,1)</f>
        <v>0</v>
      </c>
      <c r="E229" s="4">
        <f>IF(澳门新定位结果!E229&lt;=0,0,1)</f>
        <v>0</v>
      </c>
      <c r="F229" s="4">
        <f>IF(澳门新定位结果!F229&lt;=0,0,1)</f>
        <v>0</v>
      </c>
      <c r="G229" s="4">
        <f>IF(澳门新定位结果!G229&lt;=0,0,1)</f>
        <v>0</v>
      </c>
      <c r="H229" s="4">
        <f>IF(澳门新定位结果!H229&lt;=0,0,1)</f>
        <v>0</v>
      </c>
      <c r="I229" s="4">
        <f>IF(澳门新定位结果!I229&lt;=0,0,1)</f>
        <v>1</v>
      </c>
      <c r="J229" s="4">
        <f>IF(澳门新定位结果!J229&lt;=0,0,1)</f>
        <v>0</v>
      </c>
      <c r="K229" s="4">
        <f>IF(澳门新定位结果!K229&lt;=0,0,1)</f>
        <v>1</v>
      </c>
      <c r="L229" s="4">
        <f>IF(澳门新定位结果!L229&lt;=0,0,1)</f>
        <v>1</v>
      </c>
      <c r="M229" s="4">
        <f>IF(澳门新定位结果!M229&lt;=0,0,1)</f>
        <v>0</v>
      </c>
      <c r="N229" s="4">
        <f>IF(澳门新定位结果!N229&lt;=0,0,1)</f>
        <v>1</v>
      </c>
      <c r="O229" s="4">
        <f>IF(澳门新定位结果!O229&lt;=0,0,1)</f>
        <v>1</v>
      </c>
    </row>
    <row r="230" spans="1:15">
      <c r="A230" s="4" t="s">
        <v>479</v>
      </c>
      <c r="B230" s="4">
        <f>IF(澳门新定位结果!B230&lt;=0,0,1)</f>
        <v>1</v>
      </c>
      <c r="C230" s="4">
        <f>IF(澳门新定位结果!C230&lt;=0,0,1)</f>
        <v>1</v>
      </c>
      <c r="D230" s="4">
        <f>IF(澳门新定位结果!D230&lt;=0,0,1)</f>
        <v>0</v>
      </c>
      <c r="E230" s="4">
        <f>IF(澳门新定位结果!E230&lt;=0,0,1)</f>
        <v>0</v>
      </c>
      <c r="F230" s="4">
        <f>IF(澳门新定位结果!F230&lt;=0,0,1)</f>
        <v>0</v>
      </c>
      <c r="G230" s="4">
        <f>IF(澳门新定位结果!G230&lt;=0,0,1)</f>
        <v>1</v>
      </c>
      <c r="H230" s="4">
        <f>IF(澳门新定位结果!H230&lt;=0,0,1)</f>
        <v>0</v>
      </c>
      <c r="I230" s="4">
        <f>IF(澳门新定位结果!I230&lt;=0,0,1)</f>
        <v>1</v>
      </c>
      <c r="J230" s="4">
        <f>IF(澳门新定位结果!J230&lt;=0,0,1)</f>
        <v>0</v>
      </c>
      <c r="K230" s="4">
        <f>IF(澳门新定位结果!K230&lt;=0,0,1)</f>
        <v>1</v>
      </c>
      <c r="L230" s="4">
        <f>IF(澳门新定位结果!L230&lt;=0,0,1)</f>
        <v>1</v>
      </c>
      <c r="M230" s="4">
        <f>IF(澳门新定位结果!M230&lt;=0,0,1)</f>
        <v>0</v>
      </c>
      <c r="N230" s="4">
        <f>IF(澳门新定位结果!N230&lt;=0,0,1)</f>
        <v>1</v>
      </c>
      <c r="O230" s="4">
        <f>IF(澳门新定位结果!O230&lt;=0,0,1)</f>
        <v>0</v>
      </c>
    </row>
    <row r="231" spans="1:15">
      <c r="A231" s="4" t="s">
        <v>481</v>
      </c>
      <c r="B231" s="4">
        <f>IF(澳门新定位结果!B231&lt;=0,0,1)</f>
        <v>1</v>
      </c>
      <c r="C231" s="4">
        <f>IF(澳门新定位结果!C231&lt;=0,0,1)</f>
        <v>1</v>
      </c>
      <c r="D231" s="4">
        <f>IF(澳门新定位结果!D231&lt;=0,0,1)</f>
        <v>0</v>
      </c>
      <c r="E231" s="4">
        <f>IF(澳门新定位结果!E231&lt;=0,0,1)</f>
        <v>0</v>
      </c>
      <c r="F231" s="4">
        <f>IF(澳门新定位结果!F231&lt;=0,0,1)</f>
        <v>0</v>
      </c>
      <c r="G231" s="4">
        <f>IF(澳门新定位结果!G231&lt;=0,0,1)</f>
        <v>1</v>
      </c>
      <c r="H231" s="4">
        <f>IF(澳门新定位结果!H231&lt;=0,0,1)</f>
        <v>1</v>
      </c>
      <c r="I231" s="4">
        <f>IF(澳门新定位结果!I231&lt;=0,0,1)</f>
        <v>1</v>
      </c>
      <c r="J231" s="4">
        <f>IF(澳门新定位结果!J231&lt;=0,0,1)</f>
        <v>1</v>
      </c>
      <c r="K231" s="4">
        <f>IF(澳门新定位结果!K231&lt;=0,0,1)</f>
        <v>1</v>
      </c>
      <c r="L231" s="4">
        <f>IF(澳门新定位结果!L231&lt;=0,0,1)</f>
        <v>1</v>
      </c>
      <c r="M231" s="4">
        <f>IF(澳门新定位结果!M231&lt;=0,0,1)</f>
        <v>1</v>
      </c>
      <c r="N231" s="4">
        <f>IF(澳门新定位结果!N231&lt;=0,0,1)</f>
        <v>0</v>
      </c>
      <c r="O231" s="4">
        <f>IF(澳门新定位结果!O231&lt;=0,0,1)</f>
        <v>0</v>
      </c>
    </row>
    <row r="232" spans="1:15">
      <c r="A232" s="4" t="s">
        <v>483</v>
      </c>
      <c r="B232" s="4">
        <f>IF(澳门新定位结果!B232&lt;=0,0,1)</f>
        <v>0</v>
      </c>
      <c r="C232" s="4">
        <f>IF(澳门新定位结果!C232&lt;=0,0,1)</f>
        <v>1</v>
      </c>
      <c r="D232" s="4">
        <f>IF(澳门新定位结果!D232&lt;=0,0,1)</f>
        <v>0</v>
      </c>
      <c r="E232" s="4">
        <f>IF(澳门新定位结果!E232&lt;=0,0,1)</f>
        <v>1</v>
      </c>
      <c r="F232" s="4">
        <f>IF(澳门新定位结果!F232&lt;=0,0,1)</f>
        <v>0</v>
      </c>
      <c r="G232" s="4">
        <f>IF(澳门新定位结果!G232&lt;=0,0,1)</f>
        <v>0</v>
      </c>
      <c r="H232" s="4">
        <f>IF(澳门新定位结果!H232&lt;=0,0,1)</f>
        <v>0</v>
      </c>
      <c r="I232" s="4">
        <f>IF(澳门新定位结果!I232&lt;=0,0,1)</f>
        <v>1</v>
      </c>
      <c r="J232" s="4">
        <f>IF(澳门新定位结果!J232&lt;=0,0,1)</f>
        <v>1</v>
      </c>
      <c r="K232" s="4">
        <f>IF(澳门新定位结果!K232&lt;=0,0,1)</f>
        <v>1</v>
      </c>
      <c r="L232" s="4">
        <f>IF(澳门新定位结果!L232&lt;=0,0,1)</f>
        <v>1</v>
      </c>
      <c r="M232" s="4">
        <f>IF(澳门新定位结果!M232&lt;=0,0,1)</f>
        <v>0</v>
      </c>
      <c r="N232" s="4">
        <f>IF(澳门新定位结果!N232&lt;=0,0,1)</f>
        <v>0</v>
      </c>
      <c r="O232" s="4">
        <f>IF(澳门新定位结果!O232&lt;=0,0,1)</f>
        <v>0</v>
      </c>
    </row>
    <row r="233" spans="1:15">
      <c r="A233" s="4" t="s">
        <v>485</v>
      </c>
      <c r="B233" s="4">
        <f>IF(澳门新定位结果!B233&lt;=0,0,1)</f>
        <v>1</v>
      </c>
      <c r="C233" s="4">
        <f>IF(澳门新定位结果!C233&lt;=0,0,1)</f>
        <v>0</v>
      </c>
      <c r="D233" s="4">
        <f>IF(澳门新定位结果!D233&lt;=0,0,1)</f>
        <v>0</v>
      </c>
      <c r="E233" s="4">
        <f>IF(澳门新定位结果!E233&lt;=0,0,1)</f>
        <v>0</v>
      </c>
      <c r="F233" s="4">
        <f>IF(澳门新定位结果!F233&lt;=0,0,1)</f>
        <v>0</v>
      </c>
      <c r="G233" s="4">
        <f>IF(澳门新定位结果!G233&lt;=0,0,1)</f>
        <v>1</v>
      </c>
      <c r="H233" s="4">
        <f>IF(澳门新定位结果!H233&lt;=0,0,1)</f>
        <v>0</v>
      </c>
      <c r="I233" s="4">
        <f>IF(澳门新定位结果!I233&lt;=0,0,1)</f>
        <v>0</v>
      </c>
      <c r="J233" s="4">
        <f>IF(澳门新定位结果!J233&lt;=0,0,1)</f>
        <v>0</v>
      </c>
      <c r="K233" s="4">
        <f>IF(澳门新定位结果!K233&lt;=0,0,1)</f>
        <v>0</v>
      </c>
      <c r="L233" s="4">
        <f>IF(澳门新定位结果!L233&lt;=0,0,1)</f>
        <v>1</v>
      </c>
      <c r="M233" s="4">
        <f>IF(澳门新定位结果!M233&lt;=0,0,1)</f>
        <v>1</v>
      </c>
      <c r="N233" s="4">
        <f>IF(澳门新定位结果!N233&lt;=0,0,1)</f>
        <v>1</v>
      </c>
      <c r="O233" s="4">
        <f>IF(澳门新定位结果!O233&lt;=0,0,1)</f>
        <v>1</v>
      </c>
    </row>
    <row r="234" spans="1:15">
      <c r="A234" s="4" t="s">
        <v>487</v>
      </c>
      <c r="B234" s="4">
        <f>IF(澳门新定位结果!B234&lt;=0,0,1)</f>
        <v>0</v>
      </c>
      <c r="C234" s="4">
        <f>IF(澳门新定位结果!C234&lt;=0,0,1)</f>
        <v>0</v>
      </c>
      <c r="D234" s="4">
        <f>IF(澳门新定位结果!D234&lt;=0,0,1)</f>
        <v>1</v>
      </c>
      <c r="E234" s="4">
        <f>IF(澳门新定位结果!E234&lt;=0,0,1)</f>
        <v>0</v>
      </c>
      <c r="F234" s="4">
        <f>IF(澳门新定位结果!F234&lt;=0,0,1)</f>
        <v>0</v>
      </c>
      <c r="G234" s="4">
        <f>IF(澳门新定位结果!G234&lt;=0,0,1)</f>
        <v>0</v>
      </c>
      <c r="H234" s="4">
        <f>IF(澳门新定位结果!H234&lt;=0,0,1)</f>
        <v>1</v>
      </c>
      <c r="I234" s="4">
        <f>IF(澳门新定位结果!I234&lt;=0,0,1)</f>
        <v>1</v>
      </c>
      <c r="J234" s="4">
        <f>IF(澳门新定位结果!J234&lt;=0,0,1)</f>
        <v>0</v>
      </c>
      <c r="K234" s="4">
        <f>IF(澳门新定位结果!K234&lt;=0,0,1)</f>
        <v>0</v>
      </c>
      <c r="L234" s="4">
        <f>IF(澳门新定位结果!L234&lt;=0,0,1)</f>
        <v>1</v>
      </c>
      <c r="M234" s="4">
        <f>IF(澳门新定位结果!M234&lt;=0,0,1)</f>
        <v>0</v>
      </c>
      <c r="N234" s="4">
        <f>IF(澳门新定位结果!N234&lt;=0,0,1)</f>
        <v>1</v>
      </c>
      <c r="O234" s="4">
        <f>IF(澳门新定位结果!O234&lt;=0,0,1)</f>
        <v>0</v>
      </c>
    </row>
    <row r="235" spans="1:15">
      <c r="A235" s="4" t="s">
        <v>489</v>
      </c>
      <c r="B235" s="4">
        <f>IF(澳门新定位结果!B235&lt;=0,0,1)</f>
        <v>0</v>
      </c>
      <c r="C235" s="4">
        <f>IF(澳门新定位结果!C235&lt;=0,0,1)</f>
        <v>1</v>
      </c>
      <c r="D235" s="4">
        <f>IF(澳门新定位结果!D235&lt;=0,0,1)</f>
        <v>0</v>
      </c>
      <c r="E235" s="4">
        <f>IF(澳门新定位结果!E235&lt;=0,0,1)</f>
        <v>1</v>
      </c>
      <c r="F235" s="4">
        <f>IF(澳门新定位结果!F235&lt;=0,0,1)</f>
        <v>1</v>
      </c>
      <c r="G235" s="4">
        <f>IF(澳门新定位结果!G235&lt;=0,0,1)</f>
        <v>1</v>
      </c>
      <c r="H235" s="4">
        <f>IF(澳门新定位结果!H235&lt;=0,0,1)</f>
        <v>0</v>
      </c>
      <c r="I235" s="4">
        <f>IF(澳门新定位结果!I235&lt;=0,0,1)</f>
        <v>1</v>
      </c>
      <c r="J235" s="4">
        <f>IF(澳门新定位结果!J235&lt;=0,0,1)</f>
        <v>0</v>
      </c>
      <c r="K235" s="4">
        <f>IF(澳门新定位结果!K235&lt;=0,0,1)</f>
        <v>1</v>
      </c>
      <c r="L235" s="4">
        <f>IF(澳门新定位结果!L235&lt;=0,0,1)</f>
        <v>1</v>
      </c>
      <c r="M235" s="4">
        <f>IF(澳门新定位结果!M235&lt;=0,0,1)</f>
        <v>0</v>
      </c>
      <c r="N235" s="4">
        <f>IF(澳门新定位结果!N235&lt;=0,0,1)</f>
        <v>0</v>
      </c>
      <c r="O235" s="4">
        <f>IF(澳门新定位结果!O235&lt;=0,0,1)</f>
        <v>0</v>
      </c>
    </row>
    <row r="236" spans="1:15">
      <c r="A236" s="4" t="s">
        <v>491</v>
      </c>
      <c r="B236" s="4">
        <f>IF(澳门新定位结果!B236&lt;=0,0,1)</f>
        <v>0</v>
      </c>
      <c r="C236" s="4">
        <f>IF(澳门新定位结果!C236&lt;=0,0,1)</f>
        <v>0</v>
      </c>
      <c r="D236" s="4">
        <f>IF(澳门新定位结果!D236&lt;=0,0,1)</f>
        <v>0</v>
      </c>
      <c r="E236" s="4">
        <f>IF(澳门新定位结果!E236&lt;=0,0,1)</f>
        <v>0</v>
      </c>
      <c r="F236" s="4">
        <f>IF(澳门新定位结果!F236&lt;=0,0,1)</f>
        <v>0</v>
      </c>
      <c r="G236" s="4">
        <f>IF(澳门新定位结果!G236&lt;=0,0,1)</f>
        <v>0</v>
      </c>
      <c r="H236" s="4">
        <f>IF(澳门新定位结果!H236&lt;=0,0,1)</f>
        <v>1</v>
      </c>
      <c r="I236" s="4">
        <f>IF(澳门新定位结果!I236&lt;=0,0,1)</f>
        <v>1</v>
      </c>
      <c r="J236" s="4">
        <f>IF(澳门新定位结果!J236&lt;=0,0,1)</f>
        <v>1</v>
      </c>
      <c r="K236" s="4">
        <f>IF(澳门新定位结果!K236&lt;=0,0,1)</f>
        <v>1</v>
      </c>
      <c r="L236" s="4">
        <f>IF(澳门新定位结果!L236&lt;=0,0,1)</f>
        <v>1</v>
      </c>
      <c r="M236" s="4">
        <f>IF(澳门新定位结果!M236&lt;=0,0,1)</f>
        <v>0</v>
      </c>
      <c r="N236" s="4">
        <f>IF(澳门新定位结果!N236&lt;=0,0,1)</f>
        <v>0</v>
      </c>
      <c r="O236" s="4">
        <f>IF(澳门新定位结果!O236&lt;=0,0,1)</f>
        <v>0</v>
      </c>
    </row>
    <row r="237" spans="1:15">
      <c r="A237" s="4" t="s">
        <v>493</v>
      </c>
      <c r="B237" s="4">
        <f>IF(澳门新定位结果!B237&lt;=0,0,1)</f>
        <v>1</v>
      </c>
      <c r="C237" s="4">
        <f>IF(澳门新定位结果!C237&lt;=0,0,1)</f>
        <v>1</v>
      </c>
      <c r="D237" s="4">
        <f>IF(澳门新定位结果!D237&lt;=0,0,1)</f>
        <v>0</v>
      </c>
      <c r="E237" s="4">
        <f>IF(澳门新定位结果!E237&lt;=0,0,1)</f>
        <v>1</v>
      </c>
      <c r="F237" s="4">
        <f>IF(澳门新定位结果!F237&lt;=0,0,1)</f>
        <v>1</v>
      </c>
      <c r="G237" s="4">
        <f>IF(澳门新定位结果!G237&lt;=0,0,1)</f>
        <v>1</v>
      </c>
      <c r="H237" s="4">
        <f>IF(澳门新定位结果!H237&lt;=0,0,1)</f>
        <v>0</v>
      </c>
      <c r="I237" s="4">
        <f>IF(澳门新定位结果!I237&lt;=0,0,1)</f>
        <v>1</v>
      </c>
      <c r="J237" s="4">
        <f>IF(澳门新定位结果!J237&lt;=0,0,1)</f>
        <v>0</v>
      </c>
      <c r="K237" s="4">
        <f>IF(澳门新定位结果!K237&lt;=0,0,1)</f>
        <v>1</v>
      </c>
      <c r="L237" s="4">
        <f>IF(澳门新定位结果!L237&lt;=0,0,1)</f>
        <v>1</v>
      </c>
      <c r="M237" s="4">
        <f>IF(澳门新定位结果!M237&lt;=0,0,1)</f>
        <v>1</v>
      </c>
      <c r="N237" s="4">
        <f>IF(澳门新定位结果!N237&lt;=0,0,1)</f>
        <v>0</v>
      </c>
      <c r="O237" s="4">
        <f>IF(澳门新定位结果!O237&lt;=0,0,1)</f>
        <v>1</v>
      </c>
    </row>
    <row r="238" spans="1:15">
      <c r="A238" s="4" t="s">
        <v>495</v>
      </c>
      <c r="B238" s="4">
        <f>IF(澳门新定位结果!B238&lt;=0,0,1)</f>
        <v>0</v>
      </c>
      <c r="C238" s="4">
        <f>IF(澳门新定位结果!C238&lt;=0,0,1)</f>
        <v>0</v>
      </c>
      <c r="D238" s="4">
        <f>IF(澳门新定位结果!D238&lt;=0,0,1)</f>
        <v>1</v>
      </c>
      <c r="E238" s="4">
        <f>IF(澳门新定位结果!E238&lt;=0,0,1)</f>
        <v>1</v>
      </c>
      <c r="F238" s="4">
        <f>IF(澳门新定位结果!F238&lt;=0,0,1)</f>
        <v>1</v>
      </c>
      <c r="G238" s="4">
        <f>IF(澳门新定位结果!G238&lt;=0,0,1)</f>
        <v>0</v>
      </c>
      <c r="H238" s="4">
        <f>IF(澳门新定位结果!H238&lt;=0,0,1)</f>
        <v>0</v>
      </c>
      <c r="I238" s="4">
        <f>IF(澳门新定位结果!I238&lt;=0,0,1)</f>
        <v>1</v>
      </c>
      <c r="J238" s="4">
        <f>IF(澳门新定位结果!J238&lt;=0,0,1)</f>
        <v>1</v>
      </c>
      <c r="K238" s="4">
        <f>IF(澳门新定位结果!K238&lt;=0,0,1)</f>
        <v>1</v>
      </c>
      <c r="L238" s="4">
        <f>IF(澳门新定位结果!L238&lt;=0,0,1)</f>
        <v>0</v>
      </c>
      <c r="M238" s="4">
        <f>IF(澳门新定位结果!M238&lt;=0,0,1)</f>
        <v>0</v>
      </c>
      <c r="N238" s="4">
        <f>IF(澳门新定位结果!N238&lt;=0,0,1)</f>
        <v>1</v>
      </c>
      <c r="O238" s="4">
        <f>IF(澳门新定位结果!O238&lt;=0,0,1)</f>
        <v>0</v>
      </c>
    </row>
    <row r="239" spans="1:15">
      <c r="A239" s="4" t="s">
        <v>497</v>
      </c>
      <c r="B239" s="4">
        <f>IF(澳门新定位结果!B239&lt;=0,0,1)</f>
        <v>0</v>
      </c>
      <c r="C239" s="4">
        <f>IF(澳门新定位结果!C239&lt;=0,0,1)</f>
        <v>1</v>
      </c>
      <c r="D239" s="4">
        <f>IF(澳门新定位结果!D239&lt;=0,0,1)</f>
        <v>0</v>
      </c>
      <c r="E239" s="4">
        <f>IF(澳门新定位结果!E239&lt;=0,0,1)</f>
        <v>0</v>
      </c>
      <c r="F239" s="4">
        <f>IF(澳门新定位结果!F239&lt;=0,0,1)</f>
        <v>1</v>
      </c>
      <c r="G239" s="4">
        <f>IF(澳门新定位结果!G239&lt;=0,0,1)</f>
        <v>0</v>
      </c>
      <c r="H239" s="4">
        <f>IF(澳门新定位结果!H239&lt;=0,0,1)</f>
        <v>0</v>
      </c>
      <c r="I239" s="4">
        <f>IF(澳门新定位结果!I239&lt;=0,0,1)</f>
        <v>1</v>
      </c>
      <c r="J239" s="4">
        <f>IF(澳门新定位结果!J239&lt;=0,0,1)</f>
        <v>0</v>
      </c>
      <c r="K239" s="4">
        <f>IF(澳门新定位结果!K239&lt;=0,0,1)</f>
        <v>1</v>
      </c>
      <c r="L239" s="4">
        <f>IF(澳门新定位结果!L239&lt;=0,0,1)</f>
        <v>1</v>
      </c>
      <c r="M239" s="4">
        <f>IF(澳门新定位结果!M239&lt;=0,0,1)</f>
        <v>0</v>
      </c>
      <c r="N239" s="4">
        <f>IF(澳门新定位结果!N239&lt;=0,0,1)</f>
        <v>0</v>
      </c>
      <c r="O239" s="4">
        <f>IF(澳门新定位结果!O239&lt;=0,0,1)</f>
        <v>1</v>
      </c>
    </row>
    <row r="240" spans="1:15">
      <c r="A240" s="4" t="s">
        <v>499</v>
      </c>
      <c r="B240" s="4">
        <f>IF(澳门新定位结果!B240&lt;=0,0,1)</f>
        <v>1</v>
      </c>
      <c r="C240" s="4">
        <f>IF(澳门新定位结果!C240&lt;=0,0,1)</f>
        <v>0</v>
      </c>
      <c r="D240" s="4">
        <f>IF(澳门新定位结果!D240&lt;=0,0,1)</f>
        <v>0</v>
      </c>
      <c r="E240" s="4">
        <f>IF(澳门新定位结果!E240&lt;=0,0,1)</f>
        <v>1</v>
      </c>
      <c r="F240" s="4">
        <f>IF(澳门新定位结果!F240&lt;=0,0,1)</f>
        <v>1</v>
      </c>
      <c r="G240" s="4">
        <f>IF(澳门新定位结果!G240&lt;=0,0,1)</f>
        <v>1</v>
      </c>
      <c r="H240" s="4">
        <f>IF(澳门新定位结果!H240&lt;=0,0,1)</f>
        <v>0</v>
      </c>
      <c r="I240" s="4">
        <f>IF(澳门新定位结果!I240&lt;=0,0,1)</f>
        <v>1</v>
      </c>
      <c r="J240" s="4">
        <f>IF(澳门新定位结果!J240&lt;=0,0,1)</f>
        <v>1</v>
      </c>
      <c r="K240" s="4">
        <f>IF(澳门新定位结果!K240&lt;=0,0,1)</f>
        <v>0</v>
      </c>
      <c r="L240" s="4">
        <f>IF(澳门新定位结果!L240&lt;=0,0,1)</f>
        <v>0</v>
      </c>
      <c r="M240" s="4">
        <f>IF(澳门新定位结果!M240&lt;=0,0,1)</f>
        <v>1</v>
      </c>
      <c r="N240" s="4">
        <f>IF(澳门新定位结果!N240&lt;=0,0,1)</f>
        <v>1</v>
      </c>
      <c r="O240" s="4">
        <f>IF(澳门新定位结果!O240&lt;=0,0,1)</f>
        <v>1</v>
      </c>
    </row>
    <row r="241" spans="1:15">
      <c r="A241" s="4" t="s">
        <v>501</v>
      </c>
      <c r="B241" s="4">
        <f>IF(澳门新定位结果!B241&lt;=0,0,1)</f>
        <v>0</v>
      </c>
      <c r="C241" s="4">
        <f>IF(澳门新定位结果!C241&lt;=0,0,1)</f>
        <v>0</v>
      </c>
      <c r="D241" s="4">
        <f>IF(澳门新定位结果!D241&lt;=0,0,1)</f>
        <v>1</v>
      </c>
      <c r="E241" s="4">
        <f>IF(澳门新定位结果!E241&lt;=0,0,1)</f>
        <v>1</v>
      </c>
      <c r="F241" s="4">
        <f>IF(澳门新定位结果!F241&lt;=0,0,1)</f>
        <v>0</v>
      </c>
      <c r="G241" s="4">
        <f>IF(澳门新定位结果!G241&lt;=0,0,1)</f>
        <v>0</v>
      </c>
      <c r="H241" s="4">
        <f>IF(澳门新定位结果!H241&lt;=0,0,1)</f>
        <v>0</v>
      </c>
      <c r="I241" s="4">
        <f>IF(澳门新定位结果!I241&lt;=0,0,1)</f>
        <v>0</v>
      </c>
      <c r="J241" s="4">
        <f>IF(澳门新定位结果!J241&lt;=0,0,1)</f>
        <v>0</v>
      </c>
      <c r="K241" s="4">
        <f>IF(澳门新定位结果!K241&lt;=0,0,1)</f>
        <v>0</v>
      </c>
      <c r="L241" s="4">
        <f>IF(澳门新定位结果!L241&lt;=0,0,1)</f>
        <v>0</v>
      </c>
      <c r="M241" s="4">
        <f>IF(澳门新定位结果!M241&lt;=0,0,1)</f>
        <v>0</v>
      </c>
      <c r="N241" s="4">
        <f>IF(澳门新定位结果!N241&lt;=0,0,1)</f>
        <v>0</v>
      </c>
      <c r="O241" s="4">
        <f>IF(澳门新定位结果!O241&lt;=0,0,1)</f>
        <v>0</v>
      </c>
    </row>
    <row r="242" spans="1:15">
      <c r="A242" s="4" t="s">
        <v>503</v>
      </c>
      <c r="B242" s="4">
        <f>IF(澳门新定位结果!B242&lt;=0,0,1)</f>
        <v>0</v>
      </c>
      <c r="C242" s="4">
        <f>IF(澳门新定位结果!C242&lt;=0,0,1)</f>
        <v>1</v>
      </c>
      <c r="D242" s="4">
        <f>IF(澳门新定位结果!D242&lt;=0,0,1)</f>
        <v>0</v>
      </c>
      <c r="E242" s="4">
        <f>IF(澳门新定位结果!E242&lt;=0,0,1)</f>
        <v>0</v>
      </c>
      <c r="F242" s="4">
        <f>IF(澳门新定位结果!F242&lt;=0,0,1)</f>
        <v>0</v>
      </c>
      <c r="G242" s="4">
        <f>IF(澳门新定位结果!G242&lt;=0,0,1)</f>
        <v>0</v>
      </c>
      <c r="H242" s="4">
        <f>IF(澳门新定位结果!H242&lt;=0,0,1)</f>
        <v>0</v>
      </c>
      <c r="I242" s="4">
        <f>IF(澳门新定位结果!I242&lt;=0,0,1)</f>
        <v>1</v>
      </c>
      <c r="J242" s="4">
        <f>IF(澳门新定位结果!J242&lt;=0,0,1)</f>
        <v>0</v>
      </c>
      <c r="K242" s="4">
        <f>IF(澳门新定位结果!K242&lt;=0,0,1)</f>
        <v>0</v>
      </c>
      <c r="L242" s="4">
        <f>IF(澳门新定位结果!L242&lt;=0,0,1)</f>
        <v>1</v>
      </c>
      <c r="M242" s="4">
        <f>IF(澳门新定位结果!M242&lt;=0,0,1)</f>
        <v>0</v>
      </c>
      <c r="N242" s="4">
        <f>IF(澳门新定位结果!N242&lt;=0,0,1)</f>
        <v>0</v>
      </c>
      <c r="O242" s="4">
        <f>IF(澳门新定位结果!O242&lt;=0,0,1)</f>
        <v>0</v>
      </c>
    </row>
    <row r="243" spans="1:15">
      <c r="A243" s="4" t="s">
        <v>505</v>
      </c>
      <c r="B243" s="4">
        <f>IF(澳门新定位结果!B243&lt;=0,0,1)</f>
        <v>1</v>
      </c>
      <c r="C243" s="4">
        <f>IF(澳门新定位结果!C243&lt;=0,0,1)</f>
        <v>0</v>
      </c>
      <c r="D243" s="4">
        <f>IF(澳门新定位结果!D243&lt;=0,0,1)</f>
        <v>1</v>
      </c>
      <c r="E243" s="4">
        <f>IF(澳门新定位结果!E243&lt;=0,0,1)</f>
        <v>1</v>
      </c>
      <c r="F243" s="4">
        <f>IF(澳门新定位结果!F243&lt;=0,0,1)</f>
        <v>1</v>
      </c>
      <c r="G243" s="4">
        <f>IF(澳门新定位结果!G243&lt;=0,0,1)</f>
        <v>0</v>
      </c>
      <c r="H243" s="4">
        <f>IF(澳门新定位结果!H243&lt;=0,0,1)</f>
        <v>0</v>
      </c>
      <c r="I243" s="4">
        <f>IF(澳门新定位结果!I243&lt;=0,0,1)</f>
        <v>1</v>
      </c>
      <c r="J243" s="4">
        <f>IF(澳门新定位结果!J243&lt;=0,0,1)</f>
        <v>0</v>
      </c>
      <c r="K243" s="4">
        <f>IF(澳门新定位结果!K243&lt;=0,0,1)</f>
        <v>1</v>
      </c>
      <c r="L243" s="4">
        <f>IF(澳门新定位结果!L243&lt;=0,0,1)</f>
        <v>1</v>
      </c>
      <c r="M243" s="4">
        <f>IF(澳门新定位结果!M243&lt;=0,0,1)</f>
        <v>1</v>
      </c>
      <c r="N243" s="4">
        <f>IF(澳门新定位结果!N243&lt;=0,0,1)</f>
        <v>1</v>
      </c>
      <c r="O243" s="4">
        <f>IF(澳门新定位结果!O243&lt;=0,0,1)</f>
        <v>1</v>
      </c>
    </row>
    <row r="244" spans="1:15">
      <c r="A244" s="4" t="s">
        <v>507</v>
      </c>
      <c r="B244" s="4">
        <f>IF(澳门新定位结果!B244&lt;=0,0,1)</f>
        <v>1</v>
      </c>
      <c r="C244" s="4">
        <f>IF(澳门新定位结果!C244&lt;=0,0,1)</f>
        <v>0</v>
      </c>
      <c r="D244" s="4">
        <f>IF(澳门新定位结果!D244&lt;=0,0,1)</f>
        <v>1</v>
      </c>
      <c r="E244" s="4">
        <f>IF(澳门新定位结果!E244&lt;=0,0,1)</f>
        <v>1</v>
      </c>
      <c r="F244" s="4">
        <f>IF(澳门新定位结果!F244&lt;=0,0,1)</f>
        <v>0</v>
      </c>
      <c r="G244" s="4">
        <f>IF(澳门新定位结果!G244&lt;=0,0,1)</f>
        <v>0</v>
      </c>
      <c r="H244" s="4">
        <f>IF(澳门新定位结果!H244&lt;=0,0,1)</f>
        <v>0</v>
      </c>
      <c r="I244" s="4">
        <f>IF(澳门新定位结果!I244&lt;=0,0,1)</f>
        <v>1</v>
      </c>
      <c r="J244" s="4">
        <f>IF(澳门新定位结果!J244&lt;=0,0,1)</f>
        <v>0</v>
      </c>
      <c r="K244" s="4">
        <f>IF(澳门新定位结果!K244&lt;=0,0,1)</f>
        <v>1</v>
      </c>
      <c r="L244" s="4">
        <f>IF(澳门新定位结果!L244&lt;=0,0,1)</f>
        <v>1</v>
      </c>
      <c r="M244" s="4">
        <f>IF(澳门新定位结果!M244&lt;=0,0,1)</f>
        <v>1</v>
      </c>
      <c r="N244" s="4">
        <f>IF(澳门新定位结果!N244&lt;=0,0,1)</f>
        <v>0</v>
      </c>
      <c r="O244" s="4">
        <f>IF(澳门新定位结果!O244&lt;=0,0,1)</f>
        <v>1</v>
      </c>
    </row>
    <row r="245" spans="1:15">
      <c r="A245" s="4" t="s">
        <v>509</v>
      </c>
      <c r="B245" s="4">
        <f>IF(澳门新定位结果!B245&lt;=0,0,1)</f>
        <v>1</v>
      </c>
      <c r="C245" s="4">
        <f>IF(澳门新定位结果!C245&lt;=0,0,1)</f>
        <v>1</v>
      </c>
      <c r="D245" s="4">
        <f>IF(澳门新定位结果!D245&lt;=0,0,1)</f>
        <v>0</v>
      </c>
      <c r="E245" s="4">
        <f>IF(澳门新定位结果!E245&lt;=0,0,1)</f>
        <v>0</v>
      </c>
      <c r="F245" s="4">
        <f>IF(澳门新定位结果!F245&lt;=0,0,1)</f>
        <v>1</v>
      </c>
      <c r="G245" s="4">
        <f>IF(澳门新定位结果!G245&lt;=0,0,1)</f>
        <v>1</v>
      </c>
      <c r="H245" s="4">
        <f>IF(澳门新定位结果!H245&lt;=0,0,1)</f>
        <v>0</v>
      </c>
      <c r="I245" s="4">
        <f>IF(澳门新定位结果!I245&lt;=0,0,1)</f>
        <v>1</v>
      </c>
      <c r="J245" s="4">
        <f>IF(澳门新定位结果!J245&lt;=0,0,1)</f>
        <v>1</v>
      </c>
      <c r="K245" s="4">
        <f>IF(澳门新定位结果!K245&lt;=0,0,1)</f>
        <v>0</v>
      </c>
      <c r="L245" s="4">
        <f>IF(澳门新定位结果!L245&lt;=0,0,1)</f>
        <v>1</v>
      </c>
      <c r="M245" s="4">
        <f>IF(澳门新定位结果!M245&lt;=0,0,1)</f>
        <v>1</v>
      </c>
      <c r="N245" s="4">
        <f>IF(澳门新定位结果!N245&lt;=0,0,1)</f>
        <v>1</v>
      </c>
      <c r="O245" s="4">
        <f>IF(澳门新定位结果!O245&lt;=0,0,1)</f>
        <v>1</v>
      </c>
    </row>
    <row r="246" spans="1:15">
      <c r="A246" s="4" t="s">
        <v>511</v>
      </c>
      <c r="B246" s="4">
        <f>IF(澳门新定位结果!B246&lt;=0,0,1)</f>
        <v>1</v>
      </c>
      <c r="C246" s="4">
        <f>IF(澳门新定位结果!C246&lt;=0,0,1)</f>
        <v>1</v>
      </c>
      <c r="D246" s="4">
        <f>IF(澳门新定位结果!D246&lt;=0,0,1)</f>
        <v>1</v>
      </c>
      <c r="E246" s="4">
        <f>IF(澳门新定位结果!E246&lt;=0,0,1)</f>
        <v>1</v>
      </c>
      <c r="F246" s="4">
        <f>IF(澳门新定位结果!F246&lt;=0,0,1)</f>
        <v>0</v>
      </c>
      <c r="G246" s="4">
        <f>IF(澳门新定位结果!G246&lt;=0,0,1)</f>
        <v>1</v>
      </c>
      <c r="H246" s="4">
        <f>IF(澳门新定位结果!H246&lt;=0,0,1)</f>
        <v>1</v>
      </c>
      <c r="I246" s="4">
        <f>IF(澳门新定位结果!I246&lt;=0,0,1)</f>
        <v>0</v>
      </c>
      <c r="J246" s="4">
        <f>IF(澳门新定位结果!J246&lt;=0,0,1)</f>
        <v>1</v>
      </c>
      <c r="K246" s="4">
        <f>IF(澳门新定位结果!K246&lt;=0,0,1)</f>
        <v>0</v>
      </c>
      <c r="L246" s="4">
        <f>IF(澳门新定位结果!L246&lt;=0,0,1)</f>
        <v>1</v>
      </c>
      <c r="M246" s="4">
        <f>IF(澳门新定位结果!M246&lt;=0,0,1)</f>
        <v>1</v>
      </c>
      <c r="N246" s="4">
        <f>IF(澳门新定位结果!N246&lt;=0,0,1)</f>
        <v>1</v>
      </c>
      <c r="O246" s="4">
        <f>IF(澳门新定位结果!O246&lt;=0,0,1)</f>
        <v>1</v>
      </c>
    </row>
    <row r="247" spans="1:15">
      <c r="A247" s="4" t="s">
        <v>513</v>
      </c>
      <c r="B247" s="4">
        <f>IF(澳门新定位结果!B247&lt;=0,0,1)</f>
        <v>0</v>
      </c>
      <c r="C247" s="4">
        <f>IF(澳门新定位结果!C247&lt;=0,0,1)</f>
        <v>0</v>
      </c>
      <c r="D247" s="4">
        <f>IF(澳门新定位结果!D247&lt;=0,0,1)</f>
        <v>0</v>
      </c>
      <c r="E247" s="4">
        <f>IF(澳门新定位结果!E247&lt;=0,0,1)</f>
        <v>1</v>
      </c>
      <c r="F247" s="4">
        <f>IF(澳门新定位结果!F247&lt;=0,0,1)</f>
        <v>0</v>
      </c>
      <c r="G247" s="4">
        <f>IF(澳门新定位结果!G247&lt;=0,0,1)</f>
        <v>1</v>
      </c>
      <c r="H247" s="4">
        <f>IF(澳门新定位结果!H247&lt;=0,0,1)</f>
        <v>0</v>
      </c>
      <c r="I247" s="4">
        <f>IF(澳门新定位结果!I247&lt;=0,0,1)</f>
        <v>1</v>
      </c>
      <c r="J247" s="4">
        <f>IF(澳门新定位结果!J247&lt;=0,0,1)</f>
        <v>0</v>
      </c>
      <c r="K247" s="4">
        <f>IF(澳门新定位结果!K247&lt;=0,0,1)</f>
        <v>0</v>
      </c>
      <c r="L247" s="4">
        <f>IF(澳门新定位结果!L247&lt;=0,0,1)</f>
        <v>0</v>
      </c>
      <c r="M247" s="4">
        <f>IF(澳门新定位结果!M247&lt;=0,0,1)</f>
        <v>0</v>
      </c>
      <c r="N247" s="4">
        <f>IF(澳门新定位结果!N247&lt;=0,0,1)</f>
        <v>0</v>
      </c>
      <c r="O247" s="4">
        <f>IF(澳门新定位结果!O247&lt;=0,0,1)</f>
        <v>0</v>
      </c>
    </row>
    <row r="248" spans="1:15">
      <c r="A248" s="4" t="s">
        <v>515</v>
      </c>
      <c r="B248" s="4">
        <f>IF(澳门新定位结果!B248&lt;=0,0,1)</f>
        <v>0</v>
      </c>
      <c r="C248" s="4">
        <f>IF(澳门新定位结果!C248&lt;=0,0,1)</f>
        <v>1</v>
      </c>
      <c r="D248" s="4">
        <f>IF(澳门新定位结果!D248&lt;=0,0,1)</f>
        <v>1</v>
      </c>
      <c r="E248" s="4">
        <f>IF(澳门新定位结果!E248&lt;=0,0,1)</f>
        <v>0</v>
      </c>
      <c r="F248" s="4">
        <f>IF(澳门新定位结果!F248&lt;=0,0,1)</f>
        <v>1</v>
      </c>
      <c r="G248" s="4">
        <f>IF(澳门新定位结果!G248&lt;=0,0,1)</f>
        <v>0</v>
      </c>
      <c r="H248" s="4">
        <f>IF(澳门新定位结果!H248&lt;=0,0,1)</f>
        <v>0</v>
      </c>
      <c r="I248" s="4">
        <f>IF(澳门新定位结果!I248&lt;=0,0,1)</f>
        <v>1</v>
      </c>
      <c r="J248" s="4">
        <f>IF(澳门新定位结果!J248&lt;=0,0,1)</f>
        <v>1</v>
      </c>
      <c r="K248" s="4">
        <f>IF(澳门新定位结果!K248&lt;=0,0,1)</f>
        <v>0</v>
      </c>
      <c r="L248" s="4">
        <f>IF(澳门新定位结果!L248&lt;=0,0,1)</f>
        <v>0</v>
      </c>
      <c r="M248" s="4">
        <f>IF(澳门新定位结果!M248&lt;=0,0,1)</f>
        <v>1</v>
      </c>
      <c r="N248" s="4">
        <f>IF(澳门新定位结果!N248&lt;=0,0,1)</f>
        <v>0</v>
      </c>
      <c r="O248" s="4">
        <f>IF(澳门新定位结果!O248&lt;=0,0,1)</f>
        <v>0</v>
      </c>
    </row>
    <row r="249" spans="1:15">
      <c r="A249" s="4" t="s">
        <v>517</v>
      </c>
      <c r="B249" s="4">
        <f>IF(澳门新定位结果!B249&lt;=0,0,1)</f>
        <v>0</v>
      </c>
      <c r="C249" s="4">
        <f>IF(澳门新定位结果!C249&lt;=0,0,1)</f>
        <v>0</v>
      </c>
      <c r="D249" s="4">
        <f>IF(澳门新定位结果!D249&lt;=0,0,1)</f>
        <v>0</v>
      </c>
      <c r="E249" s="4">
        <f>IF(澳门新定位结果!E249&lt;=0,0,1)</f>
        <v>1</v>
      </c>
      <c r="F249" s="4">
        <f>IF(澳门新定位结果!F249&lt;=0,0,1)</f>
        <v>0</v>
      </c>
      <c r="G249" s="4">
        <f>IF(澳门新定位结果!G249&lt;=0,0,1)</f>
        <v>1</v>
      </c>
      <c r="H249" s="4">
        <f>IF(澳门新定位结果!H249&lt;=0,0,1)</f>
        <v>0</v>
      </c>
      <c r="I249" s="4">
        <f>IF(澳门新定位结果!I249&lt;=0,0,1)</f>
        <v>0</v>
      </c>
      <c r="J249" s="4">
        <f>IF(澳门新定位结果!J249&lt;=0,0,1)</f>
        <v>0</v>
      </c>
      <c r="K249" s="4">
        <f>IF(澳门新定位结果!K249&lt;=0,0,1)</f>
        <v>0</v>
      </c>
      <c r="L249" s="4">
        <f>IF(澳门新定位结果!L249&lt;=0,0,1)</f>
        <v>0</v>
      </c>
      <c r="M249" s="4">
        <f>IF(澳门新定位结果!M249&lt;=0,0,1)</f>
        <v>0</v>
      </c>
      <c r="N249" s="4">
        <f>IF(澳门新定位结果!N249&lt;=0,0,1)</f>
        <v>0</v>
      </c>
      <c r="O249" s="4">
        <f>IF(澳门新定位结果!O249&lt;=0,0,1)</f>
        <v>0</v>
      </c>
    </row>
    <row r="250" spans="1:15">
      <c r="A250" s="4" t="s">
        <v>519</v>
      </c>
      <c r="B250" s="4">
        <f>IF(澳门新定位结果!B250&lt;=0,0,1)</f>
        <v>0</v>
      </c>
      <c r="C250" s="4">
        <f>IF(澳门新定位结果!C250&lt;=0,0,1)</f>
        <v>1</v>
      </c>
      <c r="D250" s="4">
        <f>IF(澳门新定位结果!D250&lt;=0,0,1)</f>
        <v>1</v>
      </c>
      <c r="E250" s="4">
        <f>IF(澳门新定位结果!E250&lt;=0,0,1)</f>
        <v>0</v>
      </c>
      <c r="F250" s="4">
        <f>IF(澳门新定位结果!F250&lt;=0,0,1)</f>
        <v>0</v>
      </c>
      <c r="G250" s="4">
        <f>IF(澳门新定位结果!G250&lt;=0,0,1)</f>
        <v>0</v>
      </c>
      <c r="H250" s="4">
        <f>IF(澳门新定位结果!H250&lt;=0,0,1)</f>
        <v>0</v>
      </c>
      <c r="I250" s="4">
        <f>IF(澳门新定位结果!I250&lt;=0,0,1)</f>
        <v>0</v>
      </c>
      <c r="J250" s="4">
        <f>IF(澳门新定位结果!J250&lt;=0,0,1)</f>
        <v>0</v>
      </c>
      <c r="K250" s="4">
        <f>IF(澳门新定位结果!K250&lt;=0,0,1)</f>
        <v>1</v>
      </c>
      <c r="L250" s="4">
        <f>IF(澳门新定位结果!L250&lt;=0,0,1)</f>
        <v>1</v>
      </c>
      <c r="M250" s="4">
        <f>IF(澳门新定位结果!M250&lt;=0,0,1)</f>
        <v>0</v>
      </c>
      <c r="N250" s="4">
        <f>IF(澳门新定位结果!N250&lt;=0,0,1)</f>
        <v>0</v>
      </c>
      <c r="O250" s="4">
        <f>IF(澳门新定位结果!O250&lt;=0,0,1)</f>
        <v>1</v>
      </c>
    </row>
    <row r="251" spans="1:15">
      <c r="A251" s="4" t="s">
        <v>521</v>
      </c>
      <c r="B251" s="4">
        <f>IF(澳门新定位结果!B251&lt;=0,0,1)</f>
        <v>1</v>
      </c>
      <c r="C251" s="4">
        <f>IF(澳门新定位结果!C251&lt;=0,0,1)</f>
        <v>1</v>
      </c>
      <c r="D251" s="4">
        <f>IF(澳门新定位结果!D251&lt;=0,0,1)</f>
        <v>0</v>
      </c>
      <c r="E251" s="4">
        <f>IF(澳门新定位结果!E251&lt;=0,0,1)</f>
        <v>0</v>
      </c>
      <c r="F251" s="4">
        <f>IF(澳门新定位结果!F251&lt;=0,0,1)</f>
        <v>0</v>
      </c>
      <c r="G251" s="4">
        <f>IF(澳门新定位结果!G251&lt;=0,0,1)</f>
        <v>0</v>
      </c>
      <c r="H251" s="4">
        <f>IF(澳门新定位结果!H251&lt;=0,0,1)</f>
        <v>1</v>
      </c>
      <c r="I251" s="4">
        <f>IF(澳门新定位结果!I251&lt;=0,0,1)</f>
        <v>1</v>
      </c>
      <c r="J251" s="4">
        <f>IF(澳门新定位结果!J251&lt;=0,0,1)</f>
        <v>1</v>
      </c>
      <c r="K251" s="4">
        <f>IF(澳门新定位结果!K251&lt;=0,0,1)</f>
        <v>1</v>
      </c>
      <c r="L251" s="4">
        <f>IF(澳门新定位结果!L251&lt;=0,0,1)</f>
        <v>1</v>
      </c>
      <c r="M251" s="4">
        <f>IF(澳门新定位结果!M251&lt;=0,0,1)</f>
        <v>1</v>
      </c>
      <c r="N251" s="4">
        <f>IF(澳门新定位结果!N251&lt;=0,0,1)</f>
        <v>1</v>
      </c>
      <c r="O251" s="4">
        <f>IF(澳门新定位结果!O251&lt;=0,0,1)</f>
        <v>0</v>
      </c>
    </row>
    <row r="252" spans="1:15">
      <c r="A252" s="4" t="s">
        <v>523</v>
      </c>
      <c r="B252" s="4">
        <f>IF(澳门新定位结果!B252&lt;=0,0,1)</f>
        <v>0</v>
      </c>
      <c r="C252" s="4">
        <f>IF(澳门新定位结果!C252&lt;=0,0,1)</f>
        <v>0</v>
      </c>
      <c r="D252" s="4">
        <f>IF(澳门新定位结果!D252&lt;=0,0,1)</f>
        <v>0</v>
      </c>
      <c r="E252" s="4">
        <f>IF(澳门新定位结果!E252&lt;=0,0,1)</f>
        <v>1</v>
      </c>
      <c r="F252" s="4">
        <f>IF(澳门新定位结果!F252&lt;=0,0,1)</f>
        <v>1</v>
      </c>
      <c r="G252" s="4">
        <f>IF(澳门新定位结果!G252&lt;=0,0,1)</f>
        <v>0</v>
      </c>
      <c r="H252" s="4">
        <f>IF(澳门新定位结果!H252&lt;=0,0,1)</f>
        <v>0</v>
      </c>
      <c r="I252" s="4">
        <f>IF(澳门新定位结果!I252&lt;=0,0,1)</f>
        <v>0</v>
      </c>
      <c r="J252" s="4">
        <f>IF(澳门新定位结果!J252&lt;=0,0,1)</f>
        <v>1</v>
      </c>
      <c r="K252" s="4">
        <f>IF(澳门新定位结果!K252&lt;=0,0,1)</f>
        <v>0</v>
      </c>
      <c r="L252" s="4">
        <f>IF(澳门新定位结果!L252&lt;=0,0,1)</f>
        <v>1</v>
      </c>
      <c r="M252" s="4">
        <f>IF(澳门新定位结果!M252&lt;=0,0,1)</f>
        <v>0</v>
      </c>
      <c r="N252" s="4">
        <f>IF(澳门新定位结果!N252&lt;=0,0,1)</f>
        <v>0</v>
      </c>
      <c r="O252" s="4">
        <f>IF(澳门新定位结果!O252&lt;=0,0,1)</f>
        <v>1</v>
      </c>
    </row>
    <row r="253" spans="1:15">
      <c r="A253" s="4" t="s">
        <v>525</v>
      </c>
      <c r="B253" s="4">
        <f>IF(澳门新定位结果!B253&lt;=0,0,1)</f>
        <v>1</v>
      </c>
      <c r="C253" s="4">
        <f>IF(澳门新定位结果!C253&lt;=0,0,1)</f>
        <v>0</v>
      </c>
      <c r="D253" s="4">
        <f>IF(澳门新定位结果!D253&lt;=0,0,1)</f>
        <v>0</v>
      </c>
      <c r="E253" s="4">
        <f>IF(澳门新定位结果!E253&lt;=0,0,1)</f>
        <v>0</v>
      </c>
      <c r="F253" s="4">
        <f>IF(澳门新定位结果!F253&lt;=0,0,1)</f>
        <v>0</v>
      </c>
      <c r="G253" s="4">
        <f>IF(澳门新定位结果!G253&lt;=0,0,1)</f>
        <v>0</v>
      </c>
      <c r="H253" s="4">
        <f>IF(澳门新定位结果!H253&lt;=0,0,1)</f>
        <v>0</v>
      </c>
      <c r="I253" s="4">
        <f>IF(澳门新定位结果!I253&lt;=0,0,1)</f>
        <v>0</v>
      </c>
      <c r="J253" s="4">
        <f>IF(澳门新定位结果!J253&lt;=0,0,1)</f>
        <v>1</v>
      </c>
      <c r="K253" s="4">
        <f>IF(澳门新定位结果!K253&lt;=0,0,1)</f>
        <v>0</v>
      </c>
      <c r="L253" s="4">
        <f>IF(澳门新定位结果!L253&lt;=0,0,1)</f>
        <v>0</v>
      </c>
      <c r="M253" s="4">
        <f>IF(澳门新定位结果!M253&lt;=0,0,1)</f>
        <v>0</v>
      </c>
      <c r="N253" s="4">
        <f>IF(澳门新定位结果!N253&lt;=0,0,1)</f>
        <v>0</v>
      </c>
      <c r="O253" s="4">
        <f>IF(澳门新定位结果!O253&lt;=0,0,1)</f>
        <v>0</v>
      </c>
    </row>
    <row r="254" spans="1:15">
      <c r="A254" s="4" t="s">
        <v>527</v>
      </c>
      <c r="B254" s="4">
        <f>IF(澳门新定位结果!B254&lt;=0,0,1)</f>
        <v>0</v>
      </c>
      <c r="C254" s="4">
        <f>IF(澳门新定位结果!C254&lt;=0,0,1)</f>
        <v>0</v>
      </c>
      <c r="D254" s="4">
        <f>IF(澳门新定位结果!D254&lt;=0,0,1)</f>
        <v>1</v>
      </c>
      <c r="E254" s="4">
        <f>IF(澳门新定位结果!E254&lt;=0,0,1)</f>
        <v>1</v>
      </c>
      <c r="F254" s="4">
        <f>IF(澳门新定位结果!F254&lt;=0,0,1)</f>
        <v>0</v>
      </c>
      <c r="G254" s="4">
        <f>IF(澳门新定位结果!G254&lt;=0,0,1)</f>
        <v>0</v>
      </c>
      <c r="H254" s="4">
        <f>IF(澳门新定位结果!H254&lt;=0,0,1)</f>
        <v>0</v>
      </c>
      <c r="I254" s="4">
        <f>IF(澳门新定位结果!I254&lt;=0,0,1)</f>
        <v>1</v>
      </c>
      <c r="J254" s="4">
        <f>IF(澳门新定位结果!J254&lt;=0,0,1)</f>
        <v>0</v>
      </c>
      <c r="K254" s="4">
        <f>IF(澳门新定位结果!K254&lt;=0,0,1)</f>
        <v>0</v>
      </c>
      <c r="L254" s="4">
        <f>IF(澳门新定位结果!L254&lt;=0,0,1)</f>
        <v>0</v>
      </c>
      <c r="M254" s="4">
        <f>IF(澳门新定位结果!M254&lt;=0,0,1)</f>
        <v>1</v>
      </c>
      <c r="N254" s="4">
        <f>IF(澳门新定位结果!N254&lt;=0,0,1)</f>
        <v>0</v>
      </c>
      <c r="O254" s="4">
        <f>IF(澳门新定位结果!O254&lt;=0,0,1)</f>
        <v>1</v>
      </c>
    </row>
    <row r="255" spans="1:15">
      <c r="A255" s="4" t="s">
        <v>529</v>
      </c>
      <c r="B255" s="4">
        <f>IF(澳门新定位结果!B255&lt;=0,0,1)</f>
        <v>0</v>
      </c>
      <c r="C255" s="4">
        <f>IF(澳门新定位结果!C255&lt;=0,0,1)</f>
        <v>1</v>
      </c>
      <c r="D255" s="4">
        <f>IF(澳门新定位结果!D255&lt;=0,0,1)</f>
        <v>1</v>
      </c>
      <c r="E255" s="4">
        <f>IF(澳门新定位结果!E255&lt;=0,0,1)</f>
        <v>0</v>
      </c>
      <c r="F255" s="4">
        <f>IF(澳门新定位结果!F255&lt;=0,0,1)</f>
        <v>1</v>
      </c>
      <c r="G255" s="4">
        <f>IF(澳门新定位结果!G255&lt;=0,0,1)</f>
        <v>0</v>
      </c>
      <c r="H255" s="4">
        <f>IF(澳门新定位结果!H255&lt;=0,0,1)</f>
        <v>0</v>
      </c>
      <c r="I255" s="4">
        <f>IF(澳门新定位结果!I255&lt;=0,0,1)</f>
        <v>0</v>
      </c>
      <c r="J255" s="4">
        <f>IF(澳门新定位结果!J255&lt;=0,0,1)</f>
        <v>0</v>
      </c>
      <c r="K255" s="4">
        <f>IF(澳门新定位结果!K255&lt;=0,0,1)</f>
        <v>0</v>
      </c>
      <c r="L255" s="4">
        <f>IF(澳门新定位结果!L255&lt;=0,0,1)</f>
        <v>0</v>
      </c>
      <c r="M255" s="4">
        <f>IF(澳门新定位结果!M255&lt;=0,0,1)</f>
        <v>1</v>
      </c>
      <c r="N255" s="4">
        <f>IF(澳门新定位结果!N255&lt;=0,0,1)</f>
        <v>1</v>
      </c>
      <c r="O255" s="4">
        <f>IF(澳门新定位结果!O255&lt;=0,0,1)</f>
        <v>1</v>
      </c>
    </row>
    <row r="256" spans="1:15">
      <c r="A256" s="4" t="s">
        <v>531</v>
      </c>
      <c r="B256" s="4">
        <f>IF(澳门新定位结果!B256&lt;=0,0,1)</f>
        <v>0</v>
      </c>
      <c r="C256" s="4">
        <f>IF(澳门新定位结果!C256&lt;=0,0,1)</f>
        <v>0</v>
      </c>
      <c r="D256" s="4">
        <f>IF(澳门新定位结果!D256&lt;=0,0,1)</f>
        <v>0</v>
      </c>
      <c r="E256" s="4">
        <f>IF(澳门新定位结果!E256&lt;=0,0,1)</f>
        <v>0</v>
      </c>
      <c r="F256" s="4">
        <f>IF(澳门新定位结果!F256&lt;=0,0,1)</f>
        <v>0</v>
      </c>
      <c r="G256" s="4">
        <f>IF(澳门新定位结果!G256&lt;=0,0,1)</f>
        <v>0</v>
      </c>
      <c r="H256" s="4">
        <f>IF(澳门新定位结果!H256&lt;=0,0,1)</f>
        <v>1</v>
      </c>
      <c r="I256" s="4">
        <f>IF(澳门新定位结果!I256&lt;=0,0,1)</f>
        <v>1</v>
      </c>
      <c r="J256" s="4">
        <f>IF(澳门新定位结果!J256&lt;=0,0,1)</f>
        <v>0</v>
      </c>
      <c r="K256" s="4">
        <f>IF(澳门新定位结果!K256&lt;=0,0,1)</f>
        <v>0</v>
      </c>
      <c r="L256" s="4">
        <f>IF(澳门新定位结果!L256&lt;=0,0,1)</f>
        <v>0</v>
      </c>
      <c r="M256" s="4">
        <f>IF(澳门新定位结果!M256&lt;=0,0,1)</f>
        <v>0</v>
      </c>
      <c r="N256" s="4">
        <f>IF(澳门新定位结果!N256&lt;=0,0,1)</f>
        <v>0</v>
      </c>
      <c r="O256" s="4">
        <f>IF(澳门新定位结果!O256&lt;=0,0,1)</f>
        <v>0</v>
      </c>
    </row>
    <row r="257" spans="1:15">
      <c r="A257" s="4" t="s">
        <v>533</v>
      </c>
      <c r="B257" s="4">
        <f>IF(澳门新定位结果!B257&lt;=0,0,1)</f>
        <v>0</v>
      </c>
      <c r="C257" s="4">
        <f>IF(澳门新定位结果!C257&lt;=0,0,1)</f>
        <v>0</v>
      </c>
      <c r="D257" s="4">
        <f>IF(澳门新定位结果!D257&lt;=0,0,1)</f>
        <v>0</v>
      </c>
      <c r="E257" s="4">
        <f>IF(澳门新定位结果!E257&lt;=0,0,1)</f>
        <v>1</v>
      </c>
      <c r="F257" s="4">
        <f>IF(澳门新定位结果!F257&lt;=0,0,1)</f>
        <v>1</v>
      </c>
      <c r="G257" s="4">
        <f>IF(澳门新定位结果!G257&lt;=0,0,1)</f>
        <v>1</v>
      </c>
      <c r="H257" s="4">
        <f>IF(澳门新定位结果!H257&lt;=0,0,1)</f>
        <v>0</v>
      </c>
      <c r="I257" s="4">
        <f>IF(澳门新定位结果!I257&lt;=0,0,1)</f>
        <v>0</v>
      </c>
      <c r="J257" s="4">
        <f>IF(澳门新定位结果!J257&lt;=0,0,1)</f>
        <v>1</v>
      </c>
      <c r="K257" s="4">
        <f>IF(澳门新定位结果!K257&lt;=0,0,1)</f>
        <v>0</v>
      </c>
      <c r="L257" s="4">
        <f>IF(澳门新定位结果!L257&lt;=0,0,1)</f>
        <v>0</v>
      </c>
      <c r="M257" s="4">
        <f>IF(澳门新定位结果!M257&lt;=0,0,1)</f>
        <v>0</v>
      </c>
      <c r="N257" s="4">
        <f>IF(澳门新定位结果!N257&lt;=0,0,1)</f>
        <v>0</v>
      </c>
      <c r="O257" s="4">
        <f>IF(澳门新定位结果!O257&lt;=0,0,1)</f>
        <v>0</v>
      </c>
    </row>
    <row r="258" spans="1:15">
      <c r="A258" s="4" t="s">
        <v>535</v>
      </c>
      <c r="B258" s="4">
        <f>IF(澳门新定位结果!B258&lt;=0,0,1)</f>
        <v>1</v>
      </c>
      <c r="C258" s="4">
        <f>IF(澳门新定位结果!C258&lt;=0,0,1)</f>
        <v>1</v>
      </c>
      <c r="D258" s="4">
        <f>IF(澳门新定位结果!D258&lt;=0,0,1)</f>
        <v>1</v>
      </c>
      <c r="E258" s="4">
        <f>IF(澳门新定位结果!E258&lt;=0,0,1)</f>
        <v>1</v>
      </c>
      <c r="F258" s="4">
        <f>IF(澳门新定位结果!F258&lt;=0,0,1)</f>
        <v>0</v>
      </c>
      <c r="G258" s="4">
        <f>IF(澳门新定位结果!G258&lt;=0,0,1)</f>
        <v>0</v>
      </c>
      <c r="H258" s="4">
        <f>IF(澳门新定位结果!H258&lt;=0,0,1)</f>
        <v>0</v>
      </c>
      <c r="I258" s="4">
        <f>IF(澳门新定位结果!I258&lt;=0,0,1)</f>
        <v>0</v>
      </c>
      <c r="J258" s="4">
        <f>IF(澳门新定位结果!J258&lt;=0,0,1)</f>
        <v>0</v>
      </c>
      <c r="K258" s="4">
        <f>IF(澳门新定位结果!K258&lt;=0,0,1)</f>
        <v>1</v>
      </c>
      <c r="L258" s="4">
        <f>IF(澳门新定位结果!L258&lt;=0,0,1)</f>
        <v>0</v>
      </c>
      <c r="M258" s="4">
        <f>IF(澳门新定位结果!M258&lt;=0,0,1)</f>
        <v>1</v>
      </c>
      <c r="N258" s="4">
        <f>IF(澳门新定位结果!N258&lt;=0,0,1)</f>
        <v>1</v>
      </c>
      <c r="O258" s="4">
        <f>IF(澳门新定位结果!O258&lt;=0,0,1)</f>
        <v>1</v>
      </c>
    </row>
    <row r="259" spans="1:15">
      <c r="A259" s="4" t="s">
        <v>537</v>
      </c>
      <c r="B259" s="4">
        <f>IF(澳门新定位结果!B259&lt;=0,0,1)</f>
        <v>1</v>
      </c>
      <c r="C259" s="4">
        <f>IF(澳门新定位结果!C259&lt;=0,0,1)</f>
        <v>1</v>
      </c>
      <c r="D259" s="4">
        <f>IF(澳门新定位结果!D259&lt;=0,0,1)</f>
        <v>1</v>
      </c>
      <c r="E259" s="4">
        <f>IF(澳门新定位结果!E259&lt;=0,0,1)</f>
        <v>0</v>
      </c>
      <c r="F259" s="4">
        <f>IF(澳门新定位结果!F259&lt;=0,0,1)</f>
        <v>0</v>
      </c>
      <c r="G259" s="4">
        <f>IF(澳门新定位结果!G259&lt;=0,0,1)</f>
        <v>1</v>
      </c>
      <c r="H259" s="4">
        <f>IF(澳门新定位结果!H259&lt;=0,0,1)</f>
        <v>1</v>
      </c>
      <c r="I259" s="4">
        <f>IF(澳门新定位结果!I259&lt;=0,0,1)</f>
        <v>0</v>
      </c>
      <c r="J259" s="4">
        <f>IF(澳门新定位结果!J259&lt;=0,0,1)</f>
        <v>0</v>
      </c>
      <c r="K259" s="4">
        <f>IF(澳门新定位结果!K259&lt;=0,0,1)</f>
        <v>1</v>
      </c>
      <c r="L259" s="4">
        <f>IF(澳门新定位结果!L259&lt;=0,0,1)</f>
        <v>1</v>
      </c>
      <c r="M259" s="4">
        <f>IF(澳门新定位结果!M259&lt;=0,0,1)</f>
        <v>0</v>
      </c>
      <c r="N259" s="4">
        <f>IF(澳门新定位结果!N259&lt;=0,0,1)</f>
        <v>0</v>
      </c>
      <c r="O259" s="4">
        <f>IF(澳门新定位结果!O259&lt;=0,0,1)</f>
        <v>0</v>
      </c>
    </row>
    <row r="260" spans="1:15">
      <c r="A260" s="4" t="s">
        <v>539</v>
      </c>
      <c r="B260" s="4">
        <f>IF(澳门新定位结果!B260&lt;=0,0,1)</f>
        <v>1</v>
      </c>
      <c r="C260" s="4">
        <f>IF(澳门新定位结果!C260&lt;=0,0,1)</f>
        <v>1</v>
      </c>
      <c r="D260" s="4">
        <f>IF(澳门新定位结果!D260&lt;=0,0,1)</f>
        <v>0</v>
      </c>
      <c r="E260" s="4">
        <f>IF(澳门新定位结果!E260&lt;=0,0,1)</f>
        <v>1</v>
      </c>
      <c r="F260" s="4">
        <f>IF(澳门新定位结果!F260&lt;=0,0,1)</f>
        <v>1</v>
      </c>
      <c r="G260" s="4">
        <f>IF(澳门新定位结果!G260&lt;=0,0,1)</f>
        <v>1</v>
      </c>
      <c r="H260" s="4">
        <f>IF(澳门新定位结果!H260&lt;=0,0,1)</f>
        <v>0</v>
      </c>
      <c r="I260" s="4">
        <f>IF(澳门新定位结果!I260&lt;=0,0,1)</f>
        <v>1</v>
      </c>
      <c r="J260" s="4">
        <f>IF(澳门新定位结果!J260&lt;=0,0,1)</f>
        <v>1</v>
      </c>
      <c r="K260" s="4">
        <f>IF(澳门新定位结果!K260&lt;=0,0,1)</f>
        <v>1</v>
      </c>
      <c r="L260" s="4">
        <f>IF(澳门新定位结果!L260&lt;=0,0,1)</f>
        <v>1</v>
      </c>
      <c r="M260" s="4">
        <f>IF(澳门新定位结果!M260&lt;=0,0,1)</f>
        <v>0</v>
      </c>
      <c r="N260" s="4">
        <f>IF(澳门新定位结果!N260&lt;=0,0,1)</f>
        <v>0</v>
      </c>
      <c r="O260" s="4">
        <f>IF(澳门新定位结果!O260&lt;=0,0,1)</f>
        <v>1</v>
      </c>
    </row>
    <row r="261" spans="1:15">
      <c r="A261" s="4" t="s">
        <v>541</v>
      </c>
      <c r="B261" s="4">
        <f>IF(澳门新定位结果!B261&lt;=0,0,1)</f>
        <v>0</v>
      </c>
      <c r="C261" s="4">
        <f>IF(澳门新定位结果!C261&lt;=0,0,1)</f>
        <v>0</v>
      </c>
      <c r="D261" s="4">
        <f>IF(澳门新定位结果!D261&lt;=0,0,1)</f>
        <v>1</v>
      </c>
      <c r="E261" s="4">
        <f>IF(澳门新定位结果!E261&lt;=0,0,1)</f>
        <v>1</v>
      </c>
      <c r="F261" s="4">
        <f>IF(澳门新定位结果!F261&lt;=0,0,1)</f>
        <v>0</v>
      </c>
      <c r="G261" s="4">
        <f>IF(澳门新定位结果!G261&lt;=0,0,1)</f>
        <v>0</v>
      </c>
      <c r="H261" s="4">
        <f>IF(澳门新定位结果!H261&lt;=0,0,1)</f>
        <v>1</v>
      </c>
      <c r="I261" s="4">
        <f>IF(澳门新定位结果!I261&lt;=0,0,1)</f>
        <v>0</v>
      </c>
      <c r="J261" s="4">
        <f>IF(澳门新定位结果!J261&lt;=0,0,1)</f>
        <v>0</v>
      </c>
      <c r="K261" s="4">
        <f>IF(澳门新定位结果!K261&lt;=0,0,1)</f>
        <v>1</v>
      </c>
      <c r="L261" s="4">
        <f>IF(澳门新定位结果!L261&lt;=0,0,1)</f>
        <v>0</v>
      </c>
      <c r="M261" s="4">
        <f>IF(澳门新定位结果!M261&lt;=0,0,1)</f>
        <v>0</v>
      </c>
      <c r="N261" s="4">
        <f>IF(澳门新定位结果!N261&lt;=0,0,1)</f>
        <v>1</v>
      </c>
      <c r="O261" s="4">
        <f>IF(澳门新定位结果!O261&lt;=0,0,1)</f>
        <v>0</v>
      </c>
    </row>
    <row r="262" spans="1:15">
      <c r="A262" s="4" t="s">
        <v>543</v>
      </c>
      <c r="B262" s="4">
        <f>IF(澳门新定位结果!B262&lt;=0,0,1)</f>
        <v>1</v>
      </c>
      <c r="C262" s="4">
        <f>IF(澳门新定位结果!C262&lt;=0,0,1)</f>
        <v>1</v>
      </c>
      <c r="D262" s="4">
        <f>IF(澳门新定位结果!D262&lt;=0,0,1)</f>
        <v>0</v>
      </c>
      <c r="E262" s="4">
        <f>IF(澳门新定位结果!E262&lt;=0,0,1)</f>
        <v>1</v>
      </c>
      <c r="F262" s="4">
        <f>IF(澳门新定位结果!F262&lt;=0,0,1)</f>
        <v>1</v>
      </c>
      <c r="G262" s="4">
        <f>IF(澳门新定位结果!G262&lt;=0,0,1)</f>
        <v>1</v>
      </c>
      <c r="H262" s="4">
        <f>IF(澳门新定位结果!H262&lt;=0,0,1)</f>
        <v>0</v>
      </c>
      <c r="I262" s="4">
        <f>IF(澳门新定位结果!I262&lt;=0,0,1)</f>
        <v>1</v>
      </c>
      <c r="J262" s="4">
        <f>IF(澳门新定位结果!J262&lt;=0,0,1)</f>
        <v>0</v>
      </c>
      <c r="K262" s="4">
        <f>IF(澳门新定位结果!K262&lt;=0,0,1)</f>
        <v>0</v>
      </c>
      <c r="L262" s="4">
        <f>IF(澳门新定位结果!L262&lt;=0,0,1)</f>
        <v>1</v>
      </c>
      <c r="M262" s="4">
        <f>IF(澳门新定位结果!M262&lt;=0,0,1)</f>
        <v>0</v>
      </c>
      <c r="N262" s="4">
        <f>IF(澳门新定位结果!N262&lt;=0,0,1)</f>
        <v>0</v>
      </c>
      <c r="O262" s="4">
        <f>IF(澳门新定位结果!O262&lt;=0,0,1)</f>
        <v>0</v>
      </c>
    </row>
    <row r="263" spans="1:15">
      <c r="A263" s="4" t="s">
        <v>545</v>
      </c>
      <c r="B263" s="4">
        <f>IF(澳门新定位结果!B263&lt;=0,0,1)</f>
        <v>1</v>
      </c>
      <c r="C263" s="4">
        <f>IF(澳门新定位结果!C263&lt;=0,0,1)</f>
        <v>1</v>
      </c>
      <c r="D263" s="4">
        <f>IF(澳门新定位结果!D263&lt;=0,0,1)</f>
        <v>0</v>
      </c>
      <c r="E263" s="4">
        <f>IF(澳门新定位结果!E263&lt;=0,0,1)</f>
        <v>0</v>
      </c>
      <c r="F263" s="4">
        <f>IF(澳门新定位结果!F263&lt;=0,0,1)</f>
        <v>0</v>
      </c>
      <c r="G263" s="4">
        <f>IF(澳门新定位结果!G263&lt;=0,0,1)</f>
        <v>0</v>
      </c>
      <c r="H263" s="4">
        <f>IF(澳门新定位结果!H263&lt;=0,0,1)</f>
        <v>1</v>
      </c>
      <c r="I263" s="4">
        <f>IF(澳门新定位结果!I263&lt;=0,0,1)</f>
        <v>0</v>
      </c>
      <c r="J263" s="4">
        <f>IF(澳门新定位结果!J263&lt;=0,0,1)</f>
        <v>0</v>
      </c>
      <c r="K263" s="4">
        <f>IF(澳门新定位结果!K263&lt;=0,0,1)</f>
        <v>0</v>
      </c>
      <c r="L263" s="4">
        <f>IF(澳门新定位结果!L263&lt;=0,0,1)</f>
        <v>0</v>
      </c>
      <c r="M263" s="4">
        <f>IF(澳门新定位结果!M263&lt;=0,0,1)</f>
        <v>1</v>
      </c>
      <c r="N263" s="4">
        <f>IF(澳门新定位结果!N263&lt;=0,0,1)</f>
        <v>1</v>
      </c>
      <c r="O263" s="4">
        <f>IF(澳门新定位结果!O263&lt;=0,0,1)</f>
        <v>0</v>
      </c>
    </row>
    <row r="264" spans="1:15">
      <c r="A264" s="4" t="s">
        <v>547</v>
      </c>
      <c r="B264" s="4">
        <f>IF(澳门新定位结果!B264&lt;=0,0,1)</f>
        <v>1</v>
      </c>
      <c r="C264" s="4">
        <f>IF(澳门新定位结果!C264&lt;=0,0,1)</f>
        <v>1</v>
      </c>
      <c r="D264" s="4">
        <f>IF(澳门新定位结果!D264&lt;=0,0,1)</f>
        <v>0</v>
      </c>
      <c r="E264" s="4">
        <f>IF(澳门新定位结果!E264&lt;=0,0,1)</f>
        <v>1</v>
      </c>
      <c r="F264" s="4">
        <f>IF(澳门新定位结果!F264&lt;=0,0,1)</f>
        <v>0</v>
      </c>
      <c r="G264" s="4">
        <f>IF(澳门新定位结果!G264&lt;=0,0,1)</f>
        <v>1</v>
      </c>
      <c r="H264" s="4">
        <f>IF(澳门新定位结果!H264&lt;=0,0,1)</f>
        <v>1</v>
      </c>
      <c r="I264" s="4">
        <f>IF(澳门新定位结果!I264&lt;=0,0,1)</f>
        <v>1</v>
      </c>
      <c r="J264" s="4">
        <f>IF(澳门新定位结果!J264&lt;=0,0,1)</f>
        <v>0</v>
      </c>
      <c r="K264" s="4">
        <f>IF(澳门新定位结果!K264&lt;=0,0,1)</f>
        <v>0</v>
      </c>
      <c r="L264" s="4">
        <f>IF(澳门新定位结果!L264&lt;=0,0,1)</f>
        <v>1</v>
      </c>
      <c r="M264" s="4">
        <f>IF(澳门新定位结果!M264&lt;=0,0,1)</f>
        <v>0</v>
      </c>
      <c r="N264" s="4">
        <f>IF(澳门新定位结果!N264&lt;=0,0,1)</f>
        <v>0</v>
      </c>
      <c r="O264" s="4">
        <f>IF(澳门新定位结果!O264&lt;=0,0,1)</f>
        <v>0</v>
      </c>
    </row>
    <row r="265" spans="1:15">
      <c r="A265" s="4" t="s">
        <v>549</v>
      </c>
      <c r="B265" s="4">
        <f>IF(澳门新定位结果!B265&lt;=0,0,1)</f>
        <v>0</v>
      </c>
      <c r="C265" s="4">
        <f>IF(澳门新定位结果!C265&lt;=0,0,1)</f>
        <v>0</v>
      </c>
      <c r="D265" s="4">
        <f>IF(澳门新定位结果!D265&lt;=0,0,1)</f>
        <v>0</v>
      </c>
      <c r="E265" s="4">
        <f>IF(澳门新定位结果!E265&lt;=0,0,1)</f>
        <v>0</v>
      </c>
      <c r="F265" s="4">
        <f>IF(澳门新定位结果!F265&lt;=0,0,1)</f>
        <v>0</v>
      </c>
      <c r="G265" s="4">
        <f>IF(澳门新定位结果!G265&lt;=0,0,1)</f>
        <v>0</v>
      </c>
      <c r="H265" s="4">
        <f>IF(澳门新定位结果!H265&lt;=0,0,1)</f>
        <v>0</v>
      </c>
      <c r="I265" s="4">
        <f>IF(澳门新定位结果!I265&lt;=0,0,1)</f>
        <v>0</v>
      </c>
      <c r="J265" s="4">
        <f>IF(澳门新定位结果!J265&lt;=0,0,1)</f>
        <v>0</v>
      </c>
      <c r="K265" s="4">
        <f>IF(澳门新定位结果!K265&lt;=0,0,1)</f>
        <v>1</v>
      </c>
      <c r="L265" s="4">
        <f>IF(澳门新定位结果!L265&lt;=0,0,1)</f>
        <v>0</v>
      </c>
      <c r="M265" s="4">
        <f>IF(澳门新定位结果!M265&lt;=0,0,1)</f>
        <v>1</v>
      </c>
      <c r="N265" s="4">
        <f>IF(澳门新定位结果!N265&lt;=0,0,1)</f>
        <v>1</v>
      </c>
      <c r="O265" s="4">
        <f>IF(澳门新定位结果!O265&lt;=0,0,1)</f>
        <v>1</v>
      </c>
    </row>
    <row r="266" spans="1:15">
      <c r="A266" s="4" t="s">
        <v>551</v>
      </c>
      <c r="B266" s="4">
        <f>IF(澳门新定位结果!B266&lt;=0,0,1)</f>
        <v>1</v>
      </c>
      <c r="C266" s="4">
        <f>IF(澳门新定位结果!C266&lt;=0,0,1)</f>
        <v>1</v>
      </c>
      <c r="D266" s="4">
        <f>IF(澳门新定位结果!D266&lt;=0,0,1)</f>
        <v>0</v>
      </c>
      <c r="E266" s="4">
        <f>IF(澳门新定位结果!E266&lt;=0,0,1)</f>
        <v>1</v>
      </c>
      <c r="F266" s="4">
        <f>IF(澳门新定位结果!F266&lt;=0,0,1)</f>
        <v>0</v>
      </c>
      <c r="G266" s="4">
        <f>IF(澳门新定位结果!G266&lt;=0,0,1)</f>
        <v>0</v>
      </c>
      <c r="H266" s="4">
        <f>IF(澳门新定位结果!H266&lt;=0,0,1)</f>
        <v>1</v>
      </c>
      <c r="I266" s="4">
        <f>IF(澳门新定位结果!I266&lt;=0,0,1)</f>
        <v>1</v>
      </c>
      <c r="J266" s="4">
        <f>IF(澳门新定位结果!J266&lt;=0,0,1)</f>
        <v>0</v>
      </c>
      <c r="K266" s="4">
        <f>IF(澳门新定位结果!K266&lt;=0,0,1)</f>
        <v>1</v>
      </c>
      <c r="L266" s="4">
        <f>IF(澳门新定位结果!L266&lt;=0,0,1)</f>
        <v>1</v>
      </c>
      <c r="M266" s="4">
        <f>IF(澳门新定位结果!M266&lt;=0,0,1)</f>
        <v>1</v>
      </c>
      <c r="N266" s="4">
        <f>IF(澳门新定位结果!N266&lt;=0,0,1)</f>
        <v>1</v>
      </c>
      <c r="O266" s="4">
        <f>IF(澳门新定位结果!O266&lt;=0,0,1)</f>
        <v>0</v>
      </c>
    </row>
    <row r="267" spans="1:15">
      <c r="A267" s="4" t="s">
        <v>553</v>
      </c>
      <c r="B267" s="4">
        <f>IF(澳门新定位结果!B267&lt;=0,0,1)</f>
        <v>0</v>
      </c>
      <c r="C267" s="4">
        <f>IF(澳门新定位结果!C267&lt;=0,0,1)</f>
        <v>0</v>
      </c>
      <c r="D267" s="4">
        <f>IF(澳门新定位结果!D267&lt;=0,0,1)</f>
        <v>0</v>
      </c>
      <c r="E267" s="4">
        <f>IF(澳门新定位结果!E267&lt;=0,0,1)</f>
        <v>1</v>
      </c>
      <c r="F267" s="4">
        <f>IF(澳门新定位结果!F267&lt;=0,0,1)</f>
        <v>0</v>
      </c>
      <c r="G267" s="4">
        <f>IF(澳门新定位结果!G267&lt;=0,0,1)</f>
        <v>1</v>
      </c>
      <c r="H267" s="4">
        <f>IF(澳门新定位结果!H267&lt;=0,0,1)</f>
        <v>0</v>
      </c>
      <c r="I267" s="4">
        <f>IF(澳门新定位结果!I267&lt;=0,0,1)</f>
        <v>1</v>
      </c>
      <c r="J267" s="4">
        <f>IF(澳门新定位结果!J267&lt;=0,0,1)</f>
        <v>0</v>
      </c>
      <c r="K267" s="4">
        <f>IF(澳门新定位结果!K267&lt;=0,0,1)</f>
        <v>0</v>
      </c>
      <c r="L267" s="4">
        <f>IF(澳门新定位结果!L267&lt;=0,0,1)</f>
        <v>0</v>
      </c>
      <c r="M267" s="4">
        <f>IF(澳门新定位结果!M267&lt;=0,0,1)</f>
        <v>0</v>
      </c>
      <c r="N267" s="4">
        <f>IF(澳门新定位结果!N267&lt;=0,0,1)</f>
        <v>0</v>
      </c>
      <c r="O267" s="4">
        <f>IF(澳门新定位结果!O267&lt;=0,0,1)</f>
        <v>0</v>
      </c>
    </row>
    <row r="268" spans="1:15">
      <c r="A268" s="4" t="s">
        <v>555</v>
      </c>
      <c r="B268" s="4">
        <f>IF(澳门新定位结果!B268&lt;=0,0,1)</f>
        <v>1</v>
      </c>
      <c r="C268" s="4">
        <f>IF(澳门新定位结果!C268&lt;=0,0,1)</f>
        <v>1</v>
      </c>
      <c r="D268" s="4">
        <f>IF(澳门新定位结果!D268&lt;=0,0,1)</f>
        <v>1</v>
      </c>
      <c r="E268" s="4">
        <f>IF(澳门新定位结果!E268&lt;=0,0,1)</f>
        <v>0</v>
      </c>
      <c r="F268" s="4">
        <f>IF(澳门新定位结果!F268&lt;=0,0,1)</f>
        <v>1</v>
      </c>
      <c r="G268" s="4">
        <f>IF(澳门新定位结果!G268&lt;=0,0,1)</f>
        <v>0</v>
      </c>
      <c r="H268" s="4">
        <f>IF(澳门新定位结果!H268&lt;=0,0,1)</f>
        <v>0</v>
      </c>
      <c r="I268" s="4">
        <f>IF(澳门新定位结果!I268&lt;=0,0,1)</f>
        <v>1</v>
      </c>
      <c r="J268" s="4">
        <f>IF(澳门新定位结果!J268&lt;=0,0,1)</f>
        <v>1</v>
      </c>
      <c r="K268" s="4">
        <f>IF(澳门新定位结果!K268&lt;=0,0,1)</f>
        <v>0</v>
      </c>
      <c r="L268" s="4">
        <f>IF(澳门新定位结果!L268&lt;=0,0,1)</f>
        <v>0</v>
      </c>
      <c r="M268" s="4">
        <f>IF(澳门新定位结果!M268&lt;=0,0,1)</f>
        <v>1</v>
      </c>
      <c r="N268" s="4">
        <f>IF(澳门新定位结果!N268&lt;=0,0,1)</f>
        <v>0</v>
      </c>
      <c r="O268" s="4">
        <f>IF(澳门新定位结果!O268&lt;=0,0,1)</f>
        <v>0</v>
      </c>
    </row>
    <row r="269" spans="1:15">
      <c r="A269" s="4" t="s">
        <v>557</v>
      </c>
      <c r="B269" s="4">
        <f>IF(澳门新定位结果!B269&lt;=0,0,1)</f>
        <v>0</v>
      </c>
      <c r="C269" s="4">
        <f>IF(澳门新定位结果!C269&lt;=0,0,1)</f>
        <v>0</v>
      </c>
      <c r="D269" s="4">
        <f>IF(澳门新定位结果!D269&lt;=0,0,1)</f>
        <v>0</v>
      </c>
      <c r="E269" s="4">
        <f>IF(澳门新定位结果!E269&lt;=0,0,1)</f>
        <v>1</v>
      </c>
      <c r="F269" s="4">
        <f>IF(澳门新定位结果!F269&lt;=0,0,1)</f>
        <v>0</v>
      </c>
      <c r="G269" s="4">
        <f>IF(澳门新定位结果!G269&lt;=0,0,1)</f>
        <v>1</v>
      </c>
      <c r="H269" s="4">
        <f>IF(澳门新定位结果!H269&lt;=0,0,1)</f>
        <v>0</v>
      </c>
      <c r="I269" s="4">
        <f>IF(澳门新定位结果!I269&lt;=0,0,1)</f>
        <v>0</v>
      </c>
      <c r="J269" s="4">
        <f>IF(澳门新定位结果!J269&lt;=0,0,1)</f>
        <v>0</v>
      </c>
      <c r="K269" s="4">
        <f>IF(澳门新定位结果!K269&lt;=0,0,1)</f>
        <v>0</v>
      </c>
      <c r="L269" s="4">
        <f>IF(澳门新定位结果!L269&lt;=0,0,1)</f>
        <v>0</v>
      </c>
      <c r="M269" s="4">
        <f>IF(澳门新定位结果!M269&lt;=0,0,1)</f>
        <v>0</v>
      </c>
      <c r="N269" s="4">
        <f>IF(澳门新定位结果!N269&lt;=0,0,1)</f>
        <v>0</v>
      </c>
      <c r="O269" s="4">
        <f>IF(澳门新定位结果!O269&lt;=0,0,1)</f>
        <v>0</v>
      </c>
    </row>
    <row r="270" spans="1:15">
      <c r="A270" s="4" t="s">
        <v>559</v>
      </c>
      <c r="B270" s="4">
        <f>IF(澳门新定位结果!B270&lt;=0,0,1)</f>
        <v>1</v>
      </c>
      <c r="C270" s="4">
        <f>IF(澳门新定位结果!C270&lt;=0,0,1)</f>
        <v>1</v>
      </c>
      <c r="D270" s="4">
        <f>IF(澳门新定位结果!D270&lt;=0,0,1)</f>
        <v>1</v>
      </c>
      <c r="E270" s="4">
        <f>IF(澳门新定位结果!E270&lt;=0,0,1)</f>
        <v>0</v>
      </c>
      <c r="F270" s="4">
        <f>IF(澳门新定位结果!F270&lt;=0,0,1)</f>
        <v>0</v>
      </c>
      <c r="G270" s="4">
        <f>IF(澳门新定位结果!G270&lt;=0,0,1)</f>
        <v>0</v>
      </c>
      <c r="H270" s="4">
        <f>IF(澳门新定位结果!H270&lt;=0,0,1)</f>
        <v>0</v>
      </c>
      <c r="I270" s="4">
        <f>IF(澳门新定位结果!I270&lt;=0,0,1)</f>
        <v>1</v>
      </c>
      <c r="J270" s="4">
        <f>IF(澳门新定位结果!J270&lt;=0,0,1)</f>
        <v>0</v>
      </c>
      <c r="K270" s="4">
        <f>IF(澳门新定位结果!K270&lt;=0,0,1)</f>
        <v>1</v>
      </c>
      <c r="L270" s="4">
        <f>IF(澳门新定位结果!L270&lt;=0,0,1)</f>
        <v>1</v>
      </c>
      <c r="M270" s="4">
        <f>IF(澳门新定位结果!M270&lt;=0,0,1)</f>
        <v>0</v>
      </c>
      <c r="N270" s="4">
        <f>IF(澳门新定位结果!N270&lt;=0,0,1)</f>
        <v>1</v>
      </c>
      <c r="O270" s="4">
        <f>IF(澳门新定位结果!O270&lt;=0,0,1)</f>
        <v>1</v>
      </c>
    </row>
    <row r="271" spans="1:15">
      <c r="A271" s="4" t="s">
        <v>561</v>
      </c>
      <c r="B271" s="4">
        <f>IF(澳门新定位结果!B271&lt;=0,0,1)</f>
        <v>0</v>
      </c>
      <c r="C271" s="4">
        <f>IF(澳门新定位结果!C271&lt;=0,0,1)</f>
        <v>1</v>
      </c>
      <c r="D271" s="4">
        <f>IF(澳门新定位结果!D271&lt;=0,0,1)</f>
        <v>0</v>
      </c>
      <c r="E271" s="4">
        <f>IF(澳门新定位结果!E271&lt;=0,0,1)</f>
        <v>0</v>
      </c>
      <c r="F271" s="4">
        <f>IF(澳门新定位结果!F271&lt;=0,0,1)</f>
        <v>0</v>
      </c>
      <c r="G271" s="4">
        <f>IF(澳门新定位结果!G271&lt;=0,0,1)</f>
        <v>0</v>
      </c>
      <c r="H271" s="4">
        <f>IF(澳门新定位结果!H271&lt;=0,0,1)</f>
        <v>1</v>
      </c>
      <c r="I271" s="4">
        <f>IF(澳门新定位结果!I271&lt;=0,0,1)</f>
        <v>1</v>
      </c>
      <c r="J271" s="4">
        <f>IF(澳门新定位结果!J271&lt;=0,0,1)</f>
        <v>1</v>
      </c>
      <c r="K271" s="4">
        <f>IF(澳门新定位结果!K271&lt;=0,0,1)</f>
        <v>1</v>
      </c>
      <c r="L271" s="4">
        <f>IF(澳门新定位结果!L271&lt;=0,0,1)</f>
        <v>1</v>
      </c>
      <c r="M271" s="4">
        <f>IF(澳门新定位结果!M271&lt;=0,0,1)</f>
        <v>1</v>
      </c>
      <c r="N271" s="4">
        <f>IF(澳门新定位结果!N271&lt;=0,0,1)</f>
        <v>0</v>
      </c>
      <c r="O271" s="4">
        <f>IF(澳门新定位结果!O271&lt;=0,0,1)</f>
        <v>0</v>
      </c>
    </row>
    <row r="272" spans="1:15">
      <c r="A272" s="4" t="s">
        <v>563</v>
      </c>
      <c r="B272" s="4">
        <f>IF(澳门新定位结果!B272&lt;=0,0,1)</f>
        <v>1</v>
      </c>
      <c r="C272" s="4">
        <f>IF(澳门新定位结果!C272&lt;=0,0,1)</f>
        <v>0</v>
      </c>
      <c r="D272" s="4">
        <f>IF(澳门新定位结果!D272&lt;=0,0,1)</f>
        <v>0</v>
      </c>
      <c r="E272" s="4">
        <f>IF(澳门新定位结果!E272&lt;=0,0,1)</f>
        <v>1</v>
      </c>
      <c r="F272" s="4">
        <f>IF(澳门新定位结果!F272&lt;=0,0,1)</f>
        <v>1</v>
      </c>
      <c r="G272" s="4">
        <f>IF(澳门新定位结果!G272&lt;=0,0,1)</f>
        <v>1</v>
      </c>
      <c r="H272" s="4">
        <f>IF(澳门新定位结果!H272&lt;=0,0,1)</f>
        <v>0</v>
      </c>
      <c r="I272" s="4">
        <f>IF(澳门新定位结果!I272&lt;=0,0,1)</f>
        <v>0</v>
      </c>
      <c r="J272" s="4">
        <f>IF(澳门新定位结果!J272&lt;=0,0,1)</f>
        <v>0</v>
      </c>
      <c r="K272" s="4">
        <f>IF(澳门新定位结果!K272&lt;=0,0,1)</f>
        <v>1</v>
      </c>
      <c r="L272" s="4">
        <f>IF(澳门新定位结果!L272&lt;=0,0,1)</f>
        <v>1</v>
      </c>
      <c r="M272" s="4">
        <f>IF(澳门新定位结果!M272&lt;=0,0,1)</f>
        <v>1</v>
      </c>
      <c r="N272" s="4">
        <f>IF(澳门新定位结果!N272&lt;=0,0,1)</f>
        <v>0</v>
      </c>
      <c r="O272" s="4">
        <f>IF(澳门新定位结果!O272&lt;=0,0,1)</f>
        <v>1</v>
      </c>
    </row>
    <row r="273" spans="1:15">
      <c r="A273" s="4" t="s">
        <v>565</v>
      </c>
      <c r="B273" s="4">
        <f>IF(澳门新定位结果!B273&lt;=0,0,1)</f>
        <v>0</v>
      </c>
      <c r="C273" s="4">
        <f>IF(澳门新定位结果!C273&lt;=0,0,1)</f>
        <v>0</v>
      </c>
      <c r="D273" s="4">
        <f>IF(澳门新定位结果!D273&lt;=0,0,1)</f>
        <v>0</v>
      </c>
      <c r="E273" s="4">
        <f>IF(澳门新定位结果!E273&lt;=0,0,1)</f>
        <v>1</v>
      </c>
      <c r="F273" s="4">
        <f>IF(澳门新定位结果!F273&lt;=0,0,1)</f>
        <v>0</v>
      </c>
      <c r="G273" s="4">
        <f>IF(澳门新定位结果!G273&lt;=0,0,1)</f>
        <v>0</v>
      </c>
      <c r="H273" s="4">
        <f>IF(澳门新定位结果!H273&lt;=0,0,1)</f>
        <v>0</v>
      </c>
      <c r="I273" s="4">
        <f>IF(澳门新定位结果!I273&lt;=0,0,1)</f>
        <v>1</v>
      </c>
      <c r="J273" s="4">
        <f>IF(澳门新定位结果!J273&lt;=0,0,1)</f>
        <v>1</v>
      </c>
      <c r="K273" s="4">
        <f>IF(澳门新定位结果!K273&lt;=0,0,1)</f>
        <v>1</v>
      </c>
      <c r="L273" s="4">
        <f>IF(澳门新定位结果!L273&lt;=0,0,1)</f>
        <v>1</v>
      </c>
      <c r="M273" s="4">
        <f>IF(澳门新定位结果!M273&lt;=0,0,1)</f>
        <v>0</v>
      </c>
      <c r="N273" s="4">
        <f>IF(澳门新定位结果!N273&lt;=0,0,1)</f>
        <v>1</v>
      </c>
      <c r="O273" s="4">
        <f>IF(澳门新定位结果!O273&lt;=0,0,1)</f>
        <v>0</v>
      </c>
    </row>
    <row r="274" spans="1:15">
      <c r="A274" s="4" t="s">
        <v>567</v>
      </c>
      <c r="B274" s="4">
        <f>IF(澳门新定位结果!B274&lt;=0,0,1)</f>
        <v>0</v>
      </c>
      <c r="C274" s="4">
        <f>IF(澳门新定位结果!C274&lt;=0,0,1)</f>
        <v>0</v>
      </c>
      <c r="D274" s="4">
        <f>IF(澳门新定位结果!D274&lt;=0,0,1)</f>
        <v>0</v>
      </c>
      <c r="E274" s="4">
        <f>IF(澳门新定位结果!E274&lt;=0,0,1)</f>
        <v>0</v>
      </c>
      <c r="F274" s="4">
        <f>IF(澳门新定位结果!F274&lt;=0,0,1)</f>
        <v>1</v>
      </c>
      <c r="G274" s="4">
        <f>IF(澳门新定位结果!G274&lt;=0,0,1)</f>
        <v>0</v>
      </c>
      <c r="H274" s="4">
        <f>IF(澳门新定位结果!H274&lt;=0,0,1)</f>
        <v>0</v>
      </c>
      <c r="I274" s="4">
        <f>IF(澳门新定位结果!I274&lt;=0,0,1)</f>
        <v>1</v>
      </c>
      <c r="J274" s="4">
        <f>IF(澳门新定位结果!J274&lt;=0,0,1)</f>
        <v>0</v>
      </c>
      <c r="K274" s="4">
        <f>IF(澳门新定位结果!K274&lt;=0,0,1)</f>
        <v>1</v>
      </c>
      <c r="L274" s="4">
        <f>IF(澳门新定位结果!L274&lt;=0,0,1)</f>
        <v>1</v>
      </c>
      <c r="M274" s="4">
        <f>IF(澳门新定位结果!M274&lt;=0,0,1)</f>
        <v>0</v>
      </c>
      <c r="N274" s="4">
        <f>IF(澳门新定位结果!N274&lt;=0,0,1)</f>
        <v>0</v>
      </c>
      <c r="O274" s="4">
        <f>IF(澳门新定位结果!O274&lt;=0,0,1)</f>
        <v>1</v>
      </c>
    </row>
    <row r="275" spans="1:15">
      <c r="A275" s="4" t="s">
        <v>569</v>
      </c>
      <c r="B275" s="4">
        <f>IF(澳门新定位结果!B275&lt;=0,0,1)</f>
        <v>0</v>
      </c>
      <c r="C275" s="4">
        <f>IF(澳门新定位结果!C275&lt;=0,0,1)</f>
        <v>1</v>
      </c>
      <c r="D275" s="4">
        <f>IF(澳门新定位结果!D275&lt;=0,0,1)</f>
        <v>0</v>
      </c>
      <c r="E275" s="4">
        <f>IF(澳门新定位结果!E275&lt;=0,0,1)</f>
        <v>1</v>
      </c>
      <c r="F275" s="4">
        <f>IF(澳门新定位结果!F275&lt;=0,0,1)</f>
        <v>1</v>
      </c>
      <c r="G275" s="4">
        <f>IF(澳门新定位结果!G275&lt;=0,0,1)</f>
        <v>1</v>
      </c>
      <c r="H275" s="4">
        <f>IF(澳门新定位结果!H275&lt;=0,0,1)</f>
        <v>0</v>
      </c>
      <c r="I275" s="4">
        <f>IF(澳门新定位结果!I275&lt;=0,0,1)</f>
        <v>1</v>
      </c>
      <c r="J275" s="4">
        <f>IF(澳门新定位结果!J275&lt;=0,0,1)</f>
        <v>1</v>
      </c>
      <c r="K275" s="4">
        <f>IF(澳门新定位结果!K275&lt;=0,0,1)</f>
        <v>0</v>
      </c>
      <c r="L275" s="4">
        <f>IF(澳门新定位结果!L275&lt;=0,0,1)</f>
        <v>0</v>
      </c>
      <c r="M275" s="4">
        <f>IF(澳门新定位结果!M275&lt;=0,0,1)</f>
        <v>1</v>
      </c>
      <c r="N275" s="4">
        <f>IF(澳门新定位结果!N275&lt;=0,0,1)</f>
        <v>1</v>
      </c>
      <c r="O275" s="4">
        <f>IF(澳门新定位结果!O275&lt;=0,0,1)</f>
        <v>1</v>
      </c>
    </row>
    <row r="276" spans="1:15">
      <c r="A276" s="4" t="s">
        <v>571</v>
      </c>
      <c r="B276" s="4">
        <f>IF(澳门新定位结果!B276&lt;=0,0,1)</f>
        <v>0</v>
      </c>
      <c r="C276" s="4">
        <f>IF(澳门新定位结果!C276&lt;=0,0,1)</f>
        <v>1</v>
      </c>
      <c r="D276" s="4">
        <f>IF(澳门新定位结果!D276&lt;=0,0,1)</f>
        <v>0</v>
      </c>
      <c r="E276" s="4">
        <f>IF(澳门新定位结果!E276&lt;=0,0,1)</f>
        <v>1</v>
      </c>
      <c r="F276" s="4">
        <f>IF(澳门新定位结果!F276&lt;=0,0,1)</f>
        <v>0</v>
      </c>
      <c r="G276" s="4">
        <f>IF(澳门新定位结果!G276&lt;=0,0,1)</f>
        <v>0</v>
      </c>
      <c r="H276" s="4">
        <f>IF(澳门新定位结果!H276&lt;=0,0,1)</f>
        <v>0</v>
      </c>
      <c r="I276" s="4">
        <f>IF(澳门新定位结果!I276&lt;=0,0,1)</f>
        <v>0</v>
      </c>
      <c r="J276" s="4">
        <f>IF(澳门新定位结果!J276&lt;=0,0,1)</f>
        <v>0</v>
      </c>
      <c r="K276" s="4">
        <f>IF(澳门新定位结果!K276&lt;=0,0,1)</f>
        <v>0</v>
      </c>
      <c r="L276" s="4">
        <f>IF(澳门新定位结果!L276&lt;=0,0,1)</f>
        <v>1</v>
      </c>
      <c r="M276" s="4">
        <f>IF(澳门新定位结果!M276&lt;=0,0,1)</f>
        <v>0</v>
      </c>
      <c r="N276" s="4">
        <f>IF(澳门新定位结果!N276&lt;=0,0,1)</f>
        <v>0</v>
      </c>
      <c r="O276" s="4">
        <f>IF(澳门新定位结果!O276&lt;=0,0,1)</f>
        <v>0</v>
      </c>
    </row>
    <row r="277" spans="1:15">
      <c r="A277" s="4" t="s">
        <v>573</v>
      </c>
      <c r="B277" s="4">
        <f>IF(澳门新定位结果!B277&lt;=0,0,1)</f>
        <v>0</v>
      </c>
      <c r="C277" s="4">
        <f>IF(澳门新定位结果!C277&lt;=0,0,1)</f>
        <v>0</v>
      </c>
      <c r="D277" s="4">
        <f>IF(澳门新定位结果!D277&lt;=0,0,1)</f>
        <v>0</v>
      </c>
      <c r="E277" s="4">
        <f>IF(澳门新定位结果!E277&lt;=0,0,1)</f>
        <v>0</v>
      </c>
      <c r="F277" s="4">
        <f>IF(澳门新定位结果!F277&lt;=0,0,1)</f>
        <v>0</v>
      </c>
      <c r="G277" s="4">
        <f>IF(澳门新定位结果!G277&lt;=0,0,1)</f>
        <v>1</v>
      </c>
      <c r="H277" s="4">
        <f>IF(澳门新定位结果!H277&lt;=0,0,1)</f>
        <v>0</v>
      </c>
      <c r="I277" s="4">
        <f>IF(澳门新定位结果!I277&lt;=0,0,1)</f>
        <v>1</v>
      </c>
      <c r="J277" s="4">
        <f>IF(澳门新定位结果!J277&lt;=0,0,1)</f>
        <v>0</v>
      </c>
      <c r="K277" s="4">
        <f>IF(澳门新定位结果!K277&lt;=0,0,1)</f>
        <v>0</v>
      </c>
      <c r="L277" s="4">
        <f>IF(澳门新定位结果!L277&lt;=0,0,1)</f>
        <v>0</v>
      </c>
      <c r="M277" s="4">
        <f>IF(澳门新定位结果!M277&lt;=0,0,1)</f>
        <v>0</v>
      </c>
      <c r="N277" s="4">
        <f>IF(澳门新定位结果!N277&lt;=0,0,1)</f>
        <v>0</v>
      </c>
      <c r="O277" s="4">
        <f>IF(澳门新定位结果!O277&lt;=0,0,1)</f>
        <v>0</v>
      </c>
    </row>
    <row r="278" spans="1:15">
      <c r="A278" s="4" t="s">
        <v>575</v>
      </c>
      <c r="B278" s="4">
        <f>IF(澳门新定位结果!B278&lt;=0,0,1)</f>
        <v>0</v>
      </c>
      <c r="C278" s="4">
        <f>IF(澳门新定位结果!C278&lt;=0,0,1)</f>
        <v>1</v>
      </c>
      <c r="D278" s="4">
        <f>IF(澳门新定位结果!D278&lt;=0,0,1)</f>
        <v>1</v>
      </c>
      <c r="E278" s="4">
        <f>IF(澳门新定位结果!E278&lt;=0,0,1)</f>
        <v>0</v>
      </c>
      <c r="F278" s="4">
        <f>IF(澳门新定位结果!F278&lt;=0,0,1)</f>
        <v>1</v>
      </c>
      <c r="G278" s="4">
        <f>IF(澳门新定位结果!G278&lt;=0,0,1)</f>
        <v>0</v>
      </c>
      <c r="H278" s="4">
        <f>IF(澳门新定位结果!H278&lt;=0,0,1)</f>
        <v>0</v>
      </c>
      <c r="I278" s="4">
        <f>IF(澳门新定位结果!I278&lt;=0,0,1)</f>
        <v>1</v>
      </c>
      <c r="J278" s="4">
        <f>IF(澳门新定位结果!J278&lt;=0,0,1)</f>
        <v>0</v>
      </c>
      <c r="K278" s="4">
        <f>IF(澳门新定位结果!K278&lt;=0,0,1)</f>
        <v>0</v>
      </c>
      <c r="L278" s="4">
        <f>IF(澳门新定位结果!L278&lt;=0,0,1)</f>
        <v>0</v>
      </c>
      <c r="M278" s="4">
        <f>IF(澳门新定位结果!M278&lt;=0,0,1)</f>
        <v>1</v>
      </c>
      <c r="N278" s="4">
        <f>IF(澳门新定位结果!N278&lt;=0,0,1)</f>
        <v>1</v>
      </c>
      <c r="O278" s="4">
        <f>IF(澳门新定位结果!O278&lt;=0,0,1)</f>
        <v>1</v>
      </c>
    </row>
    <row r="279" spans="1:15">
      <c r="A279" s="4" t="s">
        <v>577</v>
      </c>
      <c r="B279" s="4">
        <f>IF(澳门新定位结果!B279&lt;=0,0,1)</f>
        <v>1</v>
      </c>
      <c r="C279" s="4">
        <f>IF(澳门新定位结果!C279&lt;=0,0,1)</f>
        <v>1</v>
      </c>
      <c r="D279" s="4">
        <f>IF(澳门新定位结果!D279&lt;=0,0,1)</f>
        <v>0</v>
      </c>
      <c r="E279" s="4">
        <f>IF(澳门新定位结果!E279&lt;=0,0,1)</f>
        <v>1</v>
      </c>
      <c r="F279" s="4">
        <f>IF(澳门新定位结果!F279&lt;=0,0,1)</f>
        <v>0</v>
      </c>
      <c r="G279" s="4">
        <f>IF(澳门新定位结果!G279&lt;=0,0,1)</f>
        <v>0</v>
      </c>
      <c r="H279" s="4">
        <f>IF(澳门新定位结果!H279&lt;=0,0,1)</f>
        <v>0</v>
      </c>
      <c r="I279" s="4">
        <f>IF(澳门新定位结果!I279&lt;=0,0,1)</f>
        <v>1</v>
      </c>
      <c r="J279" s="4">
        <f>IF(澳门新定位结果!J279&lt;=0,0,1)</f>
        <v>1</v>
      </c>
      <c r="K279" s="4">
        <f>IF(澳门新定位结果!K279&lt;=0,0,1)</f>
        <v>0</v>
      </c>
      <c r="L279" s="4">
        <f>IF(澳门新定位结果!L279&lt;=0,0,1)</f>
        <v>1</v>
      </c>
      <c r="M279" s="4">
        <f>IF(澳门新定位结果!M279&lt;=0,0,1)</f>
        <v>1</v>
      </c>
      <c r="N279" s="4">
        <f>IF(澳门新定位结果!N279&lt;=0,0,1)</f>
        <v>0</v>
      </c>
      <c r="O279" s="4">
        <f>IF(澳门新定位结果!O279&lt;=0,0,1)</f>
        <v>1</v>
      </c>
    </row>
    <row r="280" spans="1:15">
      <c r="A280" s="4" t="s">
        <v>579</v>
      </c>
      <c r="B280" s="4">
        <f>IF(澳门新定位结果!B280&lt;=0,0,1)</f>
        <v>1</v>
      </c>
      <c r="C280" s="4">
        <f>IF(澳门新定位结果!C280&lt;=0,0,1)</f>
        <v>0</v>
      </c>
      <c r="D280" s="4">
        <f>IF(澳门新定位结果!D280&lt;=0,0,1)</f>
        <v>0</v>
      </c>
      <c r="E280" s="4">
        <f>IF(澳门新定位结果!E280&lt;=0,0,1)</f>
        <v>0</v>
      </c>
      <c r="F280" s="4">
        <f>IF(澳门新定位结果!F280&lt;=0,0,1)</f>
        <v>1</v>
      </c>
      <c r="G280" s="4">
        <f>IF(澳门新定位结果!G280&lt;=0,0,1)</f>
        <v>1</v>
      </c>
      <c r="H280" s="4">
        <f>IF(澳门新定位结果!H280&lt;=0,0,1)</f>
        <v>0</v>
      </c>
      <c r="I280" s="4">
        <f>IF(澳门新定位结果!I280&lt;=0,0,1)</f>
        <v>1</v>
      </c>
      <c r="J280" s="4">
        <f>IF(澳门新定位结果!J280&lt;=0,0,1)</f>
        <v>1</v>
      </c>
      <c r="K280" s="4">
        <f>IF(澳门新定位结果!K280&lt;=0,0,1)</f>
        <v>0</v>
      </c>
      <c r="L280" s="4">
        <f>IF(澳门新定位结果!L280&lt;=0,0,1)</f>
        <v>1</v>
      </c>
      <c r="M280" s="4">
        <f>IF(澳门新定位结果!M280&lt;=0,0,1)</f>
        <v>1</v>
      </c>
      <c r="N280" s="4">
        <f>IF(澳门新定位结果!N280&lt;=0,0,1)</f>
        <v>1</v>
      </c>
      <c r="O280" s="4">
        <f>IF(澳门新定位结果!O280&lt;=0,0,1)</f>
        <v>1</v>
      </c>
    </row>
    <row r="281" spans="1:15">
      <c r="A281" s="4" t="s">
        <v>581</v>
      </c>
      <c r="B281" s="4">
        <f>IF(澳门新定位结果!B281&lt;=0,0,1)</f>
        <v>1</v>
      </c>
      <c r="C281" s="4">
        <f>IF(澳门新定位结果!C281&lt;=0,0,1)</f>
        <v>1</v>
      </c>
      <c r="D281" s="4">
        <f>IF(澳门新定位结果!D281&lt;=0,0,1)</f>
        <v>1</v>
      </c>
      <c r="E281" s="4">
        <f>IF(澳门新定位结果!E281&lt;=0,0,1)</f>
        <v>1</v>
      </c>
      <c r="F281" s="4">
        <f>IF(澳门新定位结果!F281&lt;=0,0,1)</f>
        <v>0</v>
      </c>
      <c r="G281" s="4">
        <f>IF(澳门新定位结果!G281&lt;=0,0,1)</f>
        <v>1</v>
      </c>
      <c r="H281" s="4">
        <f>IF(澳门新定位结果!H281&lt;=0,0,1)</f>
        <v>1</v>
      </c>
      <c r="I281" s="4">
        <f>IF(澳门新定位结果!I281&lt;=0,0,1)</f>
        <v>0</v>
      </c>
      <c r="J281" s="4">
        <f>IF(澳门新定位结果!J281&lt;=0,0,1)</f>
        <v>1</v>
      </c>
      <c r="K281" s="4">
        <f>IF(澳门新定位结果!K281&lt;=0,0,1)</f>
        <v>1</v>
      </c>
      <c r="L281" s="4">
        <f>IF(澳门新定位结果!L281&lt;=0,0,1)</f>
        <v>1</v>
      </c>
      <c r="M281" s="4">
        <f>IF(澳门新定位结果!M281&lt;=0,0,1)</f>
        <v>1</v>
      </c>
      <c r="N281" s="4">
        <f>IF(澳门新定位结果!N281&lt;=0,0,1)</f>
        <v>1</v>
      </c>
      <c r="O281" s="4">
        <f>IF(澳门新定位结果!O281&lt;=0,0,1)</f>
        <v>0</v>
      </c>
    </row>
    <row r="282" spans="1:15">
      <c r="A282" s="4" t="s">
        <v>583</v>
      </c>
      <c r="B282" s="4">
        <f>IF(澳门新定位结果!B282&lt;=0,0,1)</f>
        <v>0</v>
      </c>
      <c r="C282" s="4">
        <f>IF(澳门新定位结果!C282&lt;=0,0,1)</f>
        <v>1</v>
      </c>
      <c r="D282" s="4">
        <f>IF(澳门新定位结果!D282&lt;=0,0,1)</f>
        <v>0</v>
      </c>
      <c r="E282" s="4">
        <f>IF(澳门新定位结果!E282&lt;=0,0,1)</f>
        <v>1</v>
      </c>
      <c r="F282" s="4">
        <f>IF(澳门新定位结果!F282&lt;=0,0,1)</f>
        <v>1</v>
      </c>
      <c r="G282" s="4">
        <f>IF(澳门新定位结果!G282&lt;=0,0,1)</f>
        <v>1</v>
      </c>
      <c r="H282" s="4">
        <f>IF(澳门新定位结果!H282&lt;=0,0,1)</f>
        <v>0</v>
      </c>
      <c r="I282" s="4">
        <f>IF(澳门新定位结果!I282&lt;=0,0,1)</f>
        <v>1</v>
      </c>
      <c r="J282" s="4">
        <f>IF(澳门新定位结果!J282&lt;=0,0,1)</f>
        <v>0</v>
      </c>
      <c r="K282" s="4">
        <f>IF(澳门新定位结果!K282&lt;=0,0,1)</f>
        <v>0</v>
      </c>
      <c r="L282" s="4">
        <f>IF(澳门新定位结果!L282&lt;=0,0,1)</f>
        <v>1</v>
      </c>
      <c r="M282" s="4">
        <f>IF(澳门新定位结果!M282&lt;=0,0,1)</f>
        <v>0</v>
      </c>
      <c r="N282" s="4">
        <f>IF(澳门新定位结果!N282&lt;=0,0,1)</f>
        <v>0</v>
      </c>
      <c r="O282" s="4">
        <f>IF(澳门新定位结果!O282&lt;=0,0,1)</f>
        <v>0</v>
      </c>
    </row>
    <row r="283" spans="1:15">
      <c r="A283" s="4" t="s">
        <v>585</v>
      </c>
      <c r="B283" s="4">
        <f>IF(澳门新定位结果!B283&lt;=0,0,1)</f>
        <v>0</v>
      </c>
      <c r="C283" s="4">
        <f>IF(澳门新定位结果!C283&lt;=0,0,1)</f>
        <v>0</v>
      </c>
      <c r="D283" s="4">
        <f>IF(澳门新定位结果!D283&lt;=0,0,1)</f>
        <v>0</v>
      </c>
      <c r="E283" s="4">
        <f>IF(澳门新定位结果!E283&lt;=0,0,1)</f>
        <v>0</v>
      </c>
      <c r="F283" s="4">
        <f>IF(澳门新定位结果!F283&lt;=0,0,1)</f>
        <v>1</v>
      </c>
      <c r="G283" s="4">
        <f>IF(澳门新定位结果!G283&lt;=0,0,1)</f>
        <v>0</v>
      </c>
      <c r="H283" s="4">
        <f>IF(澳门新定位结果!H283&lt;=0,0,1)</f>
        <v>0</v>
      </c>
      <c r="I283" s="4">
        <f>IF(澳门新定位结果!I283&lt;=0,0,1)</f>
        <v>0</v>
      </c>
      <c r="J283" s="4">
        <f>IF(澳门新定位结果!J283&lt;=0,0,1)</f>
        <v>0</v>
      </c>
      <c r="K283" s="4">
        <f>IF(澳门新定位结果!K283&lt;=0,0,1)</f>
        <v>0</v>
      </c>
      <c r="L283" s="4">
        <f>IF(澳门新定位结果!L283&lt;=0,0,1)</f>
        <v>0</v>
      </c>
      <c r="M283" s="4">
        <f>IF(澳门新定位结果!M283&lt;=0,0,1)</f>
        <v>1</v>
      </c>
      <c r="N283" s="4">
        <f>IF(澳门新定位结果!N283&lt;=0,0,1)</f>
        <v>1</v>
      </c>
      <c r="O283" s="4">
        <f>IF(澳门新定位结果!O283&lt;=0,0,1)</f>
        <v>1</v>
      </c>
    </row>
    <row r="284" spans="1:15">
      <c r="A284" s="4" t="s">
        <v>587</v>
      </c>
      <c r="B284" s="4">
        <f>IF(澳门新定位结果!B284&lt;=0,0,1)</f>
        <v>0</v>
      </c>
      <c r="C284" s="4">
        <f>IF(澳门新定位结果!C284&lt;=0,0,1)</f>
        <v>1</v>
      </c>
      <c r="D284" s="4">
        <f>IF(澳门新定位结果!D284&lt;=0,0,1)</f>
        <v>0</v>
      </c>
      <c r="E284" s="4">
        <f>IF(澳门新定位结果!E284&lt;=0,0,1)</f>
        <v>0</v>
      </c>
      <c r="F284" s="4">
        <f>IF(澳门新定位结果!F284&lt;=0,0,1)</f>
        <v>0</v>
      </c>
      <c r="G284" s="4">
        <f>IF(澳门新定位结果!G284&lt;=0,0,1)</f>
        <v>1</v>
      </c>
      <c r="H284" s="4">
        <f>IF(澳门新定位结果!H284&lt;=0,0,1)</f>
        <v>0</v>
      </c>
      <c r="I284" s="4">
        <f>IF(澳门新定位结果!I284&lt;=0,0,1)</f>
        <v>1</v>
      </c>
      <c r="J284" s="4">
        <f>IF(澳门新定位结果!J284&lt;=0,0,1)</f>
        <v>0</v>
      </c>
      <c r="K284" s="4">
        <f>IF(澳门新定位结果!K284&lt;=0,0,1)</f>
        <v>0</v>
      </c>
      <c r="L284" s="4">
        <f>IF(澳门新定位结果!L284&lt;=0,0,1)</f>
        <v>1</v>
      </c>
      <c r="M284" s="4">
        <f>IF(澳门新定位结果!M284&lt;=0,0,1)</f>
        <v>0</v>
      </c>
      <c r="N284" s="4">
        <f>IF(澳门新定位结果!N284&lt;=0,0,1)</f>
        <v>0</v>
      </c>
      <c r="O284" s="4">
        <f>IF(澳门新定位结果!O284&lt;=0,0,1)</f>
        <v>0</v>
      </c>
    </row>
    <row r="285" spans="1:15">
      <c r="A285" s="4" t="s">
        <v>589</v>
      </c>
      <c r="B285" s="4">
        <f>IF(澳门新定位结果!B285&lt;=0,0,1)</f>
        <v>0</v>
      </c>
      <c r="C285" s="4">
        <f>IF(澳门新定位结果!C285&lt;=0,0,1)</f>
        <v>0</v>
      </c>
      <c r="D285" s="4">
        <f>IF(澳门新定位结果!D285&lt;=0,0,1)</f>
        <v>0</v>
      </c>
      <c r="E285" s="4">
        <f>IF(澳门新定位结果!E285&lt;=0,0,1)</f>
        <v>0</v>
      </c>
      <c r="F285" s="4">
        <f>IF(澳门新定位结果!F285&lt;=0,0,1)</f>
        <v>0</v>
      </c>
      <c r="G285" s="4">
        <f>IF(澳门新定位结果!G285&lt;=0,0,1)</f>
        <v>0</v>
      </c>
      <c r="H285" s="4">
        <f>IF(澳门新定位结果!H285&lt;=0,0,1)</f>
        <v>0</v>
      </c>
      <c r="I285" s="4">
        <f>IF(澳门新定位结果!I285&lt;=0,0,1)</f>
        <v>1</v>
      </c>
      <c r="J285" s="4">
        <f>IF(澳门新定位结果!J285&lt;=0,0,1)</f>
        <v>0</v>
      </c>
      <c r="K285" s="4">
        <f>IF(澳门新定位结果!K285&lt;=0,0,1)</f>
        <v>1</v>
      </c>
      <c r="L285" s="4">
        <f>IF(澳门新定位结果!L285&lt;=0,0,1)</f>
        <v>0</v>
      </c>
      <c r="M285" s="4">
        <f>IF(澳门新定位结果!M285&lt;=0,0,1)</f>
        <v>1</v>
      </c>
      <c r="N285" s="4">
        <f>IF(澳门新定位结果!N285&lt;=0,0,1)</f>
        <v>1</v>
      </c>
      <c r="O285" s="4">
        <f>IF(澳门新定位结果!O285&lt;=0,0,1)</f>
        <v>1</v>
      </c>
    </row>
    <row r="286" spans="1:15">
      <c r="A286" s="4" t="s">
        <v>591</v>
      </c>
      <c r="B286" s="4">
        <f>IF(澳门新定位结果!B286&lt;=0,0,1)</f>
        <v>1</v>
      </c>
      <c r="C286" s="4">
        <f>IF(澳门新定位结果!C286&lt;=0,0,1)</f>
        <v>0</v>
      </c>
      <c r="D286" s="4">
        <f>IF(澳门新定位结果!D286&lt;=0,0,1)</f>
        <v>0</v>
      </c>
      <c r="E286" s="4">
        <f>IF(澳门新定位结果!E286&lt;=0,0,1)</f>
        <v>0</v>
      </c>
      <c r="F286" s="4">
        <f>IF(澳门新定位结果!F286&lt;=0,0,1)</f>
        <v>0</v>
      </c>
      <c r="G286" s="4">
        <f>IF(澳门新定位结果!G286&lt;=0,0,1)</f>
        <v>1</v>
      </c>
      <c r="H286" s="4">
        <f>IF(澳门新定位结果!H286&lt;=0,0,1)</f>
        <v>1</v>
      </c>
      <c r="I286" s="4">
        <f>IF(澳门新定位结果!I286&lt;=0,0,1)</f>
        <v>1</v>
      </c>
      <c r="J286" s="4">
        <f>IF(澳门新定位结果!J286&lt;=0,0,1)</f>
        <v>0</v>
      </c>
      <c r="K286" s="4">
        <f>IF(澳门新定位结果!K286&lt;=0,0,1)</f>
        <v>1</v>
      </c>
      <c r="L286" s="4">
        <f>IF(澳门新定位结果!L286&lt;=0,0,1)</f>
        <v>1</v>
      </c>
      <c r="M286" s="4">
        <f>IF(澳门新定位结果!M286&lt;=0,0,1)</f>
        <v>1</v>
      </c>
      <c r="N286" s="4">
        <f>IF(澳门新定位结果!N286&lt;=0,0,1)</f>
        <v>1</v>
      </c>
      <c r="O286" s="4">
        <f>IF(澳门新定位结果!O286&lt;=0,0,1)</f>
        <v>0</v>
      </c>
    </row>
    <row r="287" spans="1:15">
      <c r="A287" s="4" t="s">
        <v>593</v>
      </c>
      <c r="B287" s="4">
        <f>IF(澳门新定位结果!B287&lt;=0,0,1)</f>
        <v>1</v>
      </c>
      <c r="C287" s="4">
        <f>IF(澳门新定位结果!C287&lt;=0,0,1)</f>
        <v>1</v>
      </c>
      <c r="D287" s="4">
        <f>IF(澳门新定位结果!D287&lt;=0,0,1)</f>
        <v>0</v>
      </c>
      <c r="E287" s="4">
        <f>IF(澳门新定位结果!E287&lt;=0,0,1)</f>
        <v>1</v>
      </c>
      <c r="F287" s="4">
        <f>IF(澳门新定位结果!F287&lt;=0,0,1)</f>
        <v>1</v>
      </c>
      <c r="G287" s="4">
        <f>IF(澳门新定位结果!G287&lt;=0,0,1)</f>
        <v>1</v>
      </c>
      <c r="H287" s="4">
        <f>IF(澳门新定位结果!H287&lt;=0,0,1)</f>
        <v>1</v>
      </c>
      <c r="I287" s="4">
        <f>IF(澳门新定位结果!I287&lt;=0,0,1)</f>
        <v>0</v>
      </c>
      <c r="J287" s="4">
        <f>IF(澳门新定位结果!J287&lt;=0,0,1)</f>
        <v>1</v>
      </c>
      <c r="K287" s="4">
        <f>IF(澳门新定位结果!K287&lt;=0,0,1)</f>
        <v>0</v>
      </c>
      <c r="L287" s="4">
        <f>IF(澳门新定位结果!L287&lt;=0,0,1)</f>
        <v>1</v>
      </c>
      <c r="M287" s="4">
        <f>IF(澳门新定位结果!M287&lt;=0,0,1)</f>
        <v>1</v>
      </c>
      <c r="N287" s="4">
        <f>IF(澳门新定位结果!N287&lt;=0,0,1)</f>
        <v>0</v>
      </c>
      <c r="O287" s="4">
        <f>IF(澳门新定位结果!O287&lt;=0,0,1)</f>
        <v>1</v>
      </c>
    </row>
    <row r="288" spans="1:15">
      <c r="A288" s="4" t="s">
        <v>595</v>
      </c>
      <c r="B288" s="4">
        <f>IF(澳门新定位结果!B288&lt;=0,0,1)</f>
        <v>1</v>
      </c>
      <c r="C288" s="4">
        <f>IF(澳门新定位结果!C288&lt;=0,0,1)</f>
        <v>1</v>
      </c>
      <c r="D288" s="4">
        <f>IF(澳门新定位结果!D288&lt;=0,0,1)</f>
        <v>0</v>
      </c>
      <c r="E288" s="4">
        <f>IF(澳门新定位结果!E288&lt;=0,0,1)</f>
        <v>0</v>
      </c>
      <c r="F288" s="4">
        <f>IF(澳门新定位结果!F288&lt;=0,0,1)</f>
        <v>0</v>
      </c>
      <c r="G288" s="4">
        <f>IF(澳门新定位结果!G288&lt;=0,0,1)</f>
        <v>0</v>
      </c>
      <c r="H288" s="4">
        <f>IF(澳门新定位结果!H288&lt;=0,0,1)</f>
        <v>0</v>
      </c>
      <c r="I288" s="4">
        <f>IF(澳门新定位结果!I288&lt;=0,0,1)</f>
        <v>1</v>
      </c>
      <c r="J288" s="4">
        <f>IF(澳门新定位结果!J288&lt;=0,0,1)</f>
        <v>1</v>
      </c>
      <c r="K288" s="4">
        <f>IF(澳门新定位结果!K288&lt;=0,0,1)</f>
        <v>0</v>
      </c>
      <c r="L288" s="4">
        <f>IF(澳门新定位结果!L288&lt;=0,0,1)</f>
        <v>0</v>
      </c>
      <c r="M288" s="4">
        <f>IF(澳门新定位结果!M288&lt;=0,0,1)</f>
        <v>1</v>
      </c>
      <c r="N288" s="4">
        <f>IF(澳门新定位结果!N288&lt;=0,0,1)</f>
        <v>0</v>
      </c>
      <c r="O288" s="4">
        <f>IF(澳门新定位结果!O288&lt;=0,0,1)</f>
        <v>1</v>
      </c>
    </row>
    <row r="289" spans="1:15">
      <c r="A289" s="4" t="s">
        <v>597</v>
      </c>
      <c r="B289" s="4">
        <f>IF(澳门新定位结果!B289&lt;=0,0,1)</f>
        <v>0</v>
      </c>
      <c r="C289" s="4">
        <f>IF(澳门新定位结果!C289&lt;=0,0,1)</f>
        <v>0</v>
      </c>
      <c r="D289" s="4">
        <f>IF(澳门新定位结果!D289&lt;=0,0,1)</f>
        <v>0</v>
      </c>
      <c r="E289" s="4">
        <f>IF(澳门新定位结果!E289&lt;=0,0,1)</f>
        <v>1</v>
      </c>
      <c r="F289" s="4">
        <f>IF(澳门新定位结果!F289&lt;=0,0,1)</f>
        <v>0</v>
      </c>
      <c r="G289" s="4">
        <f>IF(澳门新定位结果!G289&lt;=0,0,1)</f>
        <v>1</v>
      </c>
      <c r="H289" s="4">
        <f>IF(澳门新定位结果!H289&lt;=0,0,1)</f>
        <v>0</v>
      </c>
      <c r="I289" s="4">
        <f>IF(澳门新定位结果!I289&lt;=0,0,1)</f>
        <v>1</v>
      </c>
      <c r="J289" s="4">
        <f>IF(澳门新定位结果!J289&lt;=0,0,1)</f>
        <v>0</v>
      </c>
      <c r="K289" s="4">
        <f>IF(澳门新定位结果!K289&lt;=0,0,1)</f>
        <v>0</v>
      </c>
      <c r="L289" s="4">
        <f>IF(澳门新定位结果!L289&lt;=0,0,1)</f>
        <v>0</v>
      </c>
      <c r="M289" s="4">
        <f>IF(澳门新定位结果!M289&lt;=0,0,1)</f>
        <v>0</v>
      </c>
      <c r="N289" s="4">
        <f>IF(澳门新定位结果!N289&lt;=0,0,1)</f>
        <v>0</v>
      </c>
      <c r="O289" s="4">
        <f>IF(澳门新定位结果!O289&lt;=0,0,1)</f>
        <v>1</v>
      </c>
    </row>
    <row r="290" spans="1:15">
      <c r="A290" s="4" t="s">
        <v>599</v>
      </c>
      <c r="B290" s="4">
        <f>IF(澳门新定位结果!B290&lt;=0,0,1)</f>
        <v>0</v>
      </c>
      <c r="C290" s="4">
        <f>IF(澳门新定位结果!C290&lt;=0,0,1)</f>
        <v>0</v>
      </c>
      <c r="D290" s="4">
        <f>IF(澳门新定位结果!D290&lt;=0,0,1)</f>
        <v>1</v>
      </c>
      <c r="E290" s="4">
        <f>IF(澳门新定位结果!E290&lt;=0,0,1)</f>
        <v>0</v>
      </c>
      <c r="F290" s="4">
        <f>IF(澳门新定位结果!F290&lt;=0,0,1)</f>
        <v>1</v>
      </c>
      <c r="G290" s="4">
        <f>IF(澳门新定位结果!G290&lt;=0,0,1)</f>
        <v>0</v>
      </c>
      <c r="H290" s="4">
        <f>IF(澳门新定位结果!H290&lt;=0,0,1)</f>
        <v>0</v>
      </c>
      <c r="I290" s="4">
        <f>IF(澳门新定位结果!I290&lt;=0,0,1)</f>
        <v>0</v>
      </c>
      <c r="J290" s="4">
        <f>IF(澳门新定位结果!J290&lt;=0,0,1)</f>
        <v>0</v>
      </c>
      <c r="K290" s="4">
        <f>IF(澳门新定位结果!K290&lt;=0,0,1)</f>
        <v>0</v>
      </c>
      <c r="L290" s="4">
        <f>IF(澳门新定位结果!L290&lt;=0,0,1)</f>
        <v>0</v>
      </c>
      <c r="M290" s="4">
        <f>IF(澳门新定位结果!M290&lt;=0,0,1)</f>
        <v>1</v>
      </c>
      <c r="N290" s="4">
        <f>IF(澳门新定位结果!N290&lt;=0,0,1)</f>
        <v>1</v>
      </c>
      <c r="O290" s="4">
        <f>IF(澳门新定位结果!O290&lt;=0,0,1)</f>
        <v>1</v>
      </c>
    </row>
    <row r="291" spans="1:15">
      <c r="A291" s="4" t="s">
        <v>601</v>
      </c>
      <c r="B291" s="4">
        <f>IF(澳门新定位结果!B291&lt;=0,0,1)</f>
        <v>0</v>
      </c>
      <c r="C291" s="4">
        <f>IF(澳门新定位结果!C291&lt;=0,0,1)</f>
        <v>1</v>
      </c>
      <c r="D291" s="4">
        <f>IF(澳门新定位结果!D291&lt;=0,0,1)</f>
        <v>0</v>
      </c>
      <c r="E291" s="4">
        <f>IF(澳门新定位结果!E291&lt;=0,0,1)</f>
        <v>0</v>
      </c>
      <c r="F291" s="4">
        <f>IF(澳门新定位结果!F291&lt;=0,0,1)</f>
        <v>0</v>
      </c>
      <c r="G291" s="4">
        <f>IF(澳门新定位结果!G291&lt;=0,0,1)</f>
        <v>0</v>
      </c>
      <c r="H291" s="4">
        <f>IF(澳门新定位结果!H291&lt;=0,0,1)</f>
        <v>0</v>
      </c>
      <c r="I291" s="4">
        <f>IF(澳门新定位结果!I291&lt;=0,0,1)</f>
        <v>0</v>
      </c>
      <c r="J291" s="4">
        <f>IF(澳门新定位结果!J291&lt;=0,0,1)</f>
        <v>1</v>
      </c>
      <c r="K291" s="4">
        <f>IF(澳门新定位结果!K291&lt;=0,0,1)</f>
        <v>1</v>
      </c>
      <c r="L291" s="4">
        <f>IF(澳门新定位结果!L291&lt;=0,0,1)</f>
        <v>0</v>
      </c>
      <c r="M291" s="4">
        <f>IF(澳门新定位结果!M291&lt;=0,0,1)</f>
        <v>1</v>
      </c>
      <c r="N291" s="4">
        <f>IF(澳门新定位结果!N291&lt;=0,0,1)</f>
        <v>1</v>
      </c>
      <c r="O291" s="4">
        <f>IF(澳门新定位结果!O291&lt;=0,0,1)</f>
        <v>0</v>
      </c>
    </row>
    <row r="292" spans="1:15">
      <c r="A292" s="4" t="s">
        <v>603</v>
      </c>
      <c r="B292" s="4">
        <f>IF(澳门新定位结果!B292&lt;=0,0,1)</f>
        <v>1</v>
      </c>
      <c r="C292" s="4">
        <f>IF(澳门新定位结果!C292&lt;=0,0,1)</f>
        <v>0</v>
      </c>
      <c r="D292" s="4">
        <f>IF(澳门新定位结果!D292&lt;=0,0,1)</f>
        <v>0</v>
      </c>
      <c r="E292" s="4">
        <f>IF(澳门新定位结果!E292&lt;=0,0,1)</f>
        <v>1</v>
      </c>
      <c r="F292" s="4">
        <f>IF(澳门新定位结果!F292&lt;=0,0,1)</f>
        <v>1</v>
      </c>
      <c r="G292" s="4">
        <f>IF(澳门新定位结果!G292&lt;=0,0,1)</f>
        <v>1</v>
      </c>
      <c r="H292" s="4">
        <f>IF(澳门新定位结果!H292&lt;=0,0,1)</f>
        <v>0</v>
      </c>
      <c r="I292" s="4">
        <f>IF(澳门新定位结果!I292&lt;=0,0,1)</f>
        <v>0</v>
      </c>
      <c r="J292" s="4">
        <f>IF(澳门新定位结果!J292&lt;=0,0,1)</f>
        <v>1</v>
      </c>
      <c r="K292" s="4">
        <f>IF(澳门新定位结果!K292&lt;=0,0,1)</f>
        <v>0</v>
      </c>
      <c r="L292" s="4">
        <f>IF(澳门新定位结果!L292&lt;=0,0,1)</f>
        <v>0</v>
      </c>
      <c r="M292" s="4">
        <f>IF(澳门新定位结果!M292&lt;=0,0,1)</f>
        <v>1</v>
      </c>
      <c r="N292" s="4">
        <f>IF(澳门新定位结果!N292&lt;=0,0,1)</f>
        <v>0</v>
      </c>
      <c r="O292" s="4">
        <f>IF(澳门新定位结果!O292&lt;=0,0,1)</f>
        <v>0</v>
      </c>
    </row>
    <row r="293" spans="1:15">
      <c r="A293" s="4" t="s">
        <v>605</v>
      </c>
      <c r="B293" s="4">
        <f>IF(澳门新定位结果!B293&lt;=0,0,1)</f>
        <v>1</v>
      </c>
      <c r="C293" s="4">
        <f>IF(澳门新定位结果!C293&lt;=0,0,1)</f>
        <v>0</v>
      </c>
      <c r="D293" s="4">
        <f>IF(澳门新定位结果!D293&lt;=0,0,1)</f>
        <v>1</v>
      </c>
      <c r="E293" s="4">
        <f>IF(澳门新定位结果!E293&lt;=0,0,1)</f>
        <v>1</v>
      </c>
      <c r="F293" s="4">
        <f>IF(澳门新定位结果!F293&lt;=0,0,1)</f>
        <v>0</v>
      </c>
      <c r="G293" s="4">
        <f>IF(澳门新定位结果!G293&lt;=0,0,1)</f>
        <v>0</v>
      </c>
      <c r="H293" s="4">
        <f>IF(澳门新定位结果!H293&lt;=0,0,1)</f>
        <v>0</v>
      </c>
      <c r="I293" s="4">
        <f>IF(澳门新定位结果!I293&lt;=0,0,1)</f>
        <v>0</v>
      </c>
      <c r="J293" s="4">
        <f>IF(澳门新定位结果!J293&lt;=0,0,1)</f>
        <v>0</v>
      </c>
      <c r="K293" s="4">
        <f>IF(澳门新定位结果!K293&lt;=0,0,1)</f>
        <v>1</v>
      </c>
      <c r="L293" s="4">
        <f>IF(澳门新定位结果!L293&lt;=0,0,1)</f>
        <v>1</v>
      </c>
      <c r="M293" s="4">
        <f>IF(澳门新定位结果!M293&lt;=0,0,1)</f>
        <v>1</v>
      </c>
      <c r="N293" s="4">
        <f>IF(澳门新定位结果!N293&lt;=0,0,1)</f>
        <v>1</v>
      </c>
      <c r="O293" s="4">
        <f>IF(澳门新定位结果!O293&lt;=0,0,1)</f>
        <v>0</v>
      </c>
    </row>
    <row r="294" spans="1:15">
      <c r="A294" s="4" t="s">
        <v>607</v>
      </c>
      <c r="B294" s="4">
        <f>IF(澳门新定位结果!B294&lt;=0,0,1)</f>
        <v>0</v>
      </c>
      <c r="C294" s="4">
        <f>IF(澳门新定位结果!C294&lt;=0,0,1)</f>
        <v>1</v>
      </c>
      <c r="D294" s="4">
        <f>IF(澳门新定位结果!D294&lt;=0,0,1)</f>
        <v>1</v>
      </c>
      <c r="E294" s="4">
        <f>IF(澳门新定位结果!E294&lt;=0,0,1)</f>
        <v>0</v>
      </c>
      <c r="F294" s="4">
        <f>IF(澳门新定位结果!F294&lt;=0,0,1)</f>
        <v>1</v>
      </c>
      <c r="G294" s="4">
        <f>IF(澳门新定位结果!G294&lt;=0,0,1)</f>
        <v>1</v>
      </c>
      <c r="H294" s="4">
        <f>IF(澳门新定位结果!H294&lt;=0,0,1)</f>
        <v>1</v>
      </c>
      <c r="I294" s="4">
        <f>IF(澳门新定位结果!I294&lt;=0,0,1)</f>
        <v>1</v>
      </c>
      <c r="J294" s="4">
        <f>IF(澳门新定位结果!J294&lt;=0,0,1)</f>
        <v>0</v>
      </c>
      <c r="K294" s="4">
        <f>IF(澳门新定位结果!K294&lt;=0,0,1)</f>
        <v>1</v>
      </c>
      <c r="L294" s="4">
        <f>IF(澳门新定位结果!L294&lt;=0,0,1)</f>
        <v>1</v>
      </c>
      <c r="M294" s="4">
        <f>IF(澳门新定位结果!M294&lt;=0,0,1)</f>
        <v>0</v>
      </c>
      <c r="N294" s="4">
        <f>IF(澳门新定位结果!N294&lt;=0,0,1)</f>
        <v>0</v>
      </c>
      <c r="O294" s="4">
        <f>IF(澳门新定位结果!O294&lt;=0,0,1)</f>
        <v>0</v>
      </c>
    </row>
    <row r="295" spans="1:15">
      <c r="A295" s="4" t="s">
        <v>609</v>
      </c>
      <c r="B295" s="4">
        <f>IF(澳门新定位结果!B295&lt;=0,0,1)</f>
        <v>0</v>
      </c>
      <c r="C295" s="4">
        <f>IF(澳门新定位结果!C295&lt;=0,0,1)</f>
        <v>1</v>
      </c>
      <c r="D295" s="4">
        <f>IF(澳门新定位结果!D295&lt;=0,0,1)</f>
        <v>0</v>
      </c>
      <c r="E295" s="4">
        <f>IF(澳门新定位结果!E295&lt;=0,0,1)</f>
        <v>1</v>
      </c>
      <c r="F295" s="4">
        <f>IF(澳门新定位结果!F295&lt;=0,0,1)</f>
        <v>1</v>
      </c>
      <c r="G295" s="4">
        <f>IF(澳门新定位结果!G295&lt;=0,0,1)</f>
        <v>1</v>
      </c>
      <c r="H295" s="4">
        <f>IF(澳门新定位结果!H295&lt;=0,0,1)</f>
        <v>0</v>
      </c>
      <c r="I295" s="4">
        <f>IF(澳门新定位结果!I295&lt;=0,0,1)</f>
        <v>0</v>
      </c>
      <c r="J295" s="4">
        <f>IF(澳门新定位结果!J295&lt;=0,0,1)</f>
        <v>1</v>
      </c>
      <c r="K295" s="4">
        <f>IF(澳门新定位结果!K295&lt;=0,0,1)</f>
        <v>1</v>
      </c>
      <c r="L295" s="4">
        <f>IF(澳门新定位结果!L295&lt;=0,0,1)</f>
        <v>1</v>
      </c>
      <c r="M295" s="4">
        <f>IF(澳门新定位结果!M295&lt;=0,0,1)</f>
        <v>0</v>
      </c>
      <c r="N295" s="4">
        <f>IF(澳门新定位结果!N295&lt;=0,0,1)</f>
        <v>0</v>
      </c>
      <c r="O295" s="4">
        <f>IF(澳门新定位结果!O295&lt;=0,0,1)</f>
        <v>1</v>
      </c>
    </row>
    <row r="296" spans="1:15">
      <c r="A296" s="4" t="s">
        <v>611</v>
      </c>
      <c r="B296" s="4">
        <f>IF(澳门新定位结果!B296&lt;=0,0,1)</f>
        <v>0</v>
      </c>
      <c r="C296" s="4">
        <f>IF(澳门新定位结果!C296&lt;=0,0,1)</f>
        <v>0</v>
      </c>
      <c r="D296" s="4">
        <f>IF(澳门新定位结果!D296&lt;=0,0,1)</f>
        <v>1</v>
      </c>
      <c r="E296" s="4">
        <f>IF(澳门新定位结果!E296&lt;=0,0,1)</f>
        <v>0</v>
      </c>
      <c r="F296" s="4">
        <f>IF(澳门新定位结果!F296&lt;=0,0,1)</f>
        <v>0</v>
      </c>
      <c r="G296" s="4">
        <f>IF(澳门新定位结果!G296&lt;=0,0,1)</f>
        <v>0</v>
      </c>
      <c r="H296" s="4">
        <f>IF(澳门新定位结果!H296&lt;=0,0,1)</f>
        <v>1</v>
      </c>
      <c r="I296" s="4">
        <f>IF(澳门新定位结果!I296&lt;=0,0,1)</f>
        <v>0</v>
      </c>
      <c r="J296" s="4">
        <f>IF(澳门新定位结果!J296&lt;=0,0,1)</f>
        <v>1</v>
      </c>
      <c r="K296" s="4">
        <f>IF(澳门新定位结果!K296&lt;=0,0,1)</f>
        <v>1</v>
      </c>
      <c r="L296" s="4">
        <f>IF(澳门新定位结果!L296&lt;=0,0,1)</f>
        <v>1</v>
      </c>
      <c r="M296" s="4">
        <f>IF(澳门新定位结果!M296&lt;=0,0,1)</f>
        <v>0</v>
      </c>
      <c r="N296" s="4">
        <f>IF(澳门新定位结果!N296&lt;=0,0,1)</f>
        <v>1</v>
      </c>
      <c r="O296" s="4">
        <f>IF(澳门新定位结果!O296&lt;=0,0,1)</f>
        <v>0</v>
      </c>
    </row>
    <row r="297" spans="1:15">
      <c r="A297" s="4" t="s">
        <v>613</v>
      </c>
      <c r="B297" s="4">
        <f>IF(澳门新定位结果!B297&lt;=0,0,1)</f>
        <v>1</v>
      </c>
      <c r="C297" s="4">
        <f>IF(澳门新定位结果!C297&lt;=0,0,1)</f>
        <v>0</v>
      </c>
      <c r="D297" s="4">
        <f>IF(澳门新定位结果!D297&lt;=0,0,1)</f>
        <v>0</v>
      </c>
      <c r="E297" s="4">
        <f>IF(澳门新定位结果!E297&lt;=0,0,1)</f>
        <v>1</v>
      </c>
      <c r="F297" s="4">
        <f>IF(澳门新定位结果!F297&lt;=0,0,1)</f>
        <v>1</v>
      </c>
      <c r="G297" s="4">
        <f>IF(澳门新定位结果!G297&lt;=0,0,1)</f>
        <v>1</v>
      </c>
      <c r="H297" s="4">
        <f>IF(澳门新定位结果!H297&lt;=0,0,1)</f>
        <v>0</v>
      </c>
      <c r="I297" s="4">
        <f>IF(澳门新定位结果!I297&lt;=0,0,1)</f>
        <v>1</v>
      </c>
      <c r="J297" s="4">
        <f>IF(澳门新定位结果!J297&lt;=0,0,1)</f>
        <v>0</v>
      </c>
      <c r="K297" s="4">
        <f>IF(澳门新定位结果!K297&lt;=0,0,1)</f>
        <v>0</v>
      </c>
      <c r="L297" s="4">
        <f>IF(澳门新定位结果!L297&lt;=0,0,1)</f>
        <v>1</v>
      </c>
      <c r="M297" s="4">
        <f>IF(澳门新定位结果!M297&lt;=0,0,1)</f>
        <v>0</v>
      </c>
      <c r="N297" s="4">
        <f>IF(澳门新定位结果!N297&lt;=0,0,1)</f>
        <v>0</v>
      </c>
      <c r="O297" s="4">
        <f>IF(澳门新定位结果!O297&lt;=0,0,1)</f>
        <v>0</v>
      </c>
    </row>
    <row r="298" spans="1:15">
      <c r="A298" s="4" t="s">
        <v>615</v>
      </c>
      <c r="B298" s="4">
        <f>IF(澳门新定位结果!B298&lt;=0,0,1)</f>
        <v>0</v>
      </c>
      <c r="C298" s="4">
        <f>IF(澳门新定位结果!C298&lt;=0,0,1)</f>
        <v>0</v>
      </c>
      <c r="D298" s="4">
        <f>IF(澳门新定位结果!D298&lt;=0,0,1)</f>
        <v>1</v>
      </c>
      <c r="E298" s="4">
        <f>IF(澳门新定位结果!E298&lt;=0,0,1)</f>
        <v>0</v>
      </c>
      <c r="F298" s="4">
        <f>IF(澳门新定位结果!F298&lt;=0,0,1)</f>
        <v>1</v>
      </c>
      <c r="G298" s="4">
        <f>IF(澳门新定位结果!G298&lt;=0,0,1)</f>
        <v>0</v>
      </c>
      <c r="H298" s="4">
        <f>IF(澳门新定位结果!H298&lt;=0,0,1)</f>
        <v>0</v>
      </c>
      <c r="I298" s="4">
        <f>IF(澳门新定位结果!I298&lt;=0,0,1)</f>
        <v>0</v>
      </c>
      <c r="J298" s="4">
        <f>IF(澳门新定位结果!J298&lt;=0,0,1)</f>
        <v>0</v>
      </c>
      <c r="K298" s="4">
        <f>IF(澳门新定位结果!K298&lt;=0,0,1)</f>
        <v>0</v>
      </c>
      <c r="L298" s="4">
        <f>IF(澳门新定位结果!L298&lt;=0,0,1)</f>
        <v>0</v>
      </c>
      <c r="M298" s="4">
        <f>IF(澳门新定位结果!M298&lt;=0,0,1)</f>
        <v>0</v>
      </c>
      <c r="N298" s="4">
        <f>IF(澳门新定位结果!N298&lt;=0,0,1)</f>
        <v>0</v>
      </c>
      <c r="O298" s="4">
        <f>IF(澳门新定位结果!O298&lt;=0,0,1)</f>
        <v>1</v>
      </c>
    </row>
    <row r="299" spans="1:15">
      <c r="A299" s="4" t="s">
        <v>617</v>
      </c>
      <c r="B299" s="4">
        <f>IF(澳门新定位结果!B299&lt;=0,0,1)</f>
        <v>0</v>
      </c>
      <c r="C299" s="4">
        <f>IF(澳门新定位结果!C299&lt;=0,0,1)</f>
        <v>1</v>
      </c>
      <c r="D299" s="4">
        <f>IF(澳门新定位结果!D299&lt;=0,0,1)</f>
        <v>0</v>
      </c>
      <c r="E299" s="4">
        <f>IF(澳门新定位结果!E299&lt;=0,0,1)</f>
        <v>0</v>
      </c>
      <c r="F299" s="4">
        <f>IF(澳门新定位结果!F299&lt;=0,0,1)</f>
        <v>0</v>
      </c>
      <c r="G299" s="4">
        <f>IF(澳门新定位结果!G299&lt;=0,0,1)</f>
        <v>0</v>
      </c>
      <c r="H299" s="4">
        <f>IF(澳门新定位结果!H299&lt;=0,0,1)</f>
        <v>0</v>
      </c>
      <c r="I299" s="4">
        <f>IF(澳门新定位结果!I299&lt;=0,0,1)</f>
        <v>1</v>
      </c>
      <c r="J299" s="4">
        <f>IF(澳门新定位结果!J299&lt;=0,0,1)</f>
        <v>0</v>
      </c>
      <c r="K299" s="4">
        <f>IF(澳门新定位结果!K299&lt;=0,0,1)</f>
        <v>1</v>
      </c>
      <c r="L299" s="4">
        <f>IF(澳门新定位结果!L299&lt;=0,0,1)</f>
        <v>1</v>
      </c>
      <c r="M299" s="4">
        <f>IF(澳门新定位结果!M299&lt;=0,0,1)</f>
        <v>0</v>
      </c>
      <c r="N299" s="4">
        <f>IF(澳门新定位结果!N299&lt;=0,0,1)</f>
        <v>1</v>
      </c>
      <c r="O299" s="4">
        <f>IF(澳门新定位结果!O299&lt;=0,0,1)</f>
        <v>1</v>
      </c>
    </row>
    <row r="300" spans="1:15">
      <c r="A300" s="4" t="s">
        <v>619</v>
      </c>
      <c r="B300" s="4">
        <f>IF(澳门新定位结果!B300&lt;=0,0,1)</f>
        <v>1</v>
      </c>
      <c r="C300" s="4">
        <f>IF(澳门新定位结果!C300&lt;=0,0,1)</f>
        <v>1</v>
      </c>
      <c r="D300" s="4">
        <f>IF(澳门新定位结果!D300&lt;=0,0,1)</f>
        <v>0</v>
      </c>
      <c r="E300" s="4">
        <f>IF(澳门新定位结果!E300&lt;=0,0,1)</f>
        <v>0</v>
      </c>
      <c r="F300" s="4">
        <f>IF(澳门新定位结果!F300&lt;=0,0,1)</f>
        <v>0</v>
      </c>
      <c r="G300" s="4">
        <f>IF(澳门新定位结果!G300&lt;=0,0,1)</f>
        <v>0</v>
      </c>
      <c r="H300" s="4">
        <f>IF(澳门新定位结果!H300&lt;=0,0,1)</f>
        <v>0</v>
      </c>
      <c r="I300" s="4">
        <f>IF(澳门新定位结果!I300&lt;=0,0,1)</f>
        <v>1</v>
      </c>
      <c r="J300" s="4">
        <f>IF(澳门新定位结果!J300&lt;=0,0,1)</f>
        <v>0</v>
      </c>
      <c r="K300" s="4">
        <f>IF(澳门新定位结果!K300&lt;=0,0,1)</f>
        <v>1</v>
      </c>
      <c r="L300" s="4">
        <f>IF(澳门新定位结果!L300&lt;=0,0,1)</f>
        <v>1</v>
      </c>
      <c r="M300" s="4">
        <f>IF(澳门新定位结果!M300&lt;=0,0,1)</f>
        <v>1</v>
      </c>
      <c r="N300" s="4">
        <f>IF(澳门新定位结果!N300&lt;=0,0,1)</f>
        <v>1</v>
      </c>
      <c r="O300" s="4">
        <f>IF(澳门新定位结果!O300&lt;=0,0,1)</f>
        <v>0</v>
      </c>
    </row>
    <row r="301" spans="1:15">
      <c r="A301" s="4" t="s">
        <v>621</v>
      </c>
      <c r="B301" s="4">
        <f>IF(澳门新定位结果!B301&lt;=0,0,1)</f>
        <v>1</v>
      </c>
      <c r="C301" s="4">
        <f>IF(澳门新定位结果!C301&lt;=0,0,1)</f>
        <v>1</v>
      </c>
      <c r="D301" s="4">
        <f>IF(澳门新定位结果!D301&lt;=0,0,1)</f>
        <v>0</v>
      </c>
      <c r="E301" s="4">
        <f>IF(澳门新定位结果!E301&lt;=0,0,1)</f>
        <v>0</v>
      </c>
      <c r="F301" s="4">
        <f>IF(澳门新定位结果!F301&lt;=0,0,1)</f>
        <v>0</v>
      </c>
      <c r="G301" s="4">
        <f>IF(澳门新定位结果!G301&lt;=0,0,1)</f>
        <v>1</v>
      </c>
      <c r="H301" s="4">
        <f>IF(澳门新定位结果!H301&lt;=0,0,1)</f>
        <v>1</v>
      </c>
      <c r="I301" s="4">
        <f>IF(澳门新定位结果!I301&lt;=0,0,1)</f>
        <v>1</v>
      </c>
      <c r="J301" s="4">
        <f>IF(澳门新定位结果!J301&lt;=0,0,1)</f>
        <v>1</v>
      </c>
      <c r="K301" s="4">
        <f>IF(澳门新定位结果!K301&lt;=0,0,1)</f>
        <v>1</v>
      </c>
      <c r="L301" s="4">
        <f>IF(澳门新定位结果!L301&lt;=0,0,1)</f>
        <v>1</v>
      </c>
      <c r="M301" s="4">
        <f>IF(澳门新定位结果!M301&lt;=0,0,1)</f>
        <v>1</v>
      </c>
      <c r="N301" s="4">
        <f>IF(澳门新定位结果!N301&lt;=0,0,1)</f>
        <v>0</v>
      </c>
      <c r="O301" s="4">
        <f>IF(澳门新定位结果!O301&lt;=0,0,1)</f>
        <v>0</v>
      </c>
    </row>
    <row r="302" spans="1:15">
      <c r="A302" s="4" t="s">
        <v>623</v>
      </c>
      <c r="B302" s="4">
        <f>IF(澳门新定位结果!B302&lt;=0,0,1)</f>
        <v>1</v>
      </c>
      <c r="C302" s="4">
        <f>IF(澳门新定位结果!C302&lt;=0,0,1)</f>
        <v>1</v>
      </c>
      <c r="D302" s="4">
        <f>IF(澳门新定位结果!D302&lt;=0,0,1)</f>
        <v>0</v>
      </c>
      <c r="E302" s="4">
        <f>IF(澳门新定位结果!E302&lt;=0,0,1)</f>
        <v>0</v>
      </c>
      <c r="F302" s="4">
        <f>IF(澳门新定位结果!F302&lt;=0,0,1)</f>
        <v>1</v>
      </c>
      <c r="G302" s="4">
        <f>IF(澳门新定位结果!G302&lt;=0,0,1)</f>
        <v>0</v>
      </c>
      <c r="H302" s="4">
        <f>IF(澳门新定位结果!H302&lt;=0,0,1)</f>
        <v>0</v>
      </c>
      <c r="I302" s="4">
        <f>IF(澳门新定位结果!I302&lt;=0,0,1)</f>
        <v>1</v>
      </c>
      <c r="J302" s="4">
        <f>IF(澳门新定位结果!J302&lt;=0,0,1)</f>
        <v>1</v>
      </c>
      <c r="K302" s="4">
        <f>IF(澳门新定位结果!K302&lt;=0,0,1)</f>
        <v>1</v>
      </c>
      <c r="L302" s="4">
        <f>IF(澳门新定位结果!L302&lt;=0,0,1)</f>
        <v>1</v>
      </c>
      <c r="M302" s="4">
        <f>IF(澳门新定位结果!M302&lt;=0,0,1)</f>
        <v>0</v>
      </c>
      <c r="N302" s="4">
        <f>IF(澳门新定位结果!N302&lt;=0,0,1)</f>
        <v>0</v>
      </c>
      <c r="O302" s="4">
        <f>IF(澳门新定位结果!O302&lt;=0,0,1)</f>
        <v>1</v>
      </c>
    </row>
    <row r="303" spans="1:15">
      <c r="A303" s="4" t="s">
        <v>625</v>
      </c>
      <c r="B303" s="4">
        <f>IF(澳门新定位结果!B303&lt;=0,0,1)</f>
        <v>1</v>
      </c>
      <c r="C303" s="4">
        <f>IF(澳门新定位结果!C303&lt;=0,0,1)</f>
        <v>1</v>
      </c>
      <c r="D303" s="4">
        <f>IF(澳门新定位结果!D303&lt;=0,0,1)</f>
        <v>0</v>
      </c>
      <c r="E303" s="4">
        <f>IF(澳门新定位结果!E303&lt;=0,0,1)</f>
        <v>0</v>
      </c>
      <c r="F303" s="4">
        <f>IF(澳门新定位结果!F303&lt;=0,0,1)</f>
        <v>0</v>
      </c>
      <c r="G303" s="4">
        <f>IF(澳门新定位结果!G303&lt;=0,0,1)</f>
        <v>1</v>
      </c>
      <c r="H303" s="4">
        <f>IF(澳门新定位结果!H303&lt;=0,0,1)</f>
        <v>1</v>
      </c>
      <c r="I303" s="4">
        <f>IF(澳门新定位结果!I303&lt;=0,0,1)</f>
        <v>1</v>
      </c>
      <c r="J303" s="4">
        <f>IF(澳门新定位结果!J303&lt;=0,0,1)</f>
        <v>1</v>
      </c>
      <c r="K303" s="4">
        <f>IF(澳门新定位结果!K303&lt;=0,0,1)</f>
        <v>0</v>
      </c>
      <c r="L303" s="4">
        <f>IF(澳门新定位结果!L303&lt;=0,0,1)</f>
        <v>1</v>
      </c>
      <c r="M303" s="4">
        <f>IF(澳门新定位结果!M303&lt;=0,0,1)</f>
        <v>0</v>
      </c>
      <c r="N303" s="4">
        <f>IF(澳门新定位结果!N303&lt;=0,0,1)</f>
        <v>1</v>
      </c>
      <c r="O303" s="4">
        <f>IF(澳门新定位结果!O303&lt;=0,0,1)</f>
        <v>1</v>
      </c>
    </row>
    <row r="304" spans="1:15">
      <c r="A304" s="4" t="s">
        <v>627</v>
      </c>
      <c r="B304" s="4">
        <f>IF(澳门新定位结果!B304&lt;=0,0,1)</f>
        <v>0</v>
      </c>
      <c r="C304" s="4">
        <f>IF(澳门新定位结果!C304&lt;=0,0,1)</f>
        <v>0</v>
      </c>
      <c r="D304" s="4">
        <f>IF(澳门新定位结果!D304&lt;=0,0,1)</f>
        <v>1</v>
      </c>
      <c r="E304" s="4">
        <f>IF(澳门新定位结果!E304&lt;=0,0,1)</f>
        <v>1</v>
      </c>
      <c r="F304" s="4">
        <f>IF(澳门新定位结果!F304&lt;=0,0,1)</f>
        <v>0</v>
      </c>
      <c r="G304" s="4">
        <f>IF(澳门新定位结果!G304&lt;=0,0,1)</f>
        <v>0</v>
      </c>
      <c r="H304" s="4">
        <f>IF(澳门新定位结果!H304&lt;=0,0,1)</f>
        <v>1</v>
      </c>
      <c r="I304" s="4">
        <f>IF(澳门新定位结果!I304&lt;=0,0,1)</f>
        <v>1</v>
      </c>
      <c r="J304" s="4">
        <f>IF(澳门新定位结果!J304&lt;=0,0,1)</f>
        <v>0</v>
      </c>
      <c r="K304" s="4">
        <f>IF(澳门新定位结果!K304&lt;=0,0,1)</f>
        <v>0</v>
      </c>
      <c r="L304" s="4">
        <f>IF(澳门新定位结果!L304&lt;=0,0,1)</f>
        <v>0</v>
      </c>
      <c r="M304" s="4">
        <f>IF(澳门新定位结果!M304&lt;=0,0,1)</f>
        <v>0</v>
      </c>
      <c r="N304" s="4">
        <f>IF(澳门新定位结果!N304&lt;=0,0,1)</f>
        <v>1</v>
      </c>
      <c r="O304" s="4">
        <f>IF(澳门新定位结果!O304&lt;=0,0,1)</f>
        <v>0</v>
      </c>
    </row>
    <row r="305" spans="1:15">
      <c r="A305" s="4" t="s">
        <v>629</v>
      </c>
      <c r="B305" s="4">
        <f>IF(澳门新定位结果!B305&lt;=0,0,1)</f>
        <v>0</v>
      </c>
      <c r="C305" s="4">
        <f>IF(澳门新定位结果!C305&lt;=0,0,1)</f>
        <v>1</v>
      </c>
      <c r="D305" s="4">
        <f>IF(澳门新定位结果!D305&lt;=0,0,1)</f>
        <v>0</v>
      </c>
      <c r="E305" s="4">
        <f>IF(澳门新定位结果!E305&lt;=0,0,1)</f>
        <v>1</v>
      </c>
      <c r="F305" s="4">
        <f>IF(澳门新定位结果!F305&lt;=0,0,1)</f>
        <v>1</v>
      </c>
      <c r="G305" s="4">
        <f>IF(澳门新定位结果!G305&lt;=0,0,1)</f>
        <v>0</v>
      </c>
      <c r="H305" s="4">
        <f>IF(澳门新定位结果!H305&lt;=0,0,1)</f>
        <v>0</v>
      </c>
      <c r="I305" s="4">
        <f>IF(澳门新定位结果!I305&lt;=0,0,1)</f>
        <v>1</v>
      </c>
      <c r="J305" s="4">
        <f>IF(澳门新定位结果!J305&lt;=0,0,1)</f>
        <v>0</v>
      </c>
      <c r="K305" s="4">
        <f>IF(澳门新定位结果!K305&lt;=0,0,1)</f>
        <v>1</v>
      </c>
      <c r="L305" s="4">
        <f>IF(澳门新定位结果!L305&lt;=0,0,1)</f>
        <v>0</v>
      </c>
      <c r="M305" s="4">
        <f>IF(澳门新定位结果!M305&lt;=0,0,1)</f>
        <v>0</v>
      </c>
      <c r="N305" s="4">
        <f>IF(澳门新定位结果!N305&lt;=0,0,1)</f>
        <v>0</v>
      </c>
      <c r="O305" s="4">
        <f>IF(澳门新定位结果!O305&lt;=0,0,1)</f>
        <v>1</v>
      </c>
    </row>
    <row r="306" spans="1:15">
      <c r="A306" s="4" t="s">
        <v>631</v>
      </c>
      <c r="B306" s="4">
        <f>IF(澳门新定位结果!B306&lt;=0,0,1)</f>
        <v>0</v>
      </c>
      <c r="C306" s="4">
        <f>IF(澳门新定位结果!C306&lt;=0,0,1)</f>
        <v>0</v>
      </c>
      <c r="D306" s="4">
        <f>IF(澳门新定位结果!D306&lt;=0,0,1)</f>
        <v>0</v>
      </c>
      <c r="E306" s="4">
        <f>IF(澳门新定位结果!E306&lt;=0,0,1)</f>
        <v>0</v>
      </c>
      <c r="F306" s="4">
        <f>IF(澳门新定位结果!F306&lt;=0,0,1)</f>
        <v>0</v>
      </c>
      <c r="G306" s="4">
        <f>IF(澳门新定位结果!G306&lt;=0,0,1)</f>
        <v>0</v>
      </c>
      <c r="H306" s="4">
        <f>IF(澳门新定位结果!H306&lt;=0,0,1)</f>
        <v>1</v>
      </c>
      <c r="I306" s="4">
        <f>IF(澳门新定位结果!I306&lt;=0,0,1)</f>
        <v>0</v>
      </c>
      <c r="J306" s="4">
        <f>IF(澳门新定位结果!J306&lt;=0,0,1)</f>
        <v>1</v>
      </c>
      <c r="K306" s="4">
        <f>IF(澳门新定位结果!K306&lt;=0,0,1)</f>
        <v>0</v>
      </c>
      <c r="L306" s="4">
        <f>IF(澳门新定位结果!L306&lt;=0,0,1)</f>
        <v>1</v>
      </c>
      <c r="M306" s="4">
        <f>IF(澳门新定位结果!M306&lt;=0,0,1)</f>
        <v>1</v>
      </c>
      <c r="N306" s="4">
        <f>IF(澳门新定位结果!N306&lt;=0,0,1)</f>
        <v>0</v>
      </c>
      <c r="O306" s="4">
        <f>IF(澳门新定位结果!O306&lt;=0,0,1)</f>
        <v>0</v>
      </c>
    </row>
    <row r="307" spans="1:15">
      <c r="A307" s="4" t="s">
        <v>633</v>
      </c>
      <c r="B307" s="4">
        <f>IF(澳门新定位结果!B307&lt;=0,0,1)</f>
        <v>0</v>
      </c>
      <c r="C307" s="4">
        <f>IF(澳门新定位结果!C307&lt;=0,0,1)</f>
        <v>1</v>
      </c>
      <c r="D307" s="4">
        <f>IF(澳门新定位结果!D307&lt;=0,0,1)</f>
        <v>0</v>
      </c>
      <c r="E307" s="4">
        <f>IF(澳门新定位结果!E307&lt;=0,0,1)</f>
        <v>0</v>
      </c>
      <c r="F307" s="4">
        <f>IF(澳门新定位结果!F307&lt;=0,0,1)</f>
        <v>1</v>
      </c>
      <c r="G307" s="4">
        <f>IF(澳门新定位结果!G307&lt;=0,0,1)</f>
        <v>0</v>
      </c>
      <c r="H307" s="4">
        <f>IF(澳门新定位结果!H307&lt;=0,0,1)</f>
        <v>1</v>
      </c>
      <c r="I307" s="4">
        <f>IF(澳门新定位结果!I307&lt;=0,0,1)</f>
        <v>1</v>
      </c>
      <c r="J307" s="4">
        <f>IF(澳门新定位结果!J307&lt;=0,0,1)</f>
        <v>1</v>
      </c>
      <c r="K307" s="4">
        <f>IF(澳门新定位结果!K307&lt;=0,0,1)</f>
        <v>0</v>
      </c>
      <c r="L307" s="4">
        <f>IF(澳门新定位结果!L307&lt;=0,0,1)</f>
        <v>1</v>
      </c>
      <c r="M307" s="4">
        <f>IF(澳门新定位结果!M307&lt;=0,0,1)</f>
        <v>0</v>
      </c>
      <c r="N307" s="4">
        <f>IF(澳门新定位结果!N307&lt;=0,0,1)</f>
        <v>0</v>
      </c>
      <c r="O307" s="4">
        <f>IF(澳门新定位结果!O307&lt;=0,0,1)</f>
        <v>1</v>
      </c>
    </row>
    <row r="308" spans="1:15">
      <c r="A308" s="4" t="s">
        <v>635</v>
      </c>
      <c r="B308" s="4">
        <f>IF(澳门新定位结果!B308&lt;=0,0,1)</f>
        <v>1</v>
      </c>
      <c r="C308" s="4">
        <f>IF(澳门新定位结果!C308&lt;=0,0,1)</f>
        <v>1</v>
      </c>
      <c r="D308" s="4">
        <f>IF(澳门新定位结果!D308&lt;=0,0,1)</f>
        <v>1</v>
      </c>
      <c r="E308" s="4">
        <f>IF(澳门新定位结果!E308&lt;=0,0,1)</f>
        <v>1</v>
      </c>
      <c r="F308" s="4">
        <f>IF(澳门新定位结果!F308&lt;=0,0,1)</f>
        <v>1</v>
      </c>
      <c r="G308" s="4">
        <f>IF(澳门新定位结果!G308&lt;=0,0,1)</f>
        <v>0</v>
      </c>
      <c r="H308" s="4">
        <f>IF(澳门新定位结果!H308&lt;=0,0,1)</f>
        <v>0</v>
      </c>
      <c r="I308" s="4">
        <f>IF(澳门新定位结果!I308&lt;=0,0,1)</f>
        <v>1</v>
      </c>
      <c r="J308" s="4">
        <f>IF(澳门新定位结果!J308&lt;=0,0,1)</f>
        <v>1</v>
      </c>
      <c r="K308" s="4">
        <f>IF(澳门新定位结果!K308&lt;=0,0,1)</f>
        <v>1</v>
      </c>
      <c r="L308" s="4">
        <f>IF(澳门新定位结果!L308&lt;=0,0,1)</f>
        <v>0</v>
      </c>
      <c r="M308" s="4">
        <f>IF(澳门新定位结果!M308&lt;=0,0,1)</f>
        <v>1</v>
      </c>
      <c r="N308" s="4">
        <f>IF(澳门新定位结果!N308&lt;=0,0,1)</f>
        <v>0</v>
      </c>
      <c r="O308" s="4">
        <f>IF(澳门新定位结果!O308&lt;=0,0,1)</f>
        <v>1</v>
      </c>
    </row>
    <row r="309" spans="1:15">
      <c r="A309" s="4" t="s">
        <v>637</v>
      </c>
      <c r="B309" s="4">
        <f>IF(澳门新定位结果!B309&lt;=0,0,1)</f>
        <v>1</v>
      </c>
      <c r="C309" s="4">
        <f>IF(澳门新定位结果!C309&lt;=0,0,1)</f>
        <v>0</v>
      </c>
      <c r="D309" s="4">
        <f>IF(澳门新定位结果!D309&lt;=0,0,1)</f>
        <v>0</v>
      </c>
      <c r="E309" s="4">
        <f>IF(澳门新定位结果!E309&lt;=0,0,1)</f>
        <v>1</v>
      </c>
      <c r="F309" s="4">
        <f>IF(澳门新定位结果!F309&lt;=0,0,1)</f>
        <v>1</v>
      </c>
      <c r="G309" s="4">
        <f>IF(澳门新定位结果!G309&lt;=0,0,1)</f>
        <v>1</v>
      </c>
      <c r="H309" s="4">
        <f>IF(澳门新定位结果!H309&lt;=0,0,1)</f>
        <v>1</v>
      </c>
      <c r="I309" s="4">
        <f>IF(澳门新定位结果!I309&lt;=0,0,1)</f>
        <v>1</v>
      </c>
      <c r="J309" s="4">
        <f>IF(澳门新定位结果!J309&lt;=0,0,1)</f>
        <v>0</v>
      </c>
      <c r="K309" s="4">
        <f>IF(澳门新定位结果!K309&lt;=0,0,1)</f>
        <v>0</v>
      </c>
      <c r="L309" s="4">
        <f>IF(澳门新定位结果!L309&lt;=0,0,1)</f>
        <v>0</v>
      </c>
      <c r="M309" s="4">
        <f>IF(澳门新定位结果!M309&lt;=0,0,1)</f>
        <v>0</v>
      </c>
      <c r="N309" s="4">
        <f>IF(澳门新定位结果!N309&lt;=0,0,1)</f>
        <v>0</v>
      </c>
      <c r="O309" s="4">
        <f>IF(澳门新定位结果!O309&lt;=0,0,1)</f>
        <v>0</v>
      </c>
    </row>
    <row r="310" spans="1:15">
      <c r="A310" s="4" t="s">
        <v>639</v>
      </c>
      <c r="B310" s="4">
        <f>IF(澳门新定位结果!B310&lt;=0,0,1)</f>
        <v>0</v>
      </c>
      <c r="C310" s="4">
        <f>IF(澳门新定位结果!C310&lt;=0,0,1)</f>
        <v>0</v>
      </c>
      <c r="D310" s="4">
        <f>IF(澳门新定位结果!D310&lt;=0,0,1)</f>
        <v>1</v>
      </c>
      <c r="E310" s="4">
        <f>IF(澳门新定位结果!E310&lt;=0,0,1)</f>
        <v>0</v>
      </c>
      <c r="F310" s="4">
        <f>IF(澳门新定位结果!F310&lt;=0,0,1)</f>
        <v>1</v>
      </c>
      <c r="G310" s="4">
        <f>IF(澳门新定位结果!G310&lt;=0,0,1)</f>
        <v>0</v>
      </c>
      <c r="H310" s="4">
        <f>IF(澳门新定位结果!H310&lt;=0,0,1)</f>
        <v>0</v>
      </c>
      <c r="I310" s="4">
        <f>IF(澳门新定位结果!I310&lt;=0,0,1)</f>
        <v>1</v>
      </c>
      <c r="J310" s="4">
        <f>IF(澳门新定位结果!J310&lt;=0,0,1)</f>
        <v>0</v>
      </c>
      <c r="K310" s="4">
        <f>IF(澳门新定位结果!K310&lt;=0,0,1)</f>
        <v>0</v>
      </c>
      <c r="L310" s="4">
        <f>IF(澳门新定位结果!L310&lt;=0,0,1)</f>
        <v>0</v>
      </c>
      <c r="M310" s="4">
        <f>IF(澳门新定位结果!M310&lt;=0,0,1)</f>
        <v>1</v>
      </c>
      <c r="N310" s="4">
        <f>IF(澳门新定位结果!N310&lt;=0,0,1)</f>
        <v>0</v>
      </c>
      <c r="O310" s="4">
        <f>IF(澳门新定位结果!O310&lt;=0,0,1)</f>
        <v>1</v>
      </c>
    </row>
    <row r="311" spans="1:15">
      <c r="A311" s="4" t="s">
        <v>641</v>
      </c>
      <c r="B311" s="4">
        <f>IF(澳门新定位结果!B311&lt;=0,0,1)</f>
        <v>1</v>
      </c>
      <c r="C311" s="4">
        <f>IF(澳门新定位结果!C311&lt;=0,0,1)</f>
        <v>1</v>
      </c>
      <c r="D311" s="4">
        <f>IF(澳门新定位结果!D311&lt;=0,0,1)</f>
        <v>1</v>
      </c>
      <c r="E311" s="4">
        <f>IF(澳门新定位结果!E311&lt;=0,0,1)</f>
        <v>0</v>
      </c>
      <c r="F311" s="4">
        <f>IF(澳门新定位结果!F311&lt;=0,0,1)</f>
        <v>0</v>
      </c>
      <c r="G311" s="4">
        <f>IF(澳门新定位结果!G311&lt;=0,0,1)</f>
        <v>0</v>
      </c>
      <c r="H311" s="4">
        <f>IF(澳门新定位结果!H311&lt;=0,0,1)</f>
        <v>1</v>
      </c>
      <c r="I311" s="4">
        <f>IF(澳门新定位结果!I311&lt;=0,0,1)</f>
        <v>1</v>
      </c>
      <c r="J311" s="4">
        <f>IF(澳门新定位结果!J311&lt;=0,0,1)</f>
        <v>1</v>
      </c>
      <c r="K311" s="4">
        <f>IF(澳门新定位结果!K311&lt;=0,0,1)</f>
        <v>1</v>
      </c>
      <c r="L311" s="4">
        <f>IF(澳门新定位结果!L311&lt;=0,0,1)</f>
        <v>1</v>
      </c>
      <c r="M311" s="4">
        <f>IF(澳门新定位结果!M311&lt;=0,0,1)</f>
        <v>1</v>
      </c>
      <c r="N311" s="4">
        <f>IF(澳门新定位结果!N311&lt;=0,0,1)</f>
        <v>1</v>
      </c>
      <c r="O311" s="4">
        <f>IF(澳门新定位结果!O311&lt;=0,0,1)</f>
        <v>0</v>
      </c>
    </row>
    <row r="312" spans="1:15">
      <c r="A312" s="4" t="s">
        <v>643</v>
      </c>
      <c r="B312" s="4">
        <f>IF(澳门新定位结果!B312&lt;=0,0,1)</f>
        <v>0</v>
      </c>
      <c r="C312" s="4">
        <f>IF(澳门新定位结果!C312&lt;=0,0,1)</f>
        <v>0</v>
      </c>
      <c r="D312" s="4">
        <f>IF(澳门新定位结果!D312&lt;=0,0,1)</f>
        <v>0</v>
      </c>
      <c r="E312" s="4">
        <f>IF(澳门新定位结果!E312&lt;=0,0,1)</f>
        <v>0</v>
      </c>
      <c r="F312" s="4">
        <f>IF(澳门新定位结果!F312&lt;=0,0,1)</f>
        <v>1</v>
      </c>
      <c r="G312" s="4">
        <f>IF(澳门新定位结果!G312&lt;=0,0,1)</f>
        <v>0</v>
      </c>
      <c r="H312" s="4">
        <f>IF(澳门新定位结果!H312&lt;=0,0,1)</f>
        <v>0</v>
      </c>
      <c r="I312" s="4">
        <f>IF(澳门新定位结果!I312&lt;=0,0,1)</f>
        <v>0</v>
      </c>
      <c r="J312" s="4">
        <f>IF(澳门新定位结果!J312&lt;=0,0,1)</f>
        <v>0</v>
      </c>
      <c r="K312" s="4">
        <f>IF(澳门新定位结果!K312&lt;=0,0,1)</f>
        <v>0</v>
      </c>
      <c r="L312" s="4">
        <f>IF(澳门新定位结果!L312&lt;=0,0,1)</f>
        <v>0</v>
      </c>
      <c r="M312" s="4">
        <f>IF(澳门新定位结果!M312&lt;=0,0,1)</f>
        <v>0</v>
      </c>
      <c r="N312" s="4">
        <f>IF(澳门新定位结果!N312&lt;=0,0,1)</f>
        <v>0</v>
      </c>
      <c r="O312" s="4">
        <f>IF(澳门新定位结果!O312&lt;=0,0,1)</f>
        <v>1</v>
      </c>
    </row>
    <row r="313" spans="1:15">
      <c r="A313" s="4" t="s">
        <v>645</v>
      </c>
      <c r="B313" s="4">
        <f>IF(澳门新定位结果!B313&lt;=0,0,1)</f>
        <v>0</v>
      </c>
      <c r="C313" s="4">
        <f>IF(澳门新定位结果!C313&lt;=0,0,1)</f>
        <v>1</v>
      </c>
      <c r="D313" s="4">
        <f>IF(澳门新定位结果!D313&lt;=0,0,1)</f>
        <v>1</v>
      </c>
      <c r="E313" s="4">
        <f>IF(澳门新定位结果!E313&lt;=0,0,1)</f>
        <v>0</v>
      </c>
      <c r="F313" s="4">
        <f>IF(澳门新定位结果!F313&lt;=0,0,1)</f>
        <v>0</v>
      </c>
      <c r="G313" s="4">
        <f>IF(澳门新定位结果!G313&lt;=0,0,1)</f>
        <v>0</v>
      </c>
      <c r="H313" s="4">
        <f>IF(澳门新定位结果!H313&lt;=0,0,1)</f>
        <v>1</v>
      </c>
      <c r="I313" s="4">
        <f>IF(澳门新定位结果!I313&lt;=0,0,1)</f>
        <v>1</v>
      </c>
      <c r="J313" s="4">
        <f>IF(澳门新定位结果!J313&lt;=0,0,1)</f>
        <v>0</v>
      </c>
      <c r="K313" s="4">
        <f>IF(澳门新定位结果!K313&lt;=0,0,1)</f>
        <v>0</v>
      </c>
      <c r="L313" s="4">
        <f>IF(澳门新定位结果!L313&lt;=0,0,1)</f>
        <v>0</v>
      </c>
      <c r="M313" s="4">
        <f>IF(澳门新定位结果!M313&lt;=0,0,1)</f>
        <v>1</v>
      </c>
      <c r="N313" s="4">
        <f>IF(澳门新定位结果!N313&lt;=0,0,1)</f>
        <v>1</v>
      </c>
      <c r="O313" s="4">
        <f>IF(澳门新定位结果!O313&lt;=0,0,1)</f>
        <v>1</v>
      </c>
    </row>
    <row r="314" spans="1:15">
      <c r="A314" s="4" t="s">
        <v>647</v>
      </c>
      <c r="B314" s="4">
        <f>IF(澳门新定位结果!B314&lt;=0,0,1)</f>
        <v>0</v>
      </c>
      <c r="C314" s="4">
        <f>IF(澳门新定位结果!C314&lt;=0,0,1)</f>
        <v>1</v>
      </c>
      <c r="D314" s="4">
        <f>IF(澳门新定位结果!D314&lt;=0,0,1)</f>
        <v>1</v>
      </c>
      <c r="E314" s="4">
        <f>IF(澳门新定位结果!E314&lt;=0,0,1)</f>
        <v>1</v>
      </c>
      <c r="F314" s="4">
        <f>IF(澳门新定位结果!F314&lt;=0,0,1)</f>
        <v>0</v>
      </c>
      <c r="G314" s="4">
        <f>IF(澳门新定位结果!G314&lt;=0,0,1)</f>
        <v>1</v>
      </c>
      <c r="H314" s="4">
        <f>IF(澳门新定位结果!H314&lt;=0,0,1)</f>
        <v>1</v>
      </c>
      <c r="I314" s="4">
        <f>IF(澳门新定位结果!I314&lt;=0,0,1)</f>
        <v>1</v>
      </c>
      <c r="J314" s="4">
        <f>IF(澳门新定位结果!J314&lt;=0,0,1)</f>
        <v>0</v>
      </c>
      <c r="K314" s="4">
        <f>IF(澳门新定位结果!K314&lt;=0,0,1)</f>
        <v>0</v>
      </c>
      <c r="L314" s="4">
        <f>IF(澳门新定位结果!L314&lt;=0,0,1)</f>
        <v>1</v>
      </c>
      <c r="M314" s="4">
        <f>IF(澳门新定位结果!M314&lt;=0,0,1)</f>
        <v>0</v>
      </c>
      <c r="N314" s="4">
        <f>IF(澳门新定位结果!N314&lt;=0,0,1)</f>
        <v>0</v>
      </c>
      <c r="O314" s="4">
        <f>IF(澳门新定位结果!O314&lt;=0,0,1)</f>
        <v>0</v>
      </c>
    </row>
    <row r="315" spans="1:15">
      <c r="A315" s="4" t="s">
        <v>649</v>
      </c>
      <c r="B315" s="4">
        <f>IF(澳门新定位结果!B315&lt;=0,0,1)</f>
        <v>1</v>
      </c>
      <c r="C315" s="4">
        <f>IF(澳门新定位结果!C315&lt;=0,0,1)</f>
        <v>0</v>
      </c>
      <c r="D315" s="4">
        <f>IF(澳门新定位结果!D315&lt;=0,0,1)</f>
        <v>0</v>
      </c>
      <c r="E315" s="4">
        <f>IF(澳门新定位结果!E315&lt;=0,0,1)</f>
        <v>0</v>
      </c>
      <c r="F315" s="4">
        <f>IF(澳门新定位结果!F315&lt;=0,0,1)</f>
        <v>0</v>
      </c>
      <c r="G315" s="4">
        <f>IF(澳门新定位结果!G315&lt;=0,0,1)</f>
        <v>0</v>
      </c>
      <c r="H315" s="4">
        <f>IF(澳门新定位结果!H315&lt;=0,0,1)</f>
        <v>0</v>
      </c>
      <c r="I315" s="4">
        <f>IF(澳门新定位结果!I315&lt;=0,0,1)</f>
        <v>0</v>
      </c>
      <c r="J315" s="4">
        <f>IF(澳门新定位结果!J315&lt;=0,0,1)</f>
        <v>0</v>
      </c>
      <c r="K315" s="4">
        <f>IF(澳门新定位结果!K315&lt;=0,0,1)</f>
        <v>1</v>
      </c>
      <c r="L315" s="4">
        <f>IF(澳门新定位结果!L315&lt;=0,0,1)</f>
        <v>1</v>
      </c>
      <c r="M315" s="4">
        <f>IF(澳门新定位结果!M315&lt;=0,0,1)</f>
        <v>0</v>
      </c>
      <c r="N315" s="4">
        <f>IF(澳门新定位结果!N315&lt;=0,0,1)</f>
        <v>1</v>
      </c>
      <c r="O315" s="4">
        <f>IF(澳门新定位结果!O315&lt;=0,0,1)</f>
        <v>1</v>
      </c>
    </row>
    <row r="316" spans="1:15">
      <c r="A316" s="4" t="s">
        <v>651</v>
      </c>
      <c r="B316" s="4">
        <f>IF(澳门新定位结果!B316&lt;=0,0,1)</f>
        <v>0</v>
      </c>
      <c r="C316" s="4">
        <f>IF(澳门新定位结果!C316&lt;=0,0,1)</f>
        <v>1</v>
      </c>
      <c r="D316" s="4">
        <f>IF(澳门新定位结果!D316&lt;=0,0,1)</f>
        <v>0</v>
      </c>
      <c r="E316" s="4">
        <f>IF(澳门新定位结果!E316&lt;=0,0,1)</f>
        <v>1</v>
      </c>
      <c r="F316" s="4">
        <f>IF(澳门新定位结果!F316&lt;=0,0,1)</f>
        <v>0</v>
      </c>
      <c r="G316" s="4">
        <f>IF(澳门新定位结果!G316&lt;=0,0,1)</f>
        <v>0</v>
      </c>
      <c r="H316" s="4">
        <f>IF(澳门新定位结果!H316&lt;=0,0,1)</f>
        <v>1</v>
      </c>
      <c r="I316" s="4">
        <f>IF(澳门新定位结果!I316&lt;=0,0,1)</f>
        <v>1</v>
      </c>
      <c r="J316" s="4">
        <f>IF(澳门新定位结果!J316&lt;=0,0,1)</f>
        <v>0</v>
      </c>
      <c r="K316" s="4">
        <f>IF(澳门新定位结果!K316&lt;=0,0,1)</f>
        <v>1</v>
      </c>
      <c r="L316" s="4">
        <f>IF(澳门新定位结果!L316&lt;=0,0,1)</f>
        <v>1</v>
      </c>
      <c r="M316" s="4">
        <f>IF(澳门新定位结果!M316&lt;=0,0,1)</f>
        <v>0</v>
      </c>
      <c r="N316" s="4">
        <f>IF(澳门新定位结果!N316&lt;=0,0,1)</f>
        <v>0</v>
      </c>
      <c r="O316" s="4">
        <f>IF(澳门新定位结果!O316&lt;=0,0,1)</f>
        <v>0</v>
      </c>
    </row>
    <row r="317" spans="1:15">
      <c r="A317" s="4" t="s">
        <v>653</v>
      </c>
      <c r="B317" s="4">
        <f>IF(澳门新定位结果!B317&lt;=0,0,1)</f>
        <v>0</v>
      </c>
      <c r="C317" s="4">
        <f>IF(澳门新定位结果!C317&lt;=0,0,1)</f>
        <v>0</v>
      </c>
      <c r="D317" s="4">
        <f>IF(澳门新定位结果!D317&lt;=0,0,1)</f>
        <v>0</v>
      </c>
      <c r="E317" s="4">
        <f>IF(澳门新定位结果!E317&lt;=0,0,1)</f>
        <v>1</v>
      </c>
      <c r="F317" s="4">
        <f>IF(澳门新定位结果!F317&lt;=0,0,1)</f>
        <v>0</v>
      </c>
      <c r="G317" s="4">
        <f>IF(澳门新定位结果!G317&lt;=0,0,1)</f>
        <v>0</v>
      </c>
      <c r="H317" s="4">
        <f>IF(澳门新定位结果!H317&lt;=0,0,1)</f>
        <v>0</v>
      </c>
      <c r="I317" s="4">
        <f>IF(澳门新定位结果!I317&lt;=0,0,1)</f>
        <v>0</v>
      </c>
      <c r="J317" s="4">
        <f>IF(澳门新定位结果!J317&lt;=0,0,1)</f>
        <v>1</v>
      </c>
      <c r="K317" s="4">
        <f>IF(澳门新定位结果!K317&lt;=0,0,1)</f>
        <v>0</v>
      </c>
      <c r="L317" s="4">
        <f>IF(澳门新定位结果!L317&lt;=0,0,1)</f>
        <v>1</v>
      </c>
      <c r="M317" s="4">
        <f>IF(澳门新定位结果!M317&lt;=0,0,1)</f>
        <v>0</v>
      </c>
      <c r="N317" s="4">
        <f>IF(澳门新定位结果!N317&lt;=0,0,1)</f>
        <v>0</v>
      </c>
      <c r="O317" s="4">
        <f>IF(澳门新定位结果!O317&lt;=0,0,1)</f>
        <v>1</v>
      </c>
    </row>
    <row r="318" spans="1:15">
      <c r="A318" s="4" t="s">
        <v>655</v>
      </c>
      <c r="B318" s="4">
        <f>IF(澳门新定位结果!B318&lt;=0,0,1)</f>
        <v>1</v>
      </c>
      <c r="C318" s="4">
        <f>IF(澳门新定位结果!C318&lt;=0,0,1)</f>
        <v>1</v>
      </c>
      <c r="D318" s="4">
        <f>IF(澳门新定位结果!D318&lt;=0,0,1)</f>
        <v>0</v>
      </c>
      <c r="E318" s="4">
        <f>IF(澳门新定位结果!E318&lt;=0,0,1)</f>
        <v>1</v>
      </c>
      <c r="F318" s="4">
        <f>IF(澳门新定位结果!F318&lt;=0,0,1)</f>
        <v>0</v>
      </c>
      <c r="G318" s="4">
        <f>IF(澳门新定位结果!G318&lt;=0,0,1)</f>
        <v>0</v>
      </c>
      <c r="H318" s="4">
        <f>IF(澳门新定位结果!H318&lt;=0,0,1)</f>
        <v>0</v>
      </c>
      <c r="I318" s="4">
        <f>IF(澳门新定位结果!I318&lt;=0,0,1)</f>
        <v>1</v>
      </c>
      <c r="J318" s="4">
        <f>IF(澳门新定位结果!J318&lt;=0,0,1)</f>
        <v>1</v>
      </c>
      <c r="K318" s="4">
        <f>IF(澳门新定位结果!K318&lt;=0,0,1)</f>
        <v>1</v>
      </c>
      <c r="L318" s="4">
        <f>IF(澳门新定位结果!L318&lt;=0,0,1)</f>
        <v>0</v>
      </c>
      <c r="M318" s="4">
        <f>IF(澳门新定位结果!M318&lt;=0,0,1)</f>
        <v>1</v>
      </c>
      <c r="N318" s="4">
        <f>IF(澳门新定位结果!N318&lt;=0,0,1)</f>
        <v>0</v>
      </c>
      <c r="O318" s="4">
        <f>IF(澳门新定位结果!O318&lt;=0,0,1)</f>
        <v>1</v>
      </c>
    </row>
    <row r="319" spans="1:15">
      <c r="A319" s="4" t="s">
        <v>657</v>
      </c>
      <c r="B319" s="4">
        <f>IF(澳门新定位结果!B319&lt;=0,0,1)</f>
        <v>0</v>
      </c>
      <c r="C319" s="4">
        <f>IF(澳门新定位结果!C319&lt;=0,0,1)</f>
        <v>1</v>
      </c>
      <c r="D319" s="4">
        <f>IF(澳门新定位结果!D319&lt;=0,0,1)</f>
        <v>0</v>
      </c>
      <c r="E319" s="4">
        <f>IF(澳门新定位结果!E319&lt;=0,0,1)</f>
        <v>1</v>
      </c>
      <c r="F319" s="4">
        <f>IF(澳门新定位结果!F319&lt;=0,0,1)</f>
        <v>0</v>
      </c>
      <c r="G319" s="4">
        <f>IF(澳门新定位结果!G319&lt;=0,0,1)</f>
        <v>0</v>
      </c>
      <c r="H319" s="4">
        <f>IF(澳门新定位结果!H319&lt;=0,0,1)</f>
        <v>1</v>
      </c>
      <c r="I319" s="4">
        <f>IF(澳门新定位结果!I319&lt;=0,0,1)</f>
        <v>1</v>
      </c>
      <c r="J319" s="4">
        <f>IF(澳门新定位结果!J319&lt;=0,0,1)</f>
        <v>0</v>
      </c>
      <c r="K319" s="4">
        <f>IF(澳门新定位结果!K319&lt;=0,0,1)</f>
        <v>1</v>
      </c>
      <c r="L319" s="4">
        <f>IF(澳门新定位结果!L319&lt;=0,0,1)</f>
        <v>1</v>
      </c>
      <c r="M319" s="4">
        <f>IF(澳门新定位结果!M319&lt;=0,0,1)</f>
        <v>1</v>
      </c>
      <c r="N319" s="4">
        <f>IF(澳门新定位结果!N319&lt;=0,0,1)</f>
        <v>0</v>
      </c>
      <c r="O319" s="4">
        <f>IF(澳门新定位结果!O319&lt;=0,0,1)</f>
        <v>1</v>
      </c>
    </row>
    <row r="320" spans="1:15">
      <c r="A320" s="4" t="s">
        <v>659</v>
      </c>
      <c r="B320" s="4">
        <f>IF(澳门新定位结果!B320&lt;=0,0,1)</f>
        <v>1</v>
      </c>
      <c r="C320" s="4">
        <f>IF(澳门新定位结果!C320&lt;=0,0,1)</f>
        <v>1</v>
      </c>
      <c r="D320" s="4">
        <f>IF(澳门新定位结果!D320&lt;=0,0,1)</f>
        <v>1</v>
      </c>
      <c r="E320" s="4">
        <f>IF(澳门新定位结果!E320&lt;=0,0,1)</f>
        <v>1</v>
      </c>
      <c r="F320" s="4">
        <f>IF(澳门新定位结果!F320&lt;=0,0,1)</f>
        <v>1</v>
      </c>
      <c r="G320" s="4">
        <f>IF(澳门新定位结果!G320&lt;=0,0,1)</f>
        <v>1</v>
      </c>
      <c r="H320" s="4">
        <f>IF(澳门新定位结果!H320&lt;=0,0,1)</f>
        <v>0</v>
      </c>
      <c r="I320" s="4">
        <f>IF(澳门新定位结果!I320&lt;=0,0,1)</f>
        <v>0</v>
      </c>
      <c r="J320" s="4">
        <f>IF(澳门新定位结果!J320&lt;=0,0,1)</f>
        <v>0</v>
      </c>
      <c r="K320" s="4">
        <f>IF(澳门新定位结果!K320&lt;=0,0,1)</f>
        <v>1</v>
      </c>
      <c r="L320" s="4">
        <f>IF(澳门新定位结果!L320&lt;=0,0,1)</f>
        <v>1</v>
      </c>
      <c r="M320" s="4">
        <f>IF(澳门新定位结果!M320&lt;=0,0,1)</f>
        <v>1</v>
      </c>
      <c r="N320" s="4">
        <f>IF(澳门新定位结果!N320&lt;=0,0,1)</f>
        <v>1</v>
      </c>
      <c r="O320" s="4">
        <f>IF(澳门新定位结果!O320&lt;=0,0,1)</f>
        <v>1</v>
      </c>
    </row>
    <row r="321" spans="1:15">
      <c r="A321" s="4" t="s">
        <v>661</v>
      </c>
      <c r="B321" s="4">
        <f>IF(澳门新定位结果!B321&lt;=0,0,1)</f>
        <v>0</v>
      </c>
      <c r="C321" s="4">
        <f>IF(澳门新定位结果!C321&lt;=0,0,1)</f>
        <v>0</v>
      </c>
      <c r="D321" s="4">
        <f>IF(澳门新定位结果!D321&lt;=0,0,1)</f>
        <v>0</v>
      </c>
      <c r="E321" s="4">
        <f>IF(澳门新定位结果!E321&lt;=0,0,1)</f>
        <v>0</v>
      </c>
      <c r="F321" s="4">
        <f>IF(澳门新定位结果!F321&lt;=0,0,1)</f>
        <v>0</v>
      </c>
      <c r="G321" s="4">
        <f>IF(澳门新定位结果!G321&lt;=0,0,1)</f>
        <v>0</v>
      </c>
      <c r="H321" s="4">
        <f>IF(澳门新定位结果!H321&lt;=0,0,1)</f>
        <v>1</v>
      </c>
      <c r="I321" s="4">
        <f>IF(澳门新定位结果!I321&lt;=0,0,1)</f>
        <v>1</v>
      </c>
      <c r="J321" s="4">
        <f>IF(澳门新定位结果!J321&lt;=0,0,1)</f>
        <v>0</v>
      </c>
      <c r="K321" s="4">
        <f>IF(澳门新定位结果!K321&lt;=0,0,1)</f>
        <v>1</v>
      </c>
      <c r="L321" s="4">
        <f>IF(澳门新定位结果!L321&lt;=0,0,1)</f>
        <v>0</v>
      </c>
      <c r="M321" s="4">
        <f>IF(澳门新定位结果!M321&lt;=0,0,1)</f>
        <v>0</v>
      </c>
      <c r="N321" s="4">
        <f>IF(澳门新定位结果!N321&lt;=0,0,1)</f>
        <v>0</v>
      </c>
      <c r="O321" s="4">
        <f>IF(澳门新定位结果!O321&lt;=0,0,1)</f>
        <v>0</v>
      </c>
    </row>
    <row r="322" spans="1:15">
      <c r="A322" s="4" t="s">
        <v>663</v>
      </c>
      <c r="B322" s="4">
        <f>IF(澳门新定位结果!B322&lt;=0,0,1)</f>
        <v>1</v>
      </c>
      <c r="C322" s="4">
        <f>IF(澳门新定位结果!C322&lt;=0,0,1)</f>
        <v>0</v>
      </c>
      <c r="D322" s="4">
        <f>IF(澳门新定位结果!D322&lt;=0,0,1)</f>
        <v>0</v>
      </c>
      <c r="E322" s="4">
        <f>IF(澳门新定位结果!E322&lt;=0,0,1)</f>
        <v>0</v>
      </c>
      <c r="F322" s="4">
        <f>IF(澳门新定位结果!F322&lt;=0,0,1)</f>
        <v>1</v>
      </c>
      <c r="G322" s="4">
        <f>IF(澳门新定位结果!G322&lt;=0,0,1)</f>
        <v>1</v>
      </c>
      <c r="H322" s="4">
        <f>IF(澳门新定位结果!H322&lt;=0,0,1)</f>
        <v>0</v>
      </c>
      <c r="I322" s="4">
        <f>IF(澳门新定位结果!I322&lt;=0,0,1)</f>
        <v>0</v>
      </c>
      <c r="J322" s="4">
        <f>IF(澳门新定位结果!J322&lt;=0,0,1)</f>
        <v>1</v>
      </c>
      <c r="K322" s="4">
        <f>IF(澳门新定位结果!K322&lt;=0,0,1)</f>
        <v>0</v>
      </c>
      <c r="L322" s="4">
        <f>IF(澳门新定位结果!L322&lt;=0,0,1)</f>
        <v>0</v>
      </c>
      <c r="M322" s="4">
        <f>IF(澳门新定位结果!M322&lt;=0,0,1)</f>
        <v>0</v>
      </c>
      <c r="N322" s="4">
        <f>IF(澳门新定位结果!N322&lt;=0,0,1)</f>
        <v>0</v>
      </c>
      <c r="O322" s="4">
        <f>IF(澳门新定位结果!O322&lt;=0,0,1)</f>
        <v>1</v>
      </c>
    </row>
    <row r="323" spans="1:15">
      <c r="A323" s="4" t="s">
        <v>665</v>
      </c>
      <c r="B323" s="4">
        <f>IF(澳门新定位结果!B323&lt;=0,0,1)</f>
        <v>0</v>
      </c>
      <c r="C323" s="4">
        <f>IF(澳门新定位结果!C323&lt;=0,0,1)</f>
        <v>0</v>
      </c>
      <c r="D323" s="4">
        <f>IF(澳门新定位结果!D323&lt;=0,0,1)</f>
        <v>1</v>
      </c>
      <c r="E323" s="4">
        <f>IF(澳门新定位结果!E323&lt;=0,0,1)</f>
        <v>1</v>
      </c>
      <c r="F323" s="4">
        <f>IF(澳门新定位结果!F323&lt;=0,0,1)</f>
        <v>1</v>
      </c>
      <c r="G323" s="4">
        <f>IF(澳门新定位结果!G323&lt;=0,0,1)</f>
        <v>0</v>
      </c>
      <c r="H323" s="4">
        <f>IF(澳门新定位结果!H323&lt;=0,0,1)</f>
        <v>0</v>
      </c>
      <c r="I323" s="4">
        <f>IF(澳门新定位结果!I323&lt;=0,0,1)</f>
        <v>1</v>
      </c>
      <c r="J323" s="4">
        <f>IF(澳门新定位结果!J323&lt;=0,0,1)</f>
        <v>1</v>
      </c>
      <c r="K323" s="4">
        <f>IF(澳门新定位结果!K323&lt;=0,0,1)</f>
        <v>1</v>
      </c>
      <c r="L323" s="4">
        <f>IF(澳门新定位结果!L323&lt;=0,0,1)</f>
        <v>0</v>
      </c>
      <c r="M323" s="4">
        <f>IF(澳门新定位结果!M323&lt;=0,0,1)</f>
        <v>1</v>
      </c>
      <c r="N323" s="4">
        <f>IF(澳门新定位结果!N323&lt;=0,0,1)</f>
        <v>1</v>
      </c>
      <c r="O323" s="4">
        <f>IF(澳门新定位结果!O323&lt;=0,0,1)</f>
        <v>1</v>
      </c>
    </row>
    <row r="324" spans="1:15">
      <c r="A324" s="4" t="s">
        <v>667</v>
      </c>
      <c r="B324" s="4">
        <f>IF(澳门新定位结果!B324&lt;=0,0,1)</f>
        <v>0</v>
      </c>
      <c r="C324" s="4">
        <f>IF(澳门新定位结果!C324&lt;=0,0,1)</f>
        <v>0</v>
      </c>
      <c r="D324" s="4">
        <f>IF(澳门新定位结果!D324&lt;=0,0,1)</f>
        <v>0</v>
      </c>
      <c r="E324" s="4">
        <f>IF(澳门新定位结果!E324&lt;=0,0,1)</f>
        <v>0</v>
      </c>
      <c r="F324" s="4">
        <f>IF(澳门新定位结果!F324&lt;=0,0,1)</f>
        <v>0</v>
      </c>
      <c r="G324" s="4">
        <f>IF(澳门新定位结果!G324&lt;=0,0,1)</f>
        <v>0</v>
      </c>
      <c r="H324" s="4">
        <f>IF(澳门新定位结果!H324&lt;=0,0,1)</f>
        <v>1</v>
      </c>
      <c r="I324" s="4">
        <f>IF(澳门新定位结果!I324&lt;=0,0,1)</f>
        <v>0</v>
      </c>
      <c r="J324" s="4">
        <f>IF(澳门新定位结果!J324&lt;=0,0,1)</f>
        <v>0</v>
      </c>
      <c r="K324" s="4">
        <f>IF(澳门新定位结果!K324&lt;=0,0,1)</f>
        <v>1</v>
      </c>
      <c r="L324" s="4">
        <f>IF(澳门新定位结果!L324&lt;=0,0,1)</f>
        <v>1</v>
      </c>
      <c r="M324" s="4">
        <f>IF(澳门新定位结果!M324&lt;=0,0,1)</f>
        <v>0</v>
      </c>
      <c r="N324" s="4">
        <f>IF(澳门新定位结果!N324&lt;=0,0,1)</f>
        <v>0</v>
      </c>
      <c r="O324" s="4">
        <f>IF(澳门新定位结果!O324&lt;=0,0,1)</f>
        <v>1</v>
      </c>
    </row>
    <row r="325" spans="1:15">
      <c r="A325" s="4" t="s">
        <v>669</v>
      </c>
      <c r="B325" s="4">
        <f>IF(澳门新定位结果!B325&lt;=0,0,1)</f>
        <v>1</v>
      </c>
      <c r="C325" s="4">
        <f>IF(澳门新定位结果!C325&lt;=0,0,1)</f>
        <v>1</v>
      </c>
      <c r="D325" s="4">
        <f>IF(澳门新定位结果!D325&lt;=0,0,1)</f>
        <v>0</v>
      </c>
      <c r="E325" s="4">
        <f>IF(澳门新定位结果!E325&lt;=0,0,1)</f>
        <v>1</v>
      </c>
      <c r="F325" s="4">
        <f>IF(澳门新定位结果!F325&lt;=0,0,1)</f>
        <v>1</v>
      </c>
      <c r="G325" s="4">
        <f>IF(澳门新定位结果!G325&lt;=0,0,1)</f>
        <v>1</v>
      </c>
      <c r="H325" s="4">
        <f>IF(澳门新定位结果!H325&lt;=0,0,1)</f>
        <v>0</v>
      </c>
      <c r="I325" s="4">
        <f>IF(澳门新定位结果!I325&lt;=0,0,1)</f>
        <v>1</v>
      </c>
      <c r="J325" s="4">
        <f>IF(澳门新定位结果!J325&lt;=0,0,1)</f>
        <v>1</v>
      </c>
      <c r="K325" s="4">
        <f>IF(澳门新定位结果!K325&lt;=0,0,1)</f>
        <v>1</v>
      </c>
      <c r="L325" s="4">
        <f>IF(澳门新定位结果!L325&lt;=0,0,1)</f>
        <v>1</v>
      </c>
      <c r="M325" s="4">
        <f>IF(澳门新定位结果!M325&lt;=0,0,1)</f>
        <v>1</v>
      </c>
      <c r="N325" s="4">
        <f>IF(澳门新定位结果!N325&lt;=0,0,1)</f>
        <v>1</v>
      </c>
      <c r="O325" s="4">
        <f>IF(澳门新定位结果!O325&lt;=0,0,1)</f>
        <v>1</v>
      </c>
    </row>
    <row r="326" spans="1:15">
      <c r="A326" s="4" t="s">
        <v>671</v>
      </c>
      <c r="B326" s="4">
        <f>IF(澳门新定位结果!B326&lt;=0,0,1)</f>
        <v>1</v>
      </c>
      <c r="C326" s="4">
        <f>IF(澳门新定位结果!C326&lt;=0,0,1)</f>
        <v>1</v>
      </c>
      <c r="D326" s="4">
        <f>IF(澳门新定位结果!D326&lt;=0,0,1)</f>
        <v>1</v>
      </c>
      <c r="E326" s="4">
        <f>IF(澳门新定位结果!E326&lt;=0,0,1)</f>
        <v>1</v>
      </c>
      <c r="F326" s="4">
        <f>IF(澳门新定位结果!F326&lt;=0,0,1)</f>
        <v>0</v>
      </c>
      <c r="G326" s="4">
        <f>IF(澳门新定位结果!G326&lt;=0,0,1)</f>
        <v>0</v>
      </c>
      <c r="H326" s="4">
        <f>IF(澳门新定位结果!H326&lt;=0,0,1)</f>
        <v>0</v>
      </c>
      <c r="I326" s="4">
        <f>IF(澳门新定位结果!I326&lt;=0,0,1)</f>
        <v>0</v>
      </c>
      <c r="J326" s="4">
        <f>IF(澳门新定位结果!J326&lt;=0,0,1)</f>
        <v>0</v>
      </c>
      <c r="K326" s="4">
        <f>IF(澳门新定位结果!K326&lt;=0,0,1)</f>
        <v>1</v>
      </c>
      <c r="L326" s="4">
        <f>IF(澳门新定位结果!L326&lt;=0,0,1)</f>
        <v>0</v>
      </c>
      <c r="M326" s="4">
        <f>IF(澳门新定位结果!M326&lt;=0,0,1)</f>
        <v>0</v>
      </c>
      <c r="N326" s="4">
        <f>IF(澳门新定位结果!N326&lt;=0,0,1)</f>
        <v>0</v>
      </c>
      <c r="O326" s="4">
        <f>IF(澳门新定位结果!O326&lt;=0,0,1)</f>
        <v>0</v>
      </c>
    </row>
    <row r="327" spans="1:15">
      <c r="A327" s="4" t="s">
        <v>673</v>
      </c>
      <c r="B327" s="4">
        <f>IF(澳门新定位结果!B327&lt;=0,0,1)</f>
        <v>1</v>
      </c>
      <c r="C327" s="4">
        <f>IF(澳门新定位结果!C327&lt;=0,0,1)</f>
        <v>0</v>
      </c>
      <c r="D327" s="4">
        <f>IF(澳门新定位结果!D327&lt;=0,0,1)</f>
        <v>0</v>
      </c>
      <c r="E327" s="4">
        <f>IF(澳门新定位结果!E327&lt;=0,0,1)</f>
        <v>0</v>
      </c>
      <c r="F327" s="4">
        <f>IF(澳门新定位结果!F327&lt;=0,0,1)</f>
        <v>1</v>
      </c>
      <c r="G327" s="4">
        <f>IF(澳门新定位结果!G327&lt;=0,0,1)</f>
        <v>0</v>
      </c>
      <c r="H327" s="4">
        <f>IF(澳门新定位结果!H327&lt;=0,0,1)</f>
        <v>1</v>
      </c>
      <c r="I327" s="4">
        <f>IF(澳门新定位结果!I327&lt;=0,0,1)</f>
        <v>1</v>
      </c>
      <c r="J327" s="4">
        <f>IF(澳门新定位结果!J327&lt;=0,0,1)</f>
        <v>0</v>
      </c>
      <c r="K327" s="4">
        <f>IF(澳门新定位结果!K327&lt;=0,0,1)</f>
        <v>0</v>
      </c>
      <c r="L327" s="4">
        <f>IF(澳门新定位结果!L327&lt;=0,0,1)</f>
        <v>1</v>
      </c>
      <c r="M327" s="4">
        <f>IF(澳门新定位结果!M327&lt;=0,0,1)</f>
        <v>0</v>
      </c>
      <c r="N327" s="4">
        <f>IF(澳门新定位结果!N327&lt;=0,0,1)</f>
        <v>0</v>
      </c>
      <c r="O327" s="4">
        <f>IF(澳门新定位结果!O327&lt;=0,0,1)</f>
        <v>1</v>
      </c>
    </row>
    <row r="328" spans="1:15">
      <c r="A328" s="4" t="s">
        <v>675</v>
      </c>
      <c r="B328" s="4">
        <f>IF(澳门新定位结果!B328&lt;=0,0,1)</f>
        <v>0</v>
      </c>
      <c r="C328" s="4">
        <f>IF(澳门新定位结果!C328&lt;=0,0,1)</f>
        <v>0</v>
      </c>
      <c r="D328" s="4">
        <f>IF(澳门新定位结果!D328&lt;=0,0,1)</f>
        <v>1</v>
      </c>
      <c r="E328" s="4">
        <f>IF(澳门新定位结果!E328&lt;=0,0,1)</f>
        <v>1</v>
      </c>
      <c r="F328" s="4">
        <f>IF(澳门新定位结果!F328&lt;=0,0,1)</f>
        <v>1</v>
      </c>
      <c r="G328" s="4">
        <f>IF(澳门新定位结果!G328&lt;=0,0,1)</f>
        <v>1</v>
      </c>
      <c r="H328" s="4">
        <f>IF(澳门新定位结果!H328&lt;=0,0,1)</f>
        <v>1</v>
      </c>
      <c r="I328" s="4">
        <f>IF(澳门新定位结果!I328&lt;=0,0,1)</f>
        <v>1</v>
      </c>
      <c r="J328" s="4">
        <f>IF(澳门新定位结果!J328&lt;=0,0,1)</f>
        <v>0</v>
      </c>
      <c r="K328" s="4">
        <f>IF(澳门新定位结果!K328&lt;=0,0,1)</f>
        <v>0</v>
      </c>
      <c r="L328" s="4">
        <f>IF(澳门新定位结果!L328&lt;=0,0,1)</f>
        <v>0</v>
      </c>
      <c r="M328" s="4">
        <f>IF(澳门新定位结果!M328&lt;=0,0,1)</f>
        <v>0</v>
      </c>
      <c r="N328" s="4">
        <f>IF(澳门新定位结果!N328&lt;=0,0,1)</f>
        <v>0</v>
      </c>
      <c r="O328" s="4">
        <f>IF(澳门新定位结果!O328&lt;=0,0,1)</f>
        <v>0</v>
      </c>
    </row>
    <row r="329" spans="1:15">
      <c r="A329" s="4" t="s">
        <v>677</v>
      </c>
      <c r="B329" s="4">
        <f>IF(澳门新定位结果!B329&lt;=0,0,1)</f>
        <v>0</v>
      </c>
      <c r="C329" s="4">
        <f>IF(澳门新定位结果!C329&lt;=0,0,1)</f>
        <v>1</v>
      </c>
      <c r="D329" s="4">
        <f>IF(澳门新定位结果!D329&lt;=0,0,1)</f>
        <v>0</v>
      </c>
      <c r="E329" s="4">
        <f>IF(澳门新定位结果!E329&lt;=0,0,1)</f>
        <v>0</v>
      </c>
      <c r="F329" s="4">
        <f>IF(澳门新定位结果!F329&lt;=0,0,1)</f>
        <v>0</v>
      </c>
      <c r="G329" s="4">
        <f>IF(澳门新定位结果!G329&lt;=0,0,1)</f>
        <v>0</v>
      </c>
      <c r="H329" s="4">
        <f>IF(澳门新定位结果!H329&lt;=0,0,1)</f>
        <v>0</v>
      </c>
      <c r="I329" s="4">
        <f>IF(澳门新定位结果!I329&lt;=0,0,1)</f>
        <v>1</v>
      </c>
      <c r="J329" s="4">
        <f>IF(澳门新定位结果!J329&lt;=0,0,1)</f>
        <v>0</v>
      </c>
      <c r="K329" s="4">
        <f>IF(澳门新定位结果!K329&lt;=0,0,1)</f>
        <v>1</v>
      </c>
      <c r="L329" s="4">
        <f>IF(澳门新定位结果!L329&lt;=0,0,1)</f>
        <v>1</v>
      </c>
      <c r="M329" s="4">
        <f>IF(澳门新定位结果!M329&lt;=0,0,1)</f>
        <v>0</v>
      </c>
      <c r="N329" s="4">
        <f>IF(澳门新定位结果!N329&lt;=0,0,1)</f>
        <v>0</v>
      </c>
      <c r="O329" s="4">
        <f>IF(澳门新定位结果!O329&lt;=0,0,1)</f>
        <v>1</v>
      </c>
    </row>
    <row r="330" spans="1:15">
      <c r="A330" s="4" t="s">
        <v>679</v>
      </c>
      <c r="B330" s="4">
        <f>IF(澳门新定位结果!B330&lt;=0,0,1)</f>
        <v>1</v>
      </c>
      <c r="C330" s="4">
        <f>IF(澳门新定位结果!C330&lt;=0,0,1)</f>
        <v>1</v>
      </c>
      <c r="D330" s="4">
        <f>IF(澳门新定位结果!D330&lt;=0,0,1)</f>
        <v>0</v>
      </c>
      <c r="E330" s="4">
        <f>IF(澳门新定位结果!E330&lt;=0,0,1)</f>
        <v>0</v>
      </c>
      <c r="F330" s="4">
        <f>IF(澳门新定位结果!F330&lt;=0,0,1)</f>
        <v>0</v>
      </c>
      <c r="G330" s="4">
        <f>IF(澳门新定位结果!G330&lt;=0,0,1)</f>
        <v>1</v>
      </c>
      <c r="H330" s="4">
        <f>IF(澳门新定位结果!H330&lt;=0,0,1)</f>
        <v>0</v>
      </c>
      <c r="I330" s="4">
        <f>IF(澳门新定位结果!I330&lt;=0,0,1)</f>
        <v>1</v>
      </c>
      <c r="J330" s="4">
        <f>IF(澳门新定位结果!J330&lt;=0,0,1)</f>
        <v>0</v>
      </c>
      <c r="K330" s="4">
        <f>IF(澳门新定位结果!K330&lt;=0,0,1)</f>
        <v>1</v>
      </c>
      <c r="L330" s="4">
        <f>IF(澳门新定位结果!L330&lt;=0,0,1)</f>
        <v>1</v>
      </c>
      <c r="M330" s="4">
        <f>IF(澳门新定位结果!M330&lt;=0,0,1)</f>
        <v>0</v>
      </c>
      <c r="N330" s="4">
        <f>IF(澳门新定位结果!N330&lt;=0,0,1)</f>
        <v>1</v>
      </c>
      <c r="O330" s="4">
        <f>IF(澳门新定位结果!O330&lt;=0,0,1)</f>
        <v>1</v>
      </c>
    </row>
    <row r="331" spans="1:15">
      <c r="A331" s="4" t="s">
        <v>681</v>
      </c>
      <c r="B331" s="4">
        <f>IF(澳门新定位结果!B331&lt;=0,0,1)</f>
        <v>0</v>
      </c>
      <c r="C331" s="4">
        <f>IF(澳门新定位结果!C331&lt;=0,0,1)</f>
        <v>1</v>
      </c>
      <c r="D331" s="4">
        <f>IF(澳门新定位结果!D331&lt;=0,0,1)</f>
        <v>0</v>
      </c>
      <c r="E331" s="4">
        <f>IF(澳门新定位结果!E331&lt;=0,0,1)</f>
        <v>0</v>
      </c>
      <c r="F331" s="4">
        <f>IF(澳门新定位结果!F331&lt;=0,0,1)</f>
        <v>0</v>
      </c>
      <c r="G331" s="4">
        <f>IF(澳门新定位结果!G331&lt;=0,0,1)</f>
        <v>1</v>
      </c>
      <c r="H331" s="4">
        <f>IF(澳门新定位结果!H331&lt;=0,0,1)</f>
        <v>0</v>
      </c>
      <c r="I331" s="4">
        <f>IF(澳门新定位结果!I331&lt;=0,0,1)</f>
        <v>1</v>
      </c>
      <c r="J331" s="4">
        <f>IF(澳门新定位结果!J331&lt;=0,0,1)</f>
        <v>1</v>
      </c>
      <c r="K331" s="4">
        <f>IF(澳门新定位结果!K331&lt;=0,0,1)</f>
        <v>1</v>
      </c>
      <c r="L331" s="4">
        <f>IF(澳门新定位结果!L331&lt;=0,0,1)</f>
        <v>1</v>
      </c>
      <c r="M331" s="4">
        <f>IF(澳门新定位结果!M331&lt;=0,0,1)</f>
        <v>1</v>
      </c>
      <c r="N331" s="4">
        <f>IF(澳门新定位结果!N331&lt;=0,0,1)</f>
        <v>0</v>
      </c>
      <c r="O331" s="4">
        <f>IF(澳门新定位结果!O331&lt;=0,0,1)</f>
        <v>0</v>
      </c>
    </row>
    <row r="332" spans="1:15">
      <c r="A332" s="4" t="s">
        <v>683</v>
      </c>
      <c r="B332" s="4">
        <f>IF(澳门新定位结果!B332&lt;=0,0,1)</f>
        <v>1</v>
      </c>
      <c r="C332" s="4">
        <f>IF(澳门新定位结果!C332&lt;=0,0,1)</f>
        <v>1</v>
      </c>
      <c r="D332" s="4">
        <f>IF(澳门新定位结果!D332&lt;=0,0,1)</f>
        <v>0</v>
      </c>
      <c r="E332" s="4">
        <f>IF(澳门新定位结果!E332&lt;=0,0,1)</f>
        <v>1</v>
      </c>
      <c r="F332" s="4">
        <f>IF(澳门新定位结果!F332&lt;=0,0,1)</f>
        <v>1</v>
      </c>
      <c r="G332" s="4">
        <f>IF(澳门新定位结果!G332&lt;=0,0,1)</f>
        <v>0</v>
      </c>
      <c r="H332" s="4">
        <f>IF(澳门新定位结果!H332&lt;=0,0,1)</f>
        <v>0</v>
      </c>
      <c r="I332" s="4">
        <f>IF(澳门新定位结果!I332&lt;=0,0,1)</f>
        <v>1</v>
      </c>
      <c r="J332" s="4">
        <f>IF(澳门新定位结果!J332&lt;=0,0,1)</f>
        <v>1</v>
      </c>
      <c r="K332" s="4">
        <f>IF(澳门新定位结果!K332&lt;=0,0,1)</f>
        <v>1</v>
      </c>
      <c r="L332" s="4">
        <f>IF(澳门新定位结果!L332&lt;=0,0,1)</f>
        <v>1</v>
      </c>
      <c r="M332" s="4">
        <f>IF(澳门新定位结果!M332&lt;=0,0,1)</f>
        <v>0</v>
      </c>
      <c r="N332" s="4">
        <f>IF(澳门新定位结果!N332&lt;=0,0,1)</f>
        <v>0</v>
      </c>
      <c r="O332" s="4">
        <f>IF(澳门新定位结果!O332&lt;=0,0,1)</f>
        <v>0</v>
      </c>
    </row>
    <row r="333" spans="1:15">
      <c r="A333" s="4" t="s">
        <v>685</v>
      </c>
      <c r="B333" s="4">
        <f>IF(澳门新定位结果!B333&lt;=0,0,1)</f>
        <v>0</v>
      </c>
      <c r="C333" s="4">
        <f>IF(澳门新定位结果!C333&lt;=0,0,1)</f>
        <v>1</v>
      </c>
      <c r="D333" s="4">
        <f>IF(澳门新定位结果!D333&lt;=0,0,1)</f>
        <v>0</v>
      </c>
      <c r="E333" s="4">
        <f>IF(澳门新定位结果!E333&lt;=0,0,1)</f>
        <v>0</v>
      </c>
      <c r="F333" s="4">
        <f>IF(澳门新定位结果!F333&lt;=0,0,1)</f>
        <v>0</v>
      </c>
      <c r="G333" s="4">
        <f>IF(澳门新定位结果!G333&lt;=0,0,1)</f>
        <v>1</v>
      </c>
      <c r="H333" s="4">
        <f>IF(澳门新定位结果!H333&lt;=0,0,1)</f>
        <v>1</v>
      </c>
      <c r="I333" s="4">
        <f>IF(澳门新定位结果!I333&lt;=0,0,1)</f>
        <v>1</v>
      </c>
      <c r="J333" s="4">
        <f>IF(澳门新定位结果!J333&lt;=0,0,1)</f>
        <v>1</v>
      </c>
      <c r="K333" s="4">
        <f>IF(澳门新定位结果!K333&lt;=0,0,1)</f>
        <v>0</v>
      </c>
      <c r="L333" s="4">
        <f>IF(澳门新定位结果!L333&lt;=0,0,1)</f>
        <v>1</v>
      </c>
      <c r="M333" s="4">
        <f>IF(澳门新定位结果!M333&lt;=0,0,1)</f>
        <v>1</v>
      </c>
      <c r="N333" s="4">
        <f>IF(澳门新定位结果!N333&lt;=0,0,1)</f>
        <v>1</v>
      </c>
      <c r="O333" s="4">
        <f>IF(澳门新定位结果!O333&lt;=0,0,1)</f>
        <v>0</v>
      </c>
    </row>
    <row r="334" spans="1:15">
      <c r="A334" s="4" t="s">
        <v>687</v>
      </c>
      <c r="B334" s="4">
        <f>IF(澳门新定位结果!B334&lt;=0,0,1)</f>
        <v>1</v>
      </c>
      <c r="C334" s="4">
        <f>IF(澳门新定位结果!C334&lt;=0,0,1)</f>
        <v>1</v>
      </c>
      <c r="D334" s="4">
        <f>IF(澳门新定位结果!D334&lt;=0,0,1)</f>
        <v>1</v>
      </c>
      <c r="E334" s="4">
        <f>IF(澳门新定位结果!E334&lt;=0,0,1)</f>
        <v>0</v>
      </c>
      <c r="F334" s="4">
        <f>IF(澳门新定位结果!F334&lt;=0,0,1)</f>
        <v>0</v>
      </c>
      <c r="G334" s="4">
        <f>IF(澳门新定位结果!G334&lt;=0,0,1)</f>
        <v>1</v>
      </c>
      <c r="H334" s="4">
        <f>IF(澳门新定位结果!H334&lt;=0,0,1)</f>
        <v>1</v>
      </c>
      <c r="I334" s="4">
        <f>IF(澳门新定位结果!I334&lt;=0,0,1)</f>
        <v>1</v>
      </c>
      <c r="J334" s="4">
        <f>IF(澳门新定位结果!J334&lt;=0,0,1)</f>
        <v>0</v>
      </c>
      <c r="K334" s="4">
        <f>IF(澳门新定位结果!K334&lt;=0,0,1)</f>
        <v>1</v>
      </c>
      <c r="L334" s="4">
        <f>IF(澳门新定位结果!L334&lt;=0,0,1)</f>
        <v>1</v>
      </c>
      <c r="M334" s="4">
        <f>IF(澳门新定位结果!M334&lt;=0,0,1)</f>
        <v>0</v>
      </c>
      <c r="N334" s="4">
        <f>IF(澳门新定位结果!N334&lt;=0,0,1)</f>
        <v>1</v>
      </c>
      <c r="O334" s="4">
        <f>IF(澳门新定位结果!O334&lt;=0,0,1)</f>
        <v>0</v>
      </c>
    </row>
    <row r="335" spans="1:15">
      <c r="A335" s="4" t="s">
        <v>689</v>
      </c>
      <c r="B335" s="4">
        <f>IF(澳门新定位结果!B335&lt;=0,0,1)</f>
        <v>0</v>
      </c>
      <c r="C335" s="4">
        <f>IF(澳门新定位结果!C335&lt;=0,0,1)</f>
        <v>1</v>
      </c>
      <c r="D335" s="4">
        <f>IF(澳门新定位结果!D335&lt;=0,0,1)</f>
        <v>0</v>
      </c>
      <c r="E335" s="4">
        <f>IF(澳门新定位结果!E335&lt;=0,0,1)</f>
        <v>1</v>
      </c>
      <c r="F335" s="4">
        <f>IF(澳门新定位结果!F335&lt;=0,0,1)</f>
        <v>1</v>
      </c>
      <c r="G335" s="4">
        <f>IF(澳门新定位结果!G335&lt;=0,0,1)</f>
        <v>1</v>
      </c>
      <c r="H335" s="4">
        <f>IF(澳门新定位结果!H335&lt;=0,0,1)</f>
        <v>0</v>
      </c>
      <c r="I335" s="4">
        <f>IF(澳门新定位结果!I335&lt;=0,0,1)</f>
        <v>1</v>
      </c>
      <c r="J335" s="4">
        <f>IF(澳门新定位结果!J335&lt;=0,0,1)</f>
        <v>0</v>
      </c>
      <c r="K335" s="4">
        <f>IF(澳门新定位结果!K335&lt;=0,0,1)</f>
        <v>1</v>
      </c>
      <c r="L335" s="4">
        <f>IF(澳门新定位结果!L335&lt;=0,0,1)</f>
        <v>1</v>
      </c>
      <c r="M335" s="4">
        <f>IF(澳门新定位结果!M335&lt;=0,0,1)</f>
        <v>0</v>
      </c>
      <c r="N335" s="4">
        <f>IF(澳门新定位结果!N335&lt;=0,0,1)</f>
        <v>0</v>
      </c>
      <c r="O335" s="4">
        <f>IF(澳门新定位结果!O335&lt;=0,0,1)</f>
        <v>1</v>
      </c>
    </row>
    <row r="336" spans="1:15">
      <c r="A336" s="4" t="s">
        <v>691</v>
      </c>
      <c r="B336" s="4">
        <f>IF(澳门新定位结果!B336&lt;=0,0,1)</f>
        <v>0</v>
      </c>
      <c r="C336" s="4">
        <f>IF(澳门新定位结果!C336&lt;=0,0,1)</f>
        <v>1</v>
      </c>
      <c r="D336" s="4">
        <f>IF(澳门新定位结果!D336&lt;=0,0,1)</f>
        <v>0</v>
      </c>
      <c r="E336" s="4">
        <f>IF(澳门新定位结果!E336&lt;=0,0,1)</f>
        <v>1</v>
      </c>
      <c r="F336" s="4">
        <f>IF(澳门新定位结果!F336&lt;=0,0,1)</f>
        <v>0</v>
      </c>
      <c r="G336" s="4">
        <f>IF(澳门新定位结果!G336&lt;=0,0,1)</f>
        <v>0</v>
      </c>
      <c r="H336" s="4">
        <f>IF(澳门新定位结果!H336&lt;=0,0,1)</f>
        <v>0</v>
      </c>
      <c r="I336" s="4">
        <f>IF(澳门新定位结果!I336&lt;=0,0,1)</f>
        <v>0</v>
      </c>
      <c r="J336" s="4">
        <f>IF(澳门新定位结果!J336&lt;=0,0,1)</f>
        <v>0</v>
      </c>
      <c r="K336" s="4">
        <f>IF(澳门新定位结果!K336&lt;=0,0,1)</f>
        <v>0</v>
      </c>
      <c r="L336" s="4">
        <f>IF(澳门新定位结果!L336&lt;=0,0,1)</f>
        <v>0</v>
      </c>
      <c r="M336" s="4">
        <f>IF(澳门新定位结果!M336&lt;=0,0,1)</f>
        <v>0</v>
      </c>
      <c r="N336" s="4">
        <f>IF(澳门新定位结果!N336&lt;=0,0,1)</f>
        <v>0</v>
      </c>
      <c r="O336" s="4">
        <f>IF(澳门新定位结果!O336&lt;=0,0,1)</f>
        <v>0</v>
      </c>
    </row>
    <row r="337" spans="1:15">
      <c r="A337" s="4" t="s">
        <v>693</v>
      </c>
      <c r="B337" s="4">
        <f>IF(澳门新定位结果!B337&lt;=0,0,1)</f>
        <v>1</v>
      </c>
      <c r="C337" s="4">
        <f>IF(澳门新定位结果!C337&lt;=0,0,1)</f>
        <v>1</v>
      </c>
      <c r="D337" s="4">
        <f>IF(澳门新定位结果!D337&lt;=0,0,1)</f>
        <v>0</v>
      </c>
      <c r="E337" s="4">
        <f>IF(澳门新定位结果!E337&lt;=0,0,1)</f>
        <v>1</v>
      </c>
      <c r="F337" s="4">
        <f>IF(澳门新定位结果!F337&lt;=0,0,1)</f>
        <v>1</v>
      </c>
      <c r="G337" s="4">
        <f>IF(澳门新定位结果!G337&lt;=0,0,1)</f>
        <v>1</v>
      </c>
      <c r="H337" s="4">
        <f>IF(澳门新定位结果!H337&lt;=0,0,1)</f>
        <v>0</v>
      </c>
      <c r="I337" s="4">
        <f>IF(澳门新定位结果!I337&lt;=0,0,1)</f>
        <v>1</v>
      </c>
      <c r="J337" s="4">
        <f>IF(澳门新定位结果!J337&lt;=0,0,1)</f>
        <v>1</v>
      </c>
      <c r="K337" s="4">
        <f>IF(澳门新定位结果!K337&lt;=0,0,1)</f>
        <v>1</v>
      </c>
      <c r="L337" s="4">
        <f>IF(澳门新定位结果!L337&lt;=0,0,1)</f>
        <v>1</v>
      </c>
      <c r="M337" s="4">
        <f>IF(澳门新定位结果!M337&lt;=0,0,1)</f>
        <v>1</v>
      </c>
      <c r="N337" s="4">
        <f>IF(澳门新定位结果!N337&lt;=0,0,1)</f>
        <v>0</v>
      </c>
      <c r="O337" s="4">
        <f>IF(澳门新定位结果!O337&lt;=0,0,1)</f>
        <v>0</v>
      </c>
    </row>
    <row r="338" spans="1:15">
      <c r="A338" s="4" t="s">
        <v>695</v>
      </c>
      <c r="B338" s="4">
        <f>IF(澳门新定位结果!B338&lt;=0,0,1)</f>
        <v>1</v>
      </c>
      <c r="C338" s="4">
        <f>IF(澳门新定位结果!C338&lt;=0,0,1)</f>
        <v>1</v>
      </c>
      <c r="D338" s="4">
        <f>IF(澳门新定位结果!D338&lt;=0,0,1)</f>
        <v>1</v>
      </c>
      <c r="E338" s="4">
        <f>IF(澳门新定位结果!E338&lt;=0,0,1)</f>
        <v>1</v>
      </c>
      <c r="F338" s="4">
        <f>IF(澳门新定位结果!F338&lt;=0,0,1)</f>
        <v>1</v>
      </c>
      <c r="G338" s="4">
        <f>IF(澳门新定位结果!G338&lt;=0,0,1)</f>
        <v>0</v>
      </c>
      <c r="H338" s="4">
        <f>IF(澳门新定位结果!H338&lt;=0,0,1)</f>
        <v>0</v>
      </c>
      <c r="I338" s="4">
        <f>IF(澳门新定位结果!I338&lt;=0,0,1)</f>
        <v>1</v>
      </c>
      <c r="J338" s="4">
        <f>IF(澳门新定位结果!J338&lt;=0,0,1)</f>
        <v>1</v>
      </c>
      <c r="K338" s="4">
        <f>IF(澳门新定位结果!K338&lt;=0,0,1)</f>
        <v>1</v>
      </c>
      <c r="L338" s="4">
        <f>IF(澳门新定位结果!L338&lt;=0,0,1)</f>
        <v>0</v>
      </c>
      <c r="M338" s="4">
        <f>IF(澳门新定位结果!M338&lt;=0,0,1)</f>
        <v>1</v>
      </c>
      <c r="N338" s="4">
        <f>IF(澳门新定位结果!N338&lt;=0,0,1)</f>
        <v>0</v>
      </c>
      <c r="O338" s="4">
        <f>IF(澳门新定位结果!O338&lt;=0,0,1)</f>
        <v>1</v>
      </c>
    </row>
    <row r="339" spans="1:15">
      <c r="A339" s="4" t="s">
        <v>697</v>
      </c>
      <c r="B339" s="4">
        <f>IF(澳门新定位结果!B339&lt;=0,0,1)</f>
        <v>1</v>
      </c>
      <c r="C339" s="4">
        <f>IF(澳门新定位结果!C339&lt;=0,0,1)</f>
        <v>1</v>
      </c>
      <c r="D339" s="4">
        <f>IF(澳门新定位结果!D339&lt;=0,0,1)</f>
        <v>0</v>
      </c>
      <c r="E339" s="4">
        <f>IF(澳门新定位结果!E339&lt;=0,0,1)</f>
        <v>0</v>
      </c>
      <c r="F339" s="4">
        <f>IF(澳门新定位结果!F339&lt;=0,0,1)</f>
        <v>0</v>
      </c>
      <c r="G339" s="4">
        <f>IF(澳门新定位结果!G339&lt;=0,0,1)</f>
        <v>1</v>
      </c>
      <c r="H339" s="4">
        <f>IF(澳门新定位结果!H339&lt;=0,0,1)</f>
        <v>1</v>
      </c>
      <c r="I339" s="4">
        <f>IF(澳门新定位结果!I339&lt;=0,0,1)</f>
        <v>0</v>
      </c>
      <c r="J339" s="4">
        <f>IF(澳门新定位结果!J339&lt;=0,0,1)</f>
        <v>0</v>
      </c>
      <c r="K339" s="4">
        <f>IF(澳门新定位结果!K339&lt;=0,0,1)</f>
        <v>1</v>
      </c>
      <c r="L339" s="4">
        <f>IF(澳门新定位结果!L339&lt;=0,0,1)</f>
        <v>1</v>
      </c>
      <c r="M339" s="4">
        <f>IF(澳门新定位结果!M339&lt;=0,0,1)</f>
        <v>0</v>
      </c>
      <c r="N339" s="4">
        <f>IF(澳门新定位结果!N339&lt;=0,0,1)</f>
        <v>1</v>
      </c>
      <c r="O339" s="4">
        <f>IF(澳门新定位结果!O339&lt;=0,0,1)</f>
        <v>0</v>
      </c>
    </row>
    <row r="340" spans="1:15">
      <c r="A340" s="4" t="s">
        <v>699</v>
      </c>
      <c r="B340" s="4">
        <f>IF(澳门新定位结果!B340&lt;=0,0,1)</f>
        <v>1</v>
      </c>
      <c r="C340" s="4">
        <f>IF(澳门新定位结果!C340&lt;=0,0,1)</f>
        <v>0</v>
      </c>
      <c r="D340" s="4">
        <f>IF(澳门新定位结果!D340&lt;=0,0,1)</f>
        <v>1</v>
      </c>
      <c r="E340" s="4">
        <f>IF(澳门新定位结果!E340&lt;=0,0,1)</f>
        <v>1</v>
      </c>
      <c r="F340" s="4">
        <f>IF(澳门新定位结果!F340&lt;=0,0,1)</f>
        <v>1</v>
      </c>
      <c r="G340" s="4">
        <f>IF(澳门新定位结果!G340&lt;=0,0,1)</f>
        <v>1</v>
      </c>
      <c r="H340" s="4">
        <f>IF(澳门新定位结果!H340&lt;=0,0,1)</f>
        <v>0</v>
      </c>
      <c r="I340" s="4">
        <f>IF(澳门新定位结果!I340&lt;=0,0,1)</f>
        <v>1</v>
      </c>
      <c r="J340" s="4">
        <f>IF(澳门新定位结果!J340&lt;=0,0,1)</f>
        <v>0</v>
      </c>
      <c r="K340" s="4">
        <f>IF(澳门新定位结果!K340&lt;=0,0,1)</f>
        <v>0</v>
      </c>
      <c r="L340" s="4">
        <f>IF(澳门新定位结果!L340&lt;=0,0,1)</f>
        <v>0</v>
      </c>
      <c r="M340" s="4">
        <f>IF(澳门新定位结果!M340&lt;=0,0,1)</f>
        <v>1</v>
      </c>
      <c r="N340" s="4">
        <f>IF(澳门新定位结果!N340&lt;=0,0,1)</f>
        <v>1</v>
      </c>
      <c r="O340" s="4">
        <f>IF(澳门新定位结果!O340&lt;=0,0,1)</f>
        <v>1</v>
      </c>
    </row>
    <row r="341" spans="1:15">
      <c r="A341" s="4" t="s">
        <v>701</v>
      </c>
      <c r="B341" s="4">
        <f>IF(澳门新定位结果!B341&lt;=0,0,1)</f>
        <v>1</v>
      </c>
      <c r="C341" s="4">
        <f>IF(澳门新定位结果!C341&lt;=0,0,1)</f>
        <v>1</v>
      </c>
      <c r="D341" s="4">
        <f>IF(澳门新定位结果!D341&lt;=0,0,1)</f>
        <v>0</v>
      </c>
      <c r="E341" s="4">
        <f>IF(澳门新定位结果!E341&lt;=0,0,1)</f>
        <v>0</v>
      </c>
      <c r="F341" s="4">
        <f>IF(澳门新定位结果!F341&lt;=0,0,1)</f>
        <v>0</v>
      </c>
      <c r="G341" s="4">
        <f>IF(澳门新定位结果!G341&lt;=0,0,1)</f>
        <v>0</v>
      </c>
      <c r="H341" s="4">
        <f>IF(澳门新定位结果!H341&lt;=0,0,1)</f>
        <v>1</v>
      </c>
      <c r="I341" s="4">
        <f>IF(澳门新定位结果!I341&lt;=0,0,1)</f>
        <v>0</v>
      </c>
      <c r="J341" s="4">
        <f>IF(澳门新定位结果!J341&lt;=0,0,1)</f>
        <v>1</v>
      </c>
      <c r="K341" s="4">
        <f>IF(澳门新定位结果!K341&lt;=0,0,1)</f>
        <v>1</v>
      </c>
      <c r="L341" s="4">
        <f>IF(澳门新定位结果!L341&lt;=0,0,1)</f>
        <v>1</v>
      </c>
      <c r="M341" s="4">
        <f>IF(澳门新定位结果!M341&lt;=0,0,1)</f>
        <v>1</v>
      </c>
      <c r="N341" s="4">
        <f>IF(澳门新定位结果!N341&lt;=0,0,1)</f>
        <v>1</v>
      </c>
      <c r="O341" s="4">
        <f>IF(澳门新定位结果!O341&lt;=0,0,1)</f>
        <v>0</v>
      </c>
    </row>
    <row r="342" spans="1:15">
      <c r="A342" s="4" t="s">
        <v>703</v>
      </c>
      <c r="B342" s="4">
        <f>IF(澳门新定位结果!B342&lt;=0,0,1)</f>
        <v>1</v>
      </c>
      <c r="C342" s="4">
        <f>IF(澳门新定位结果!C342&lt;=0,0,1)</f>
        <v>1</v>
      </c>
      <c r="D342" s="4">
        <f>IF(澳门新定位结果!D342&lt;=0,0,1)</f>
        <v>0</v>
      </c>
      <c r="E342" s="4">
        <f>IF(澳门新定位结果!E342&lt;=0,0,1)</f>
        <v>1</v>
      </c>
      <c r="F342" s="4">
        <f>IF(澳门新定位结果!F342&lt;=0,0,1)</f>
        <v>1</v>
      </c>
      <c r="G342" s="4">
        <f>IF(澳门新定位结果!G342&lt;=0,0,1)</f>
        <v>0</v>
      </c>
      <c r="H342" s="4">
        <f>IF(澳门新定位结果!H342&lt;=0,0,1)</f>
        <v>1</v>
      </c>
      <c r="I342" s="4">
        <f>IF(澳门新定位结果!I342&lt;=0,0,1)</f>
        <v>1</v>
      </c>
      <c r="J342" s="4">
        <f>IF(澳门新定位结果!J342&lt;=0,0,1)</f>
        <v>0</v>
      </c>
      <c r="K342" s="4">
        <f>IF(澳门新定位结果!K342&lt;=0,0,1)</f>
        <v>1</v>
      </c>
      <c r="L342" s="4">
        <f>IF(澳门新定位结果!L342&lt;=0,0,1)</f>
        <v>1</v>
      </c>
      <c r="M342" s="4">
        <f>IF(澳门新定位结果!M342&lt;=0,0,1)</f>
        <v>0</v>
      </c>
      <c r="N342" s="4">
        <f>IF(澳门新定位结果!N342&lt;=0,0,1)</f>
        <v>0</v>
      </c>
      <c r="O342" s="4">
        <f>IF(澳门新定位结果!O342&lt;=0,0,1)</f>
        <v>1</v>
      </c>
    </row>
    <row r="343" spans="1:15">
      <c r="A343" s="4" t="s">
        <v>705</v>
      </c>
      <c r="B343" s="4">
        <f>IF(澳门新定位结果!B343&lt;=0,0,1)</f>
        <v>1</v>
      </c>
      <c r="C343" s="4">
        <f>IF(澳门新定位结果!C343&lt;=0,0,1)</f>
        <v>0</v>
      </c>
      <c r="D343" s="4">
        <f>IF(澳门新定位结果!D343&lt;=0,0,1)</f>
        <v>1</v>
      </c>
      <c r="E343" s="4">
        <f>IF(澳门新定位结果!E343&lt;=0,0,1)</f>
        <v>1</v>
      </c>
      <c r="F343" s="4">
        <f>IF(澳门新定位结果!F343&lt;=0,0,1)</f>
        <v>1</v>
      </c>
      <c r="G343" s="4">
        <f>IF(澳门新定位结果!G343&lt;=0,0,1)</f>
        <v>0</v>
      </c>
      <c r="H343" s="4">
        <f>IF(澳门新定位结果!H343&lt;=0,0,1)</f>
        <v>0</v>
      </c>
      <c r="I343" s="4">
        <f>IF(澳门新定位结果!I343&lt;=0,0,1)</f>
        <v>0</v>
      </c>
      <c r="J343" s="4">
        <f>IF(澳门新定位结果!J343&lt;=0,0,1)</f>
        <v>0</v>
      </c>
      <c r="K343" s="4">
        <f>IF(澳门新定位结果!K343&lt;=0,0,1)</f>
        <v>0</v>
      </c>
      <c r="L343" s="4">
        <f>IF(澳门新定位结果!L343&lt;=0,0,1)</f>
        <v>1</v>
      </c>
      <c r="M343" s="4">
        <f>IF(澳门新定位结果!M343&lt;=0,0,1)</f>
        <v>1</v>
      </c>
      <c r="N343" s="4">
        <f>IF(澳门新定位结果!N343&lt;=0,0,1)</f>
        <v>1</v>
      </c>
      <c r="O343" s="4">
        <f>IF(澳门新定位结果!O343&lt;=0,0,1)</f>
        <v>1</v>
      </c>
    </row>
    <row r="344" spans="1:15">
      <c r="A344" s="4" t="s">
        <v>707</v>
      </c>
      <c r="B344" s="4">
        <f>IF(澳门新定位结果!B344&lt;=0,0,1)</f>
        <v>1</v>
      </c>
      <c r="C344" s="4">
        <f>IF(澳门新定位结果!C344&lt;=0,0,1)</f>
        <v>0</v>
      </c>
      <c r="D344" s="4">
        <f>IF(澳门新定位结果!D344&lt;=0,0,1)</f>
        <v>1</v>
      </c>
      <c r="E344" s="4">
        <f>IF(澳门新定位结果!E344&lt;=0,0,1)</f>
        <v>1</v>
      </c>
      <c r="F344" s="4">
        <f>IF(澳门新定位结果!F344&lt;=0,0,1)</f>
        <v>0</v>
      </c>
      <c r="G344" s="4">
        <f>IF(澳门新定位结果!G344&lt;=0,0,1)</f>
        <v>0</v>
      </c>
      <c r="H344" s="4">
        <f>IF(澳门新定位结果!H344&lt;=0,0,1)</f>
        <v>1</v>
      </c>
      <c r="I344" s="4">
        <f>IF(澳门新定位结果!I344&lt;=0,0,1)</f>
        <v>1</v>
      </c>
      <c r="J344" s="4">
        <f>IF(澳门新定位结果!J344&lt;=0,0,1)</f>
        <v>0</v>
      </c>
      <c r="K344" s="4">
        <f>IF(澳门新定位结果!K344&lt;=0,0,1)</f>
        <v>1</v>
      </c>
      <c r="L344" s="4">
        <f>IF(澳门新定位结果!L344&lt;=0,0,1)</f>
        <v>1</v>
      </c>
      <c r="M344" s="4">
        <f>IF(澳门新定位结果!M344&lt;=0,0,1)</f>
        <v>0</v>
      </c>
      <c r="N344" s="4">
        <f>IF(澳门新定位结果!N344&lt;=0,0,1)</f>
        <v>0</v>
      </c>
      <c r="O344" s="4">
        <f>IF(澳门新定位结果!O344&lt;=0,0,1)</f>
        <v>1</v>
      </c>
    </row>
    <row r="345" spans="1:15">
      <c r="A345" s="4" t="s">
        <v>709</v>
      </c>
      <c r="B345" s="4">
        <f>IF(澳门新定位结果!B345&lt;=0,0,1)</f>
        <v>1</v>
      </c>
      <c r="C345" s="4">
        <f>IF(澳门新定位结果!C345&lt;=0,0,1)</f>
        <v>1</v>
      </c>
      <c r="D345" s="4">
        <f>IF(澳门新定位结果!D345&lt;=0,0,1)</f>
        <v>0</v>
      </c>
      <c r="E345" s="4">
        <f>IF(澳门新定位结果!E345&lt;=0,0,1)</f>
        <v>0</v>
      </c>
      <c r="F345" s="4">
        <f>IF(澳门新定位结果!F345&lt;=0,0,1)</f>
        <v>1</v>
      </c>
      <c r="G345" s="4">
        <f>IF(澳门新定位结果!G345&lt;=0,0,1)</f>
        <v>1</v>
      </c>
      <c r="H345" s="4">
        <f>IF(澳门新定位结果!H345&lt;=0,0,1)</f>
        <v>0</v>
      </c>
      <c r="I345" s="4">
        <f>IF(澳门新定位结果!I345&lt;=0,0,1)</f>
        <v>1</v>
      </c>
      <c r="J345" s="4">
        <f>IF(澳门新定位结果!J345&lt;=0,0,1)</f>
        <v>1</v>
      </c>
      <c r="K345" s="4">
        <f>IF(澳门新定位结果!K345&lt;=0,0,1)</f>
        <v>0</v>
      </c>
      <c r="L345" s="4">
        <f>IF(澳门新定位结果!L345&lt;=0,0,1)</f>
        <v>1</v>
      </c>
      <c r="M345" s="4">
        <f>IF(澳门新定位结果!M345&lt;=0,0,1)</f>
        <v>1</v>
      </c>
      <c r="N345" s="4">
        <f>IF(澳门新定位结果!N345&lt;=0,0,1)</f>
        <v>1</v>
      </c>
      <c r="O345" s="4">
        <f>IF(澳门新定位结果!O345&lt;=0,0,1)</f>
        <v>1</v>
      </c>
    </row>
    <row r="346" spans="1:15">
      <c r="A346" s="4" t="s">
        <v>711</v>
      </c>
      <c r="B346" s="4">
        <f>IF(澳门新定位结果!B346&lt;=0,0,1)</f>
        <v>1</v>
      </c>
      <c r="C346" s="4">
        <f>IF(澳门新定位结果!C346&lt;=0,0,1)</f>
        <v>1</v>
      </c>
      <c r="D346" s="4">
        <f>IF(澳门新定位结果!D346&lt;=0,0,1)</f>
        <v>1</v>
      </c>
      <c r="E346" s="4">
        <f>IF(澳门新定位结果!E346&lt;=0,0,1)</f>
        <v>1</v>
      </c>
      <c r="F346" s="4">
        <f>IF(澳门新定位结果!F346&lt;=0,0,1)</f>
        <v>0</v>
      </c>
      <c r="G346" s="4">
        <f>IF(澳门新定位结果!G346&lt;=0,0,1)</f>
        <v>1</v>
      </c>
      <c r="H346" s="4">
        <f>IF(澳门新定位结果!H346&lt;=0,0,1)</f>
        <v>1</v>
      </c>
      <c r="I346" s="4">
        <f>IF(澳门新定位结果!I346&lt;=0,0,1)</f>
        <v>1</v>
      </c>
      <c r="J346" s="4">
        <f>IF(澳门新定位结果!J346&lt;=0,0,1)</f>
        <v>1</v>
      </c>
      <c r="K346" s="4">
        <f>IF(澳门新定位结果!K346&lt;=0,0,1)</f>
        <v>1</v>
      </c>
      <c r="L346" s="4">
        <f>IF(澳门新定位结果!L346&lt;=0,0,1)</f>
        <v>1</v>
      </c>
      <c r="M346" s="4">
        <f>IF(澳门新定位结果!M346&lt;=0,0,1)</f>
        <v>1</v>
      </c>
      <c r="N346" s="4">
        <f>IF(澳门新定位结果!N346&lt;=0,0,1)</f>
        <v>1</v>
      </c>
      <c r="O346" s="4">
        <f>IF(澳门新定位结果!O346&lt;=0,0,1)</f>
        <v>1</v>
      </c>
    </row>
    <row r="347" spans="1:15">
      <c r="A347" s="4" t="s">
        <v>713</v>
      </c>
      <c r="B347" s="4">
        <f>IF(澳门新定位结果!B347&lt;=0,0,1)</f>
        <v>0</v>
      </c>
      <c r="C347" s="4">
        <f>IF(澳门新定位结果!C347&lt;=0,0,1)</f>
        <v>1</v>
      </c>
      <c r="D347" s="4">
        <f>IF(澳门新定位结果!D347&lt;=0,0,1)</f>
        <v>0</v>
      </c>
      <c r="E347" s="4">
        <f>IF(澳门新定位结果!E347&lt;=0,0,1)</f>
        <v>1</v>
      </c>
      <c r="F347" s="4">
        <f>IF(澳门新定位结果!F347&lt;=0,0,1)</f>
        <v>0</v>
      </c>
      <c r="G347" s="4">
        <f>IF(澳门新定位结果!G347&lt;=0,0,1)</f>
        <v>1</v>
      </c>
      <c r="H347" s="4">
        <f>IF(澳门新定位结果!H347&lt;=0,0,1)</f>
        <v>0</v>
      </c>
      <c r="I347" s="4">
        <f>IF(澳门新定位结果!I347&lt;=0,0,1)</f>
        <v>1</v>
      </c>
      <c r="J347" s="4">
        <f>IF(澳门新定位结果!J347&lt;=0,0,1)</f>
        <v>0</v>
      </c>
      <c r="K347" s="4">
        <f>IF(澳门新定位结果!K347&lt;=0,0,1)</f>
        <v>1</v>
      </c>
      <c r="L347" s="4">
        <f>IF(澳门新定位结果!L347&lt;=0,0,1)</f>
        <v>1</v>
      </c>
      <c r="M347" s="4">
        <f>IF(澳门新定位结果!M347&lt;=0,0,1)</f>
        <v>0</v>
      </c>
      <c r="N347" s="4">
        <f>IF(澳门新定位结果!N347&lt;=0,0,1)</f>
        <v>0</v>
      </c>
      <c r="O347" s="4">
        <f>IF(澳门新定位结果!O347&lt;=0,0,1)</f>
        <v>1</v>
      </c>
    </row>
    <row r="348" spans="1:15">
      <c r="A348" s="4" t="s">
        <v>715</v>
      </c>
      <c r="B348" s="4">
        <f>IF(澳门新定位结果!B348&lt;=0,0,1)</f>
        <v>1</v>
      </c>
      <c r="C348" s="4">
        <f>IF(澳门新定位结果!C348&lt;=0,0,1)</f>
        <v>1</v>
      </c>
      <c r="D348" s="4">
        <f>IF(澳门新定位结果!D348&lt;=0,0,1)</f>
        <v>1</v>
      </c>
      <c r="E348" s="4">
        <f>IF(澳门新定位结果!E348&lt;=0,0,1)</f>
        <v>1</v>
      </c>
      <c r="F348" s="4">
        <f>IF(澳门新定位结果!F348&lt;=0,0,1)</f>
        <v>1</v>
      </c>
      <c r="G348" s="4">
        <f>IF(澳门新定位结果!G348&lt;=0,0,1)</f>
        <v>0</v>
      </c>
      <c r="H348" s="4">
        <f>IF(澳门新定位结果!H348&lt;=0,0,1)</f>
        <v>1</v>
      </c>
      <c r="I348" s="4">
        <f>IF(澳门新定位结果!I348&lt;=0,0,1)</f>
        <v>1</v>
      </c>
      <c r="J348" s="4">
        <f>IF(澳门新定位结果!J348&lt;=0,0,1)</f>
        <v>1</v>
      </c>
      <c r="K348" s="4">
        <f>IF(澳门新定位结果!K348&lt;=0,0,1)</f>
        <v>0</v>
      </c>
      <c r="L348" s="4">
        <f>IF(澳门新定位结果!L348&lt;=0,0,1)</f>
        <v>0</v>
      </c>
      <c r="M348" s="4">
        <f>IF(澳门新定位结果!M348&lt;=0,0,1)</f>
        <v>1</v>
      </c>
      <c r="N348" s="4">
        <f>IF(澳门新定位结果!N348&lt;=0,0,1)</f>
        <v>0</v>
      </c>
      <c r="O348" s="4">
        <f>IF(澳门新定位结果!O348&lt;=0,0,1)</f>
        <v>0</v>
      </c>
    </row>
    <row r="349" spans="1:15">
      <c r="A349" s="4" t="s">
        <v>717</v>
      </c>
      <c r="B349" s="4">
        <f>IF(澳门新定位结果!B349&lt;=0,0,1)</f>
        <v>0</v>
      </c>
      <c r="C349" s="4">
        <f>IF(澳门新定位结果!C349&lt;=0,0,1)</f>
        <v>1</v>
      </c>
      <c r="D349" s="4">
        <f>IF(澳门新定位结果!D349&lt;=0,0,1)</f>
        <v>0</v>
      </c>
      <c r="E349" s="4">
        <f>IF(澳门新定位结果!E349&lt;=0,0,1)</f>
        <v>1</v>
      </c>
      <c r="F349" s="4">
        <f>IF(澳门新定位结果!F349&lt;=0,0,1)</f>
        <v>0</v>
      </c>
      <c r="G349" s="4">
        <f>IF(澳门新定位结果!G349&lt;=0,0,1)</f>
        <v>1</v>
      </c>
      <c r="H349" s="4">
        <f>IF(澳门新定位结果!H349&lt;=0,0,1)</f>
        <v>0</v>
      </c>
      <c r="I349" s="4">
        <f>IF(澳门新定位结果!I349&lt;=0,0,1)</f>
        <v>1</v>
      </c>
      <c r="J349" s="4">
        <f>IF(澳门新定位结果!J349&lt;=0,0,1)</f>
        <v>0</v>
      </c>
      <c r="K349" s="4">
        <f>IF(澳门新定位结果!K349&lt;=0,0,1)</f>
        <v>1</v>
      </c>
      <c r="L349" s="4">
        <f>IF(澳门新定位结果!L349&lt;=0,0,1)</f>
        <v>1</v>
      </c>
      <c r="M349" s="4">
        <f>IF(澳门新定位结果!M349&lt;=0,0,1)</f>
        <v>0</v>
      </c>
      <c r="N349" s="4">
        <f>IF(澳门新定位结果!N349&lt;=0,0,1)</f>
        <v>1</v>
      </c>
      <c r="O349" s="4">
        <f>IF(澳门新定位结果!O349&lt;=0,0,1)</f>
        <v>1</v>
      </c>
    </row>
    <row r="350" spans="1:15">
      <c r="A350" s="4" t="s">
        <v>719</v>
      </c>
      <c r="B350" s="4">
        <f>IF(澳门新定位结果!B350&lt;=0,0,1)</f>
        <v>1</v>
      </c>
      <c r="C350" s="4">
        <f>IF(澳门新定位结果!C350&lt;=0,0,1)</f>
        <v>1</v>
      </c>
      <c r="D350" s="4">
        <f>IF(澳门新定位结果!D350&lt;=0,0,1)</f>
        <v>1</v>
      </c>
      <c r="E350" s="4">
        <f>IF(澳门新定位结果!E350&lt;=0,0,1)</f>
        <v>1</v>
      </c>
      <c r="F350" s="4">
        <f>IF(澳门新定位结果!F350&lt;=0,0,1)</f>
        <v>1</v>
      </c>
      <c r="G350" s="4">
        <f>IF(澳门新定位结果!G350&lt;=0,0,1)</f>
        <v>0</v>
      </c>
      <c r="H350" s="4">
        <f>IF(澳门新定位结果!H350&lt;=0,0,1)</f>
        <v>0</v>
      </c>
      <c r="I350" s="4">
        <f>IF(澳门新定位结果!I350&lt;=0,0,1)</f>
        <v>0</v>
      </c>
      <c r="J350" s="4">
        <f>IF(澳门新定位结果!J350&lt;=0,0,1)</f>
        <v>1</v>
      </c>
      <c r="K350" s="4">
        <f>IF(澳门新定位结果!K350&lt;=0,0,1)</f>
        <v>1</v>
      </c>
      <c r="L350" s="4">
        <f>IF(澳门新定位结果!L350&lt;=0,0,1)</f>
        <v>0</v>
      </c>
      <c r="M350" s="4">
        <f>IF(澳门新定位结果!M350&lt;=0,0,1)</f>
        <v>0</v>
      </c>
      <c r="N350" s="4">
        <f>IF(澳门新定位结果!N350&lt;=0,0,1)</f>
        <v>0</v>
      </c>
      <c r="O350" s="4">
        <f>IF(澳门新定位结果!O350&lt;=0,0,1)</f>
        <v>1</v>
      </c>
    </row>
    <row r="351" spans="1:15">
      <c r="A351" s="4" t="s">
        <v>721</v>
      </c>
      <c r="B351" s="4">
        <f>IF(澳门新定位结果!B351&lt;=0,0,1)</f>
        <v>1</v>
      </c>
      <c r="C351" s="4">
        <f>IF(澳门新定位结果!C351&lt;=0,0,1)</f>
        <v>0</v>
      </c>
      <c r="D351" s="4">
        <f>IF(澳门新定位结果!D351&lt;=0,0,1)</f>
        <v>0</v>
      </c>
      <c r="E351" s="4">
        <f>IF(澳门新定位结果!E351&lt;=0,0,1)</f>
        <v>0</v>
      </c>
      <c r="F351" s="4">
        <f>IF(澳门新定位结果!F351&lt;=0,0,1)</f>
        <v>0</v>
      </c>
      <c r="G351" s="4">
        <f>IF(澳门新定位结果!G351&lt;=0,0,1)</f>
        <v>0</v>
      </c>
      <c r="H351" s="4">
        <f>IF(澳门新定位结果!H351&lt;=0,0,1)</f>
        <v>1</v>
      </c>
      <c r="I351" s="4">
        <f>IF(澳门新定位结果!I351&lt;=0,0,1)</f>
        <v>1</v>
      </c>
      <c r="J351" s="4">
        <f>IF(澳门新定位结果!J351&lt;=0,0,1)</f>
        <v>0</v>
      </c>
      <c r="K351" s="4">
        <f>IF(澳门新定位结果!K351&lt;=0,0,1)</f>
        <v>1</v>
      </c>
      <c r="L351" s="4">
        <f>IF(澳门新定位结果!L351&lt;=0,0,1)</f>
        <v>1</v>
      </c>
      <c r="M351" s="4">
        <f>IF(澳门新定位结果!M351&lt;=0,0,1)</f>
        <v>1</v>
      </c>
      <c r="N351" s="4">
        <f>IF(澳门新定位结果!N351&lt;=0,0,1)</f>
        <v>0</v>
      </c>
      <c r="O351" s="4">
        <f>IF(澳门新定位结果!O351&lt;=0,0,1)</f>
        <v>0</v>
      </c>
    </row>
    <row r="352" spans="1:15">
      <c r="A352" s="4" t="s">
        <v>723</v>
      </c>
      <c r="B352" s="4">
        <f>IF(澳门新定位结果!B352&lt;=0,0,1)</f>
        <v>1</v>
      </c>
      <c r="C352" s="4">
        <f>IF(澳门新定位结果!C352&lt;=0,0,1)</f>
        <v>1</v>
      </c>
      <c r="D352" s="4">
        <f>IF(澳门新定位结果!D352&lt;=0,0,1)</f>
        <v>0</v>
      </c>
      <c r="E352" s="4">
        <f>IF(澳门新定位结果!E352&lt;=0,0,1)</f>
        <v>1</v>
      </c>
      <c r="F352" s="4">
        <f>IF(澳门新定位结果!F352&lt;=0,0,1)</f>
        <v>1</v>
      </c>
      <c r="G352" s="4">
        <f>IF(澳门新定位结果!G352&lt;=0,0,1)</f>
        <v>0</v>
      </c>
      <c r="H352" s="4">
        <f>IF(澳门新定位结果!H352&lt;=0,0,1)</f>
        <v>0</v>
      </c>
      <c r="I352" s="4">
        <f>IF(澳门新定位结果!I352&lt;=0,0,1)</f>
        <v>1</v>
      </c>
      <c r="J352" s="4">
        <f>IF(澳门新定位结果!J352&lt;=0,0,1)</f>
        <v>1</v>
      </c>
      <c r="K352" s="4">
        <f>IF(澳门新定位结果!K352&lt;=0,0,1)</f>
        <v>1</v>
      </c>
      <c r="L352" s="4">
        <f>IF(澳门新定位结果!L352&lt;=0,0,1)</f>
        <v>0</v>
      </c>
      <c r="M352" s="4">
        <f>IF(澳门新定位结果!M352&lt;=0,0,1)</f>
        <v>1</v>
      </c>
      <c r="N352" s="4">
        <f>IF(澳门新定位结果!N352&lt;=0,0,1)</f>
        <v>0</v>
      </c>
      <c r="O352" s="4">
        <f>IF(澳门新定位结果!O352&lt;=0,0,1)</f>
        <v>1</v>
      </c>
    </row>
    <row r="353" spans="1:15">
      <c r="A353" s="4" t="s">
        <v>725</v>
      </c>
      <c r="B353" s="4">
        <f>IF(澳门新定位结果!B353&lt;=0,0,1)</f>
        <v>1</v>
      </c>
      <c r="C353" s="4">
        <f>IF(澳门新定位结果!C353&lt;=0,0,1)</f>
        <v>0</v>
      </c>
      <c r="D353" s="4">
        <f>IF(澳门新定位结果!D353&lt;=0,0,1)</f>
        <v>0</v>
      </c>
      <c r="E353" s="4">
        <f>IF(澳门新定位结果!E353&lt;=0,0,1)</f>
        <v>1</v>
      </c>
      <c r="F353" s="4">
        <f>IF(澳门新定位结果!F353&lt;=0,0,1)</f>
        <v>1</v>
      </c>
      <c r="G353" s="4">
        <f>IF(澳门新定位结果!G353&lt;=0,0,1)</f>
        <v>0</v>
      </c>
      <c r="H353" s="4">
        <f>IF(澳门新定位结果!H353&lt;=0,0,1)</f>
        <v>0</v>
      </c>
      <c r="I353" s="4">
        <f>IF(澳门新定位结果!I353&lt;=0,0,1)</f>
        <v>1</v>
      </c>
      <c r="J353" s="4">
        <f>IF(澳门新定位结果!J353&lt;=0,0,1)</f>
        <v>0</v>
      </c>
      <c r="K353" s="4">
        <f>IF(澳门新定位结果!K353&lt;=0,0,1)</f>
        <v>1</v>
      </c>
      <c r="L353" s="4">
        <f>IF(澳门新定位结果!L353&lt;=0,0,1)</f>
        <v>1</v>
      </c>
      <c r="M353" s="4">
        <f>IF(澳门新定位结果!M353&lt;=0,0,1)</f>
        <v>0</v>
      </c>
      <c r="N353" s="4">
        <f>IF(澳门新定位结果!N353&lt;=0,0,1)</f>
        <v>1</v>
      </c>
      <c r="O353" s="4">
        <f>IF(澳门新定位结果!O353&lt;=0,0,1)</f>
        <v>1</v>
      </c>
    </row>
    <row r="354" spans="1:15">
      <c r="A354" s="4" t="s">
        <v>727</v>
      </c>
      <c r="B354" s="4">
        <f>IF(澳门新定位结果!B354&lt;=0,0,1)</f>
        <v>1</v>
      </c>
      <c r="C354" s="4">
        <f>IF(澳门新定位结果!C354&lt;=0,0,1)</f>
        <v>0</v>
      </c>
      <c r="D354" s="4">
        <f>IF(澳门新定位结果!D354&lt;=0,0,1)</f>
        <v>0</v>
      </c>
      <c r="E354" s="4">
        <f>IF(澳门新定位结果!E354&lt;=0,0,1)</f>
        <v>0</v>
      </c>
      <c r="F354" s="4">
        <f>IF(澳门新定位结果!F354&lt;=0,0,1)</f>
        <v>1</v>
      </c>
      <c r="G354" s="4">
        <f>IF(澳门新定位结果!G354&lt;=0,0,1)</f>
        <v>0</v>
      </c>
      <c r="H354" s="4">
        <f>IF(澳门新定位结果!H354&lt;=0,0,1)</f>
        <v>1</v>
      </c>
      <c r="I354" s="4">
        <f>IF(澳门新定位结果!I354&lt;=0,0,1)</f>
        <v>1</v>
      </c>
      <c r="J354" s="4">
        <f>IF(澳门新定位结果!J354&lt;=0,0,1)</f>
        <v>0</v>
      </c>
      <c r="K354" s="4">
        <f>IF(澳门新定位结果!K354&lt;=0,0,1)</f>
        <v>1</v>
      </c>
      <c r="L354" s="4">
        <f>IF(澳门新定位结果!L354&lt;=0,0,1)</f>
        <v>1</v>
      </c>
      <c r="M354" s="4">
        <f>IF(澳门新定位结果!M354&lt;=0,0,1)</f>
        <v>0</v>
      </c>
      <c r="N354" s="4">
        <f>IF(澳门新定位结果!N354&lt;=0,0,1)</f>
        <v>0</v>
      </c>
      <c r="O354" s="4">
        <f>IF(澳门新定位结果!O354&lt;=0,0,1)</f>
        <v>1</v>
      </c>
    </row>
    <row r="355" spans="1:15">
      <c r="A355" s="4" t="s">
        <v>729</v>
      </c>
      <c r="B355" s="4">
        <f>IF(澳门新定位结果!B355&lt;=0,0,1)</f>
        <v>0</v>
      </c>
      <c r="C355" s="4">
        <f>IF(澳门新定位结果!C355&lt;=0,0,1)</f>
        <v>1</v>
      </c>
      <c r="D355" s="4">
        <f>IF(澳门新定位结果!D355&lt;=0,0,1)</f>
        <v>0</v>
      </c>
      <c r="E355" s="4">
        <f>IF(澳门新定位结果!E355&lt;=0,0,1)</f>
        <v>1</v>
      </c>
      <c r="F355" s="4">
        <f>IF(澳门新定位结果!F355&lt;=0,0,1)</f>
        <v>1</v>
      </c>
      <c r="G355" s="4">
        <f>IF(澳门新定位结果!G355&lt;=0,0,1)</f>
        <v>1</v>
      </c>
      <c r="H355" s="4">
        <f>IF(澳门新定位结果!H355&lt;=0,0,1)</f>
        <v>0</v>
      </c>
      <c r="I355" s="4">
        <f>IF(澳门新定位结果!I355&lt;=0,0,1)</f>
        <v>1</v>
      </c>
      <c r="J355" s="4">
        <f>IF(澳门新定位结果!J355&lt;=0,0,1)</f>
        <v>1</v>
      </c>
      <c r="K355" s="4">
        <f>IF(澳门新定位结果!K355&lt;=0,0,1)</f>
        <v>1</v>
      </c>
      <c r="L355" s="4">
        <f>IF(澳门新定位结果!L355&lt;=0,0,1)</f>
        <v>0</v>
      </c>
      <c r="M355" s="4">
        <f>IF(澳门新定位结果!M355&lt;=0,0,1)</f>
        <v>0</v>
      </c>
      <c r="N355" s="4">
        <f>IF(澳门新定位结果!N355&lt;=0,0,1)</f>
        <v>0</v>
      </c>
      <c r="O355" s="4">
        <f>IF(澳门新定位结果!O355&lt;=0,0,1)</f>
        <v>1</v>
      </c>
    </row>
    <row r="356" spans="1:15">
      <c r="A356" s="4" t="s">
        <v>731</v>
      </c>
      <c r="B356" s="4">
        <f>IF(澳门新定位结果!B356&lt;=0,0,1)</f>
        <v>1</v>
      </c>
      <c r="C356" s="4">
        <f>IF(澳门新定位结果!C356&lt;=0,0,1)</f>
        <v>1</v>
      </c>
      <c r="D356" s="4">
        <f>IF(澳门新定位结果!D356&lt;=0,0,1)</f>
        <v>0</v>
      </c>
      <c r="E356" s="4">
        <f>IF(澳门新定位结果!E356&lt;=0,0,1)</f>
        <v>1</v>
      </c>
      <c r="F356" s="4">
        <f>IF(澳门新定位结果!F356&lt;=0,0,1)</f>
        <v>0</v>
      </c>
      <c r="G356" s="4">
        <f>IF(澳门新定位结果!G356&lt;=0,0,1)</f>
        <v>0</v>
      </c>
      <c r="H356" s="4">
        <f>IF(澳门新定位结果!H356&lt;=0,0,1)</f>
        <v>0</v>
      </c>
      <c r="I356" s="4">
        <f>IF(澳门新定位结果!I356&lt;=0,0,1)</f>
        <v>1</v>
      </c>
      <c r="J356" s="4">
        <f>IF(澳门新定位结果!J356&lt;=0,0,1)</f>
        <v>1</v>
      </c>
      <c r="K356" s="4">
        <f>IF(澳门新定位结果!K356&lt;=0,0,1)</f>
        <v>1</v>
      </c>
      <c r="L356" s="4">
        <f>IF(澳门新定位结果!L356&lt;=0,0,1)</f>
        <v>1</v>
      </c>
      <c r="M356" s="4">
        <f>IF(澳门新定位结果!M356&lt;=0,0,1)</f>
        <v>0</v>
      </c>
      <c r="N356" s="4">
        <f>IF(澳门新定位结果!N356&lt;=0,0,1)</f>
        <v>0</v>
      </c>
      <c r="O356" s="4">
        <f>IF(澳门新定位结果!O356&lt;=0,0,1)</f>
        <v>0</v>
      </c>
    </row>
    <row r="357" spans="1:15">
      <c r="A357" s="4" t="s">
        <v>733</v>
      </c>
      <c r="B357" s="4">
        <f>IF(澳门新定位结果!B357&lt;=0,0,1)</f>
        <v>1</v>
      </c>
      <c r="C357" s="4">
        <f>IF(澳门新定位结果!C357&lt;=0,0,1)</f>
        <v>0</v>
      </c>
      <c r="D357" s="4">
        <f>IF(澳门新定位结果!D357&lt;=0,0,1)</f>
        <v>0</v>
      </c>
      <c r="E357" s="4">
        <f>IF(澳门新定位结果!E357&lt;=0,0,1)</f>
        <v>0</v>
      </c>
      <c r="F357" s="4">
        <f>IF(澳门新定位结果!F357&lt;=0,0,1)</f>
        <v>1</v>
      </c>
      <c r="G357" s="4">
        <f>IF(澳门新定位结果!G357&lt;=0,0,1)</f>
        <v>1</v>
      </c>
      <c r="H357" s="4">
        <f>IF(澳门新定位结果!H357&lt;=0,0,1)</f>
        <v>1</v>
      </c>
      <c r="I357" s="4">
        <f>IF(澳门新定位结果!I357&lt;=0,0,1)</f>
        <v>1</v>
      </c>
      <c r="J357" s="4">
        <f>IF(澳门新定位结果!J357&lt;=0,0,1)</f>
        <v>1</v>
      </c>
      <c r="K357" s="4">
        <f>IF(澳门新定位结果!K357&lt;=0,0,1)</f>
        <v>0</v>
      </c>
      <c r="L357" s="4">
        <f>IF(澳门新定位结果!L357&lt;=0,0,1)</f>
        <v>1</v>
      </c>
      <c r="M357" s="4">
        <f>IF(澳门新定位结果!M357&lt;=0,0,1)</f>
        <v>0</v>
      </c>
      <c r="N357" s="4">
        <f>IF(澳门新定位结果!N357&lt;=0,0,1)</f>
        <v>0</v>
      </c>
      <c r="O357" s="4">
        <f>IF(澳门新定位结果!O357&lt;=0,0,1)</f>
        <v>1</v>
      </c>
    </row>
    <row r="358" spans="1:15">
      <c r="A358" s="4" t="s">
        <v>735</v>
      </c>
      <c r="B358" s="4">
        <f>IF(澳门新定位结果!B358&lt;=0,0,1)</f>
        <v>0</v>
      </c>
      <c r="C358" s="4">
        <f>IF(澳门新定位结果!C358&lt;=0,0,1)</f>
        <v>1</v>
      </c>
      <c r="D358" s="4">
        <f>IF(澳门新定位结果!D358&lt;=0,0,1)</f>
        <v>1</v>
      </c>
      <c r="E358" s="4">
        <f>IF(澳门新定位结果!E358&lt;=0,0,1)</f>
        <v>0</v>
      </c>
      <c r="F358" s="4">
        <f>IF(澳门新定位结果!F358&lt;=0,0,1)</f>
        <v>1</v>
      </c>
      <c r="G358" s="4">
        <f>IF(澳门新定位结果!G358&lt;=0,0,1)</f>
        <v>0</v>
      </c>
      <c r="H358" s="4">
        <f>IF(澳门新定位结果!H358&lt;=0,0,1)</f>
        <v>1</v>
      </c>
      <c r="I358" s="4">
        <f>IF(澳门新定位结果!I358&lt;=0,0,1)</f>
        <v>0</v>
      </c>
      <c r="J358" s="4">
        <f>IF(澳门新定位结果!J358&lt;=0,0,1)</f>
        <v>1</v>
      </c>
      <c r="K358" s="4">
        <f>IF(澳门新定位结果!K358&lt;=0,0,1)</f>
        <v>0</v>
      </c>
      <c r="L358" s="4">
        <f>IF(澳门新定位结果!L358&lt;=0,0,1)</f>
        <v>0</v>
      </c>
      <c r="M358" s="4">
        <f>IF(澳门新定位结果!M358&lt;=0,0,1)</f>
        <v>1</v>
      </c>
      <c r="N358" s="4">
        <f>IF(澳门新定位结果!N358&lt;=0,0,1)</f>
        <v>1</v>
      </c>
      <c r="O358" s="4">
        <f>IF(澳门新定位结果!O358&lt;=0,0,1)</f>
        <v>1</v>
      </c>
    </row>
    <row r="359" spans="1:15">
      <c r="A359" s="4" t="s">
        <v>737</v>
      </c>
      <c r="B359" s="4">
        <f>IF(澳门新定位结果!B359&lt;=0,0,1)</f>
        <v>0</v>
      </c>
      <c r="C359" s="4">
        <f>IF(澳门新定位结果!C359&lt;=0,0,1)</f>
        <v>0</v>
      </c>
      <c r="D359" s="4">
        <f>IF(澳门新定位结果!D359&lt;=0,0,1)</f>
        <v>0</v>
      </c>
      <c r="E359" s="4">
        <f>IF(澳门新定位结果!E359&lt;=0,0,1)</f>
        <v>1</v>
      </c>
      <c r="F359" s="4">
        <f>IF(澳门新定位结果!F359&lt;=0,0,1)</f>
        <v>0</v>
      </c>
      <c r="G359" s="4">
        <f>IF(澳门新定位结果!G359&lt;=0,0,1)</f>
        <v>1</v>
      </c>
      <c r="H359" s="4">
        <f>IF(澳门新定位结果!H359&lt;=0,0,1)</f>
        <v>0</v>
      </c>
      <c r="I359" s="4">
        <f>IF(澳门新定位结果!I359&lt;=0,0,1)</f>
        <v>1</v>
      </c>
      <c r="J359" s="4">
        <f>IF(澳门新定位结果!J359&lt;=0,0,1)</f>
        <v>0</v>
      </c>
      <c r="K359" s="4">
        <f>IF(澳门新定位结果!K359&lt;=0,0,1)</f>
        <v>0</v>
      </c>
      <c r="L359" s="4">
        <f>IF(澳门新定位结果!L359&lt;=0,0,1)</f>
        <v>0</v>
      </c>
      <c r="M359" s="4">
        <f>IF(澳门新定位结果!M359&lt;=0,0,1)</f>
        <v>0</v>
      </c>
      <c r="N359" s="4">
        <f>IF(澳门新定位结果!N359&lt;=0,0,1)</f>
        <v>0</v>
      </c>
      <c r="O359" s="4">
        <f>IF(澳门新定位结果!O359&lt;=0,0,1)</f>
        <v>0</v>
      </c>
    </row>
    <row r="360" spans="1:15">
      <c r="A360" s="4" t="s">
        <v>739</v>
      </c>
      <c r="B360" s="4">
        <f>IF(澳门新定位结果!B360&lt;=0,0,1)</f>
        <v>1</v>
      </c>
      <c r="C360" s="4">
        <f>IF(澳门新定位结果!C360&lt;=0,0,1)</f>
        <v>1</v>
      </c>
      <c r="D360" s="4">
        <f>IF(澳门新定位结果!D360&lt;=0,0,1)</f>
        <v>0</v>
      </c>
      <c r="E360" s="4">
        <f>IF(澳门新定位结果!E360&lt;=0,0,1)</f>
        <v>1</v>
      </c>
      <c r="F360" s="4">
        <f>IF(澳门新定位结果!F360&lt;=0,0,1)</f>
        <v>1</v>
      </c>
      <c r="G360" s="4">
        <f>IF(澳门新定位结果!G360&lt;=0,0,1)</f>
        <v>1</v>
      </c>
      <c r="H360" s="4">
        <f>IF(澳门新定位结果!H360&lt;=0,0,1)</f>
        <v>0</v>
      </c>
      <c r="I360" s="4">
        <f>IF(澳门新定位结果!I360&lt;=0,0,1)</f>
        <v>1</v>
      </c>
      <c r="J360" s="4">
        <f>IF(澳门新定位结果!J360&lt;=0,0,1)</f>
        <v>0</v>
      </c>
      <c r="K360" s="4">
        <f>IF(澳门新定位结果!K360&lt;=0,0,1)</f>
        <v>1</v>
      </c>
      <c r="L360" s="4">
        <f>IF(澳门新定位结果!L360&lt;=0,0,1)</f>
        <v>1</v>
      </c>
      <c r="M360" s="4">
        <f>IF(澳门新定位结果!M360&lt;=0,0,1)</f>
        <v>0</v>
      </c>
      <c r="N360" s="4">
        <f>IF(澳门新定位结果!N360&lt;=0,0,1)</f>
        <v>1</v>
      </c>
      <c r="O360" s="4">
        <f>IF(澳门新定位结果!O360&lt;=0,0,1)</f>
        <v>1</v>
      </c>
    </row>
    <row r="361" spans="1:15">
      <c r="A361" s="4" t="s">
        <v>741</v>
      </c>
      <c r="B361" s="4">
        <f>IF(澳门新定位结果!B361&lt;=0,0,1)</f>
        <v>1</v>
      </c>
      <c r="C361" s="4">
        <f>IF(澳门新定位结果!C361&lt;=0,0,1)</f>
        <v>1</v>
      </c>
      <c r="D361" s="4">
        <f>IF(澳门新定位结果!D361&lt;=0,0,1)</f>
        <v>0</v>
      </c>
      <c r="E361" s="4">
        <f>IF(澳门新定位结果!E361&lt;=0,0,1)</f>
        <v>1</v>
      </c>
      <c r="F361" s="4">
        <f>IF(澳门新定位结果!F361&lt;=0,0,1)</f>
        <v>0</v>
      </c>
      <c r="G361" s="4">
        <f>IF(澳门新定位结果!G361&lt;=0,0,1)</f>
        <v>0</v>
      </c>
      <c r="H361" s="4">
        <f>IF(澳门新定位结果!H361&lt;=0,0,1)</f>
        <v>0</v>
      </c>
      <c r="I361" s="4">
        <f>IF(澳门新定位结果!I361&lt;=0,0,1)</f>
        <v>1</v>
      </c>
      <c r="J361" s="4">
        <f>IF(澳门新定位结果!J361&lt;=0,0,1)</f>
        <v>1</v>
      </c>
      <c r="K361" s="4">
        <f>IF(澳门新定位结果!K361&lt;=0,0,1)</f>
        <v>1</v>
      </c>
      <c r="L361" s="4">
        <f>IF(澳门新定位结果!L361&lt;=0,0,1)</f>
        <v>0</v>
      </c>
      <c r="M361" s="4">
        <f>IF(澳门新定位结果!M361&lt;=0,0,1)</f>
        <v>0</v>
      </c>
      <c r="N361" s="4">
        <f>IF(澳门新定位结果!N361&lt;=0,0,1)</f>
        <v>1</v>
      </c>
      <c r="O361" s="4">
        <f>IF(澳门新定位结果!O361&lt;=0,0,1)</f>
        <v>0</v>
      </c>
    </row>
    <row r="362" spans="1:15">
      <c r="A362" s="4" t="s">
        <v>743</v>
      </c>
      <c r="B362" s="4">
        <f>IF(澳门新定位结果!B362&lt;=0,0,1)</f>
        <v>0</v>
      </c>
      <c r="C362" s="4">
        <f>IF(澳门新定位结果!C362&lt;=0,0,1)</f>
        <v>0</v>
      </c>
      <c r="D362" s="4">
        <f>IF(澳门新定位结果!D362&lt;=0,0,1)</f>
        <v>0</v>
      </c>
      <c r="E362" s="4">
        <f>IF(澳门新定位结果!E362&lt;=0,0,1)</f>
        <v>1</v>
      </c>
      <c r="F362" s="4">
        <f>IF(澳门新定位结果!F362&lt;=0,0,1)</f>
        <v>1</v>
      </c>
      <c r="G362" s="4">
        <f>IF(澳门新定位结果!G362&lt;=0,0,1)</f>
        <v>0</v>
      </c>
      <c r="H362" s="4">
        <f>IF(澳门新定位结果!H362&lt;=0,0,1)</f>
        <v>0</v>
      </c>
      <c r="I362" s="4">
        <f>IF(澳门新定位结果!I362&lt;=0,0,1)</f>
        <v>0</v>
      </c>
      <c r="J362" s="4">
        <f>IF(澳门新定位结果!J362&lt;=0,0,1)</f>
        <v>0</v>
      </c>
      <c r="K362" s="4">
        <f>IF(澳门新定位结果!K362&lt;=0,0,1)</f>
        <v>0</v>
      </c>
      <c r="L362" s="4">
        <f>IF(澳门新定位结果!L362&lt;=0,0,1)</f>
        <v>1</v>
      </c>
      <c r="M362" s="4">
        <f>IF(澳门新定位结果!M362&lt;=0,0,1)</f>
        <v>0</v>
      </c>
      <c r="N362" s="4">
        <f>IF(澳门新定位结果!N362&lt;=0,0,1)</f>
        <v>0</v>
      </c>
      <c r="O362" s="4">
        <f>IF(澳门新定位结果!O362&lt;=0,0,1)</f>
        <v>0</v>
      </c>
    </row>
    <row r="363" spans="1:15">
      <c r="A363" s="5" t="s">
        <v>745</v>
      </c>
      <c r="B363" s="4">
        <f>IF(澳门新定位结果!B363&lt;=0,0,1)</f>
        <v>0</v>
      </c>
      <c r="C363" s="4">
        <f>IF(澳门新定位结果!C363&lt;=0,0,1)</f>
        <v>0</v>
      </c>
      <c r="D363" s="4">
        <f>IF(澳门新定位结果!D363&lt;=0,0,1)</f>
        <v>1</v>
      </c>
      <c r="E363" s="4">
        <f>IF(澳门新定位结果!E363&lt;=0,0,1)</f>
        <v>1</v>
      </c>
      <c r="F363" s="4">
        <f>IF(澳门新定位结果!F363&lt;=0,0,1)</f>
        <v>1</v>
      </c>
      <c r="G363" s="4">
        <f>IF(澳门新定位结果!G363&lt;=0,0,1)</f>
        <v>0</v>
      </c>
      <c r="H363" s="4">
        <f>IF(澳门新定位结果!H363&lt;=0,0,1)</f>
        <v>0</v>
      </c>
      <c r="I363" s="4">
        <f>IF(澳门新定位结果!I363&lt;=0,0,1)</f>
        <v>1</v>
      </c>
      <c r="J363" s="4">
        <f>IF(澳门新定位结果!J363&lt;=0,0,1)</f>
        <v>1</v>
      </c>
      <c r="K363" s="4">
        <f>IF(澳门新定位结果!K363&lt;=0,0,1)</f>
        <v>1</v>
      </c>
      <c r="L363" s="4">
        <f>IF(澳门新定位结果!L363&lt;=0,0,1)</f>
        <v>0</v>
      </c>
      <c r="M363" s="4">
        <f>IF(澳门新定位结果!M363&lt;=0,0,1)</f>
        <v>0</v>
      </c>
      <c r="N363" s="4">
        <f>IF(澳门新定位结果!N363&lt;=0,0,1)</f>
        <v>1</v>
      </c>
      <c r="O363" s="4">
        <f>IF(澳门新定位结果!O363&lt;=0,0,1)</f>
        <v>1</v>
      </c>
    </row>
    <row r="364" spans="1:15">
      <c r="A364" s="5" t="s">
        <v>747</v>
      </c>
      <c r="B364" s="4">
        <f>IF(澳门新定位结果!B364&lt;=0,0,1)</f>
        <v>0</v>
      </c>
      <c r="C364" s="4">
        <f>IF(澳门新定位结果!C364&lt;=0,0,1)</f>
        <v>0</v>
      </c>
      <c r="D364" s="4">
        <f>IF(澳门新定位结果!D364&lt;=0,0,1)</f>
        <v>0</v>
      </c>
      <c r="E364" s="4">
        <f>IF(澳门新定位结果!E364&lt;=0,0,1)</f>
        <v>1</v>
      </c>
      <c r="F364" s="4">
        <f>IF(澳门新定位结果!F364&lt;=0,0,1)</f>
        <v>0</v>
      </c>
      <c r="G364" s="4">
        <f>IF(澳门新定位结果!G364&lt;=0,0,1)</f>
        <v>0</v>
      </c>
      <c r="H364" s="4">
        <f>IF(澳门新定位结果!H364&lt;=0,0,1)</f>
        <v>0</v>
      </c>
      <c r="I364" s="4">
        <f>IF(澳门新定位结果!I364&lt;=0,0,1)</f>
        <v>1</v>
      </c>
      <c r="J364" s="4">
        <f>IF(澳门新定位结果!J364&lt;=0,0,1)</f>
        <v>0</v>
      </c>
      <c r="K364" s="4">
        <f>IF(澳门新定位结果!K364&lt;=0,0,1)</f>
        <v>1</v>
      </c>
      <c r="L364" s="4">
        <f>IF(澳门新定位结果!L364&lt;=0,0,1)</f>
        <v>1</v>
      </c>
      <c r="M364" s="4">
        <f>IF(澳门新定位结果!M364&lt;=0,0,1)</f>
        <v>0</v>
      </c>
      <c r="N364" s="4">
        <f>IF(澳门新定位结果!N364&lt;=0,0,1)</f>
        <v>1</v>
      </c>
      <c r="O364" s="4">
        <f>IF(澳门新定位结果!O364&lt;=0,0,1)</f>
        <v>1</v>
      </c>
    </row>
    <row r="365" spans="1:15">
      <c r="A365" s="5" t="s">
        <v>749</v>
      </c>
      <c r="B365" s="4">
        <f>IF(澳门新定位结果!B365&lt;=0,0,1)</f>
        <v>1</v>
      </c>
      <c r="C365" s="4">
        <f>IF(澳门新定位结果!C365&lt;=0,0,1)</f>
        <v>0</v>
      </c>
      <c r="D365" s="4">
        <f>IF(澳门新定位结果!D365&lt;=0,0,1)</f>
        <v>1</v>
      </c>
      <c r="E365" s="4">
        <f>IF(澳门新定位结果!E365&lt;=0,0,1)</f>
        <v>1</v>
      </c>
      <c r="F365" s="4">
        <f>IF(澳门新定位结果!F365&lt;=0,0,1)</f>
        <v>0</v>
      </c>
      <c r="G365" s="4">
        <f>IF(澳门新定位结果!G365&lt;=0,0,1)</f>
        <v>1</v>
      </c>
      <c r="H365" s="4">
        <f>IF(澳门新定位结果!H365&lt;=0,0,1)</f>
        <v>0</v>
      </c>
      <c r="I365" s="4">
        <f>IF(澳门新定位结果!I365&lt;=0,0,1)</f>
        <v>1</v>
      </c>
      <c r="J365" s="4">
        <f>IF(澳门新定位结果!J365&lt;=0,0,1)</f>
        <v>0</v>
      </c>
      <c r="K365" s="4">
        <f>IF(澳门新定位结果!K365&lt;=0,0,1)</f>
        <v>0</v>
      </c>
      <c r="L365" s="4">
        <f>IF(澳门新定位结果!L365&lt;=0,0,1)</f>
        <v>1</v>
      </c>
      <c r="M365" s="4">
        <f>IF(澳门新定位结果!M365&lt;=0,0,1)</f>
        <v>1</v>
      </c>
      <c r="N365" s="4">
        <f>IF(澳门新定位结果!N365&lt;=0,0,1)</f>
        <v>1</v>
      </c>
      <c r="O365" s="4">
        <f>IF(澳门新定位结果!O365&lt;=0,0,1)</f>
        <v>0</v>
      </c>
    </row>
    <row r="366" spans="1:15">
      <c r="A366" s="5" t="s">
        <v>751</v>
      </c>
      <c r="B366" s="4">
        <f>IF(澳门新定位结果!B366&lt;=0,0,1)</f>
        <v>0</v>
      </c>
      <c r="C366" s="4">
        <f>IF(澳门新定位结果!C366&lt;=0,0,1)</f>
        <v>0</v>
      </c>
      <c r="D366" s="4">
        <f>IF(澳门新定位结果!D366&lt;=0,0,1)</f>
        <v>0</v>
      </c>
      <c r="E366" s="4">
        <f>IF(澳门新定位结果!E366&lt;=0,0,1)</f>
        <v>0</v>
      </c>
      <c r="F366" s="4">
        <f>IF(澳门新定位结果!F366&lt;=0,0,1)</f>
        <v>0</v>
      </c>
      <c r="G366" s="4">
        <f>IF(澳门新定位结果!G366&lt;=0,0,1)</f>
        <v>0</v>
      </c>
      <c r="H366" s="4">
        <f>IF(澳门新定位结果!H366&lt;=0,0,1)</f>
        <v>1</v>
      </c>
      <c r="I366" s="4">
        <f>IF(澳门新定位结果!I366&lt;=0,0,1)</f>
        <v>1</v>
      </c>
      <c r="J366" s="4">
        <f>IF(澳门新定位结果!J366&lt;=0,0,1)</f>
        <v>0</v>
      </c>
      <c r="K366" s="4">
        <f>IF(澳门新定位结果!K366&lt;=0,0,1)</f>
        <v>1</v>
      </c>
      <c r="L366" s="4">
        <f>IF(澳门新定位结果!L366&lt;=0,0,1)</f>
        <v>1</v>
      </c>
      <c r="M366" s="4">
        <f>IF(澳门新定位结果!M366&lt;=0,0,1)</f>
        <v>1</v>
      </c>
      <c r="N366" s="4">
        <f>IF(澳门新定位结果!N366&lt;=0,0,1)</f>
        <v>0</v>
      </c>
      <c r="O366" s="4">
        <f>IF(澳门新定位结果!O366&lt;=0,0,1)</f>
        <v>0</v>
      </c>
    </row>
    <row r="367" spans="1:15">
      <c r="A367" s="5" t="s">
        <v>753</v>
      </c>
      <c r="B367" s="4">
        <f>IF(澳门新定位结果!B367&lt;=0,0,1)</f>
        <v>0</v>
      </c>
      <c r="C367" s="4">
        <f>IF(澳门新定位结果!C367&lt;=0,0,1)</f>
        <v>1</v>
      </c>
      <c r="D367" s="4">
        <f>IF(澳门新定位结果!D367&lt;=0,0,1)</f>
        <v>0</v>
      </c>
      <c r="E367" s="4">
        <f>IF(澳门新定位结果!E367&lt;=0,0,1)</f>
        <v>1</v>
      </c>
      <c r="F367" s="4">
        <f>IF(澳门新定位结果!F367&lt;=0,0,1)</f>
        <v>1</v>
      </c>
      <c r="G367" s="4">
        <f>IF(澳门新定位结果!G367&lt;=0,0,1)</f>
        <v>0</v>
      </c>
      <c r="H367" s="4">
        <f>IF(澳门新定位结果!H367&lt;=0,0,1)</f>
        <v>1</v>
      </c>
      <c r="I367" s="4">
        <f>IF(澳门新定位结果!I367&lt;=0,0,1)</f>
        <v>1</v>
      </c>
      <c r="J367" s="4">
        <f>IF(澳门新定位结果!J367&lt;=0,0,1)</f>
        <v>0</v>
      </c>
      <c r="K367" s="4">
        <f>IF(澳门新定位结果!K367&lt;=0,0,1)</f>
        <v>0</v>
      </c>
      <c r="L367" s="4">
        <f>IF(澳门新定位结果!L367&lt;=0,0,1)</f>
        <v>1</v>
      </c>
      <c r="M367" s="4">
        <f>IF(澳门新定位结果!M367&lt;=0,0,1)</f>
        <v>0</v>
      </c>
      <c r="N367" s="4">
        <f>IF(澳门新定位结果!N367&lt;=0,0,1)</f>
        <v>1</v>
      </c>
      <c r="O367" s="4">
        <f>IF(澳门新定位结果!O367&lt;=0,0,1)</f>
        <v>1</v>
      </c>
    </row>
    <row r="368" spans="1:15">
      <c r="A368" s="5" t="s">
        <v>755</v>
      </c>
      <c r="B368" s="4">
        <f>IF(澳门新定位结果!B368&lt;=0,0,1)</f>
        <v>1</v>
      </c>
      <c r="C368" s="4">
        <f>IF(澳门新定位结果!C368&lt;=0,0,1)</f>
        <v>0</v>
      </c>
      <c r="D368" s="4">
        <f>IF(澳门新定位结果!D368&lt;=0,0,1)</f>
        <v>1</v>
      </c>
      <c r="E368" s="4">
        <f>IF(澳门新定位结果!E368&lt;=0,0,1)</f>
        <v>1</v>
      </c>
      <c r="F368" s="4">
        <f>IF(澳门新定位结果!F368&lt;=0,0,1)</f>
        <v>0</v>
      </c>
      <c r="G368" s="4">
        <f>IF(澳门新定位结果!G368&lt;=0,0,1)</f>
        <v>1</v>
      </c>
      <c r="H368" s="4">
        <f>IF(澳门新定位结果!H368&lt;=0,0,1)</f>
        <v>0</v>
      </c>
      <c r="I368" s="4">
        <f>IF(澳门新定位结果!I368&lt;=0,0,1)</f>
        <v>0</v>
      </c>
      <c r="J368" s="4">
        <f>IF(澳门新定位结果!J368&lt;=0,0,1)</f>
        <v>0</v>
      </c>
      <c r="K368" s="4">
        <f>IF(澳门新定位结果!K368&lt;=0,0,1)</f>
        <v>1</v>
      </c>
      <c r="L368" s="4">
        <f>IF(澳门新定位结果!L368&lt;=0,0,1)</f>
        <v>0</v>
      </c>
      <c r="M368" s="4">
        <f>IF(澳门新定位结果!M368&lt;=0,0,1)</f>
        <v>0</v>
      </c>
      <c r="N368" s="4">
        <f>IF(澳门新定位结果!N368&lt;=0,0,1)</f>
        <v>1</v>
      </c>
      <c r="O368" s="4">
        <f>IF(澳门新定位结果!O368&lt;=0,0,1)</f>
        <v>1</v>
      </c>
    </row>
    <row r="369" spans="1:15">
      <c r="A369" s="5" t="s">
        <v>757</v>
      </c>
      <c r="B369" s="4">
        <f>IF(澳门新定位结果!B369&lt;=0,0,1)</f>
        <v>0</v>
      </c>
      <c r="C369" s="4">
        <f>IF(澳门新定位结果!C369&lt;=0,0,1)</f>
        <v>1</v>
      </c>
      <c r="D369" s="4">
        <f>IF(澳门新定位结果!D369&lt;=0,0,1)</f>
        <v>1</v>
      </c>
      <c r="E369" s="4">
        <f>IF(澳门新定位结果!E369&lt;=0,0,1)</f>
        <v>0</v>
      </c>
      <c r="F369" s="4">
        <f>IF(澳门新定位结果!F369&lt;=0,0,1)</f>
        <v>0</v>
      </c>
      <c r="G369" s="4">
        <f>IF(澳门新定位结果!G369&lt;=0,0,1)</f>
        <v>0</v>
      </c>
      <c r="H369" s="4">
        <f>IF(澳门新定位结果!H369&lt;=0,0,1)</f>
        <v>1</v>
      </c>
      <c r="I369" s="4">
        <f>IF(澳门新定位结果!I369&lt;=0,0,1)</f>
        <v>1</v>
      </c>
      <c r="J369" s="4">
        <f>IF(澳门新定位结果!J369&lt;=0,0,1)</f>
        <v>0</v>
      </c>
      <c r="K369" s="4">
        <f>IF(澳门新定位结果!K369&lt;=0,0,1)</f>
        <v>0</v>
      </c>
      <c r="L369" s="4">
        <f>IF(澳门新定位结果!L369&lt;=0,0,1)</f>
        <v>1</v>
      </c>
      <c r="M369" s="4">
        <f>IF(澳门新定位结果!M369&lt;=0,0,1)</f>
        <v>1</v>
      </c>
      <c r="N369" s="4">
        <f>IF(澳门新定位结果!N369&lt;=0,0,1)</f>
        <v>0</v>
      </c>
      <c r="O369" s="4">
        <f>IF(澳门新定位结果!O369&lt;=0,0,1)</f>
        <v>1</v>
      </c>
    </row>
    <row r="370" spans="1:15">
      <c r="A370" s="5" t="s">
        <v>759</v>
      </c>
      <c r="B370" s="4">
        <f>IF(澳门新定位结果!B370&lt;=0,0,1)</f>
        <v>0</v>
      </c>
      <c r="C370" s="4">
        <f>IF(澳门新定位结果!C370&lt;=0,0,1)</f>
        <v>0</v>
      </c>
      <c r="D370" s="4">
        <f>IF(澳门新定位结果!D370&lt;=0,0,1)</f>
        <v>0</v>
      </c>
      <c r="E370" s="4">
        <f>IF(澳门新定位结果!E370&lt;=0,0,1)</f>
        <v>1</v>
      </c>
      <c r="F370" s="4">
        <f>IF(澳门新定位结果!F370&lt;=0,0,1)</f>
        <v>1</v>
      </c>
      <c r="G370" s="4">
        <f>IF(澳门新定位结果!G370&lt;=0,0,1)</f>
        <v>0</v>
      </c>
      <c r="H370" s="4">
        <f>IF(澳门新定位结果!H370&lt;=0,0,1)</f>
        <v>0</v>
      </c>
      <c r="I370" s="4">
        <f>IF(澳门新定位结果!I370&lt;=0,0,1)</f>
        <v>1</v>
      </c>
      <c r="J370" s="4">
        <f>IF(澳门新定位结果!J370&lt;=0,0,1)</f>
        <v>1</v>
      </c>
      <c r="K370" s="4">
        <f>IF(澳门新定位结果!K370&lt;=0,0,1)</f>
        <v>0</v>
      </c>
      <c r="L370" s="4">
        <f>IF(澳门新定位结果!L370&lt;=0,0,1)</f>
        <v>0</v>
      </c>
      <c r="M370" s="4">
        <f>IF(澳门新定位结果!M370&lt;=0,0,1)</f>
        <v>1</v>
      </c>
      <c r="N370" s="4">
        <f>IF(澳门新定位结果!N370&lt;=0,0,1)</f>
        <v>1</v>
      </c>
      <c r="O370" s="4">
        <f>IF(澳门新定位结果!O370&lt;=0,0,1)</f>
        <v>1</v>
      </c>
    </row>
    <row r="371" spans="1:15">
      <c r="A371" s="5" t="s">
        <v>761</v>
      </c>
      <c r="B371" s="4">
        <f>IF(澳门新定位结果!B371&lt;=0,0,1)</f>
        <v>0</v>
      </c>
      <c r="C371" s="4">
        <f>IF(澳门新定位结果!C371&lt;=0,0,1)</f>
        <v>0</v>
      </c>
      <c r="D371" s="4">
        <f>IF(澳门新定位结果!D371&lt;=0,0,1)</f>
        <v>1</v>
      </c>
      <c r="E371" s="4">
        <f>IF(澳门新定位结果!E371&lt;=0,0,1)</f>
        <v>1</v>
      </c>
      <c r="F371" s="4">
        <f>IF(澳门新定位结果!F371&lt;=0,0,1)</f>
        <v>0</v>
      </c>
      <c r="G371" s="4">
        <f>IF(澳门新定位结果!G371&lt;=0,0,1)</f>
        <v>0</v>
      </c>
      <c r="H371" s="4">
        <f>IF(澳门新定位结果!H371&lt;=0,0,1)</f>
        <v>0</v>
      </c>
      <c r="I371" s="4">
        <f>IF(澳门新定位结果!I371&lt;=0,0,1)</f>
        <v>1</v>
      </c>
      <c r="J371" s="4">
        <f>IF(澳门新定位结果!J371&lt;=0,0,1)</f>
        <v>0</v>
      </c>
      <c r="K371" s="4">
        <f>IF(澳门新定位结果!K371&lt;=0,0,1)</f>
        <v>0</v>
      </c>
      <c r="L371" s="4">
        <f>IF(澳门新定位结果!L371&lt;=0,0,1)</f>
        <v>0</v>
      </c>
      <c r="M371" s="4">
        <f>IF(澳门新定位结果!M371&lt;=0,0,1)</f>
        <v>0</v>
      </c>
      <c r="N371" s="4">
        <f>IF(澳门新定位结果!N371&lt;=0,0,1)</f>
        <v>0</v>
      </c>
      <c r="O371" s="4">
        <f>IF(澳门新定位结果!O371&lt;=0,0,1)</f>
        <v>0</v>
      </c>
    </row>
    <row r="372" spans="1:15">
      <c r="A372" s="5" t="s">
        <v>763</v>
      </c>
      <c r="B372" s="4">
        <f>IF(澳门新定位结果!B372&lt;=0,0,1)</f>
        <v>1</v>
      </c>
      <c r="C372" s="4">
        <f>IF(澳门新定位结果!C372&lt;=0,0,1)</f>
        <v>1</v>
      </c>
      <c r="D372" s="4">
        <f>IF(澳门新定位结果!D372&lt;=0,0,1)</f>
        <v>0</v>
      </c>
      <c r="E372" s="4">
        <f>IF(澳门新定位结果!E372&lt;=0,0,1)</f>
        <v>0</v>
      </c>
      <c r="F372" s="4">
        <f>IF(澳门新定位结果!F372&lt;=0,0,1)</f>
        <v>1</v>
      </c>
      <c r="G372" s="4">
        <f>IF(澳门新定位结果!G372&lt;=0,0,1)</f>
        <v>0</v>
      </c>
      <c r="H372" s="4">
        <f>IF(澳门新定位结果!H372&lt;=0,0,1)</f>
        <v>1</v>
      </c>
      <c r="I372" s="4">
        <f>IF(澳门新定位结果!I372&lt;=0,0,1)</f>
        <v>1</v>
      </c>
      <c r="J372" s="4">
        <f>IF(澳门新定位结果!J372&lt;=0,0,1)</f>
        <v>0</v>
      </c>
      <c r="K372" s="4">
        <f>IF(澳门新定位结果!K372&lt;=0,0,1)</f>
        <v>1</v>
      </c>
      <c r="L372" s="4">
        <f>IF(澳门新定位结果!L372&lt;=0,0,1)</f>
        <v>0</v>
      </c>
      <c r="M372" s="4">
        <f>IF(澳门新定位结果!M372&lt;=0,0,1)</f>
        <v>0</v>
      </c>
      <c r="N372" s="4">
        <f>IF(澳门新定位结果!N372&lt;=0,0,1)</f>
        <v>0</v>
      </c>
      <c r="O372" s="4">
        <f>IF(澳门新定位结果!O372&lt;=0,0,1)</f>
        <v>1</v>
      </c>
    </row>
    <row r="373" spans="1:15">
      <c r="A373" s="5" t="s">
        <v>765</v>
      </c>
      <c r="B373" s="4">
        <f>IF(澳门新定位结果!B373&lt;=0,0,1)</f>
        <v>0</v>
      </c>
      <c r="C373" s="4">
        <f>IF(澳门新定位结果!C373&lt;=0,0,1)</f>
        <v>1</v>
      </c>
      <c r="D373" s="4">
        <f>IF(澳门新定位结果!D373&lt;=0,0,1)</f>
        <v>0</v>
      </c>
      <c r="E373" s="4">
        <f>IF(澳门新定位结果!E373&lt;=0,0,1)</f>
        <v>1</v>
      </c>
      <c r="F373" s="4">
        <f>IF(澳门新定位结果!F373&lt;=0,0,1)</f>
        <v>0</v>
      </c>
      <c r="G373" s="4">
        <f>IF(澳门新定位结果!G373&lt;=0,0,1)</f>
        <v>0</v>
      </c>
      <c r="H373" s="4">
        <f>IF(澳门新定位结果!H373&lt;=0,0,1)</f>
        <v>1</v>
      </c>
      <c r="I373" s="4">
        <f>IF(澳门新定位结果!I373&lt;=0,0,1)</f>
        <v>0</v>
      </c>
      <c r="J373" s="4">
        <f>IF(澳门新定位结果!J373&lt;=0,0,1)</f>
        <v>0</v>
      </c>
      <c r="K373" s="4">
        <f>IF(澳门新定位结果!K373&lt;=0,0,1)</f>
        <v>0</v>
      </c>
      <c r="L373" s="4">
        <f>IF(澳门新定位结果!L373&lt;=0,0,1)</f>
        <v>1</v>
      </c>
      <c r="M373" s="4">
        <f>IF(澳门新定位结果!M373&lt;=0,0,1)</f>
        <v>0</v>
      </c>
      <c r="N373" s="4">
        <f>IF(澳门新定位结果!N373&lt;=0,0,1)</f>
        <v>1</v>
      </c>
      <c r="O373" s="4">
        <f>IF(澳门新定位结果!O373&lt;=0,0,1)</f>
        <v>0</v>
      </c>
    </row>
    <row r="374" spans="1:15">
      <c r="A374" s="5" t="s">
        <v>767</v>
      </c>
      <c r="B374" s="4">
        <f>IF(澳门新定位结果!B374&lt;=0,0,1)</f>
        <v>1</v>
      </c>
      <c r="C374" s="4">
        <f>IF(澳门新定位结果!C374&lt;=0,0,1)</f>
        <v>1</v>
      </c>
      <c r="D374" s="4">
        <f>IF(澳门新定位结果!D374&lt;=0,0,1)</f>
        <v>0</v>
      </c>
      <c r="E374" s="4">
        <f>IF(澳门新定位结果!E374&lt;=0,0,1)</f>
        <v>1</v>
      </c>
      <c r="F374" s="4">
        <f>IF(澳门新定位结果!F374&lt;=0,0,1)</f>
        <v>0</v>
      </c>
      <c r="G374" s="4">
        <f>IF(澳门新定位结果!G374&lt;=0,0,1)</f>
        <v>1</v>
      </c>
      <c r="H374" s="4">
        <f>IF(澳门新定位结果!H374&lt;=0,0,1)</f>
        <v>1</v>
      </c>
      <c r="I374" s="4">
        <f>IF(澳门新定位结果!I374&lt;=0,0,1)</f>
        <v>1</v>
      </c>
      <c r="J374" s="4">
        <f>IF(澳门新定位结果!J374&lt;=0,0,1)</f>
        <v>0</v>
      </c>
      <c r="K374" s="4">
        <f>IF(澳门新定位结果!K374&lt;=0,0,1)</f>
        <v>1</v>
      </c>
      <c r="L374" s="4">
        <f>IF(澳门新定位结果!L374&lt;=0,0,1)</f>
        <v>1</v>
      </c>
      <c r="M374" s="4">
        <f>IF(澳门新定位结果!M374&lt;=0,0,1)</f>
        <v>0</v>
      </c>
      <c r="N374" s="4">
        <f>IF(澳门新定位结果!N374&lt;=0,0,1)</f>
        <v>1</v>
      </c>
      <c r="O374" s="4">
        <f>IF(澳门新定位结果!O374&lt;=0,0,1)</f>
        <v>0</v>
      </c>
    </row>
    <row r="375" spans="1:15">
      <c r="A375" s="5" t="s">
        <v>769</v>
      </c>
      <c r="B375" s="4">
        <f>IF(澳门新定位结果!B375&lt;=0,0,1)</f>
        <v>0</v>
      </c>
      <c r="C375" s="4">
        <f>IF(澳门新定位结果!C375&lt;=0,0,1)</f>
        <v>1</v>
      </c>
      <c r="D375" s="4">
        <f>IF(澳门新定位结果!D375&lt;=0,0,1)</f>
        <v>0</v>
      </c>
      <c r="E375" s="4">
        <f>IF(澳门新定位结果!E375&lt;=0,0,1)</f>
        <v>0</v>
      </c>
      <c r="F375" s="4">
        <f>IF(澳门新定位结果!F375&lt;=0,0,1)</f>
        <v>1</v>
      </c>
      <c r="G375" s="4">
        <f>IF(澳门新定位结果!G375&lt;=0,0,1)</f>
        <v>0</v>
      </c>
      <c r="H375" s="4">
        <f>IF(澳门新定位结果!H375&lt;=0,0,1)</f>
        <v>0</v>
      </c>
      <c r="I375" s="4">
        <f>IF(澳门新定位结果!I375&lt;=0,0,1)</f>
        <v>0</v>
      </c>
      <c r="J375" s="4">
        <f>IF(澳门新定位结果!J375&lt;=0,0,1)</f>
        <v>0</v>
      </c>
      <c r="K375" s="4">
        <f>IF(澳门新定位结果!K375&lt;=0,0,1)</f>
        <v>1</v>
      </c>
      <c r="L375" s="4">
        <f>IF(澳门新定位结果!L375&lt;=0,0,1)</f>
        <v>0</v>
      </c>
      <c r="M375" s="4">
        <f>IF(澳门新定位结果!M375&lt;=0,0,1)</f>
        <v>0</v>
      </c>
      <c r="N375" s="4">
        <f>IF(澳门新定位结果!N375&lt;=0,0,1)</f>
        <v>1</v>
      </c>
      <c r="O375" s="4">
        <f>IF(澳门新定位结果!O375&lt;=0,0,1)</f>
        <v>1</v>
      </c>
    </row>
    <row r="376" spans="1:15">
      <c r="A376" s="4" t="s">
        <v>771</v>
      </c>
      <c r="B376" s="4">
        <f>IF(澳门新定位结果!B376&lt;=0,0,1)</f>
        <v>1</v>
      </c>
      <c r="C376" s="4">
        <f>IF(澳门新定位结果!C376&lt;=0,0,1)</f>
        <v>1</v>
      </c>
      <c r="D376" s="4">
        <f>IF(澳门新定位结果!D376&lt;=0,0,1)</f>
        <v>0</v>
      </c>
      <c r="E376" s="4">
        <f>IF(澳门新定位结果!E376&lt;=0,0,1)</f>
        <v>1</v>
      </c>
      <c r="F376" s="4">
        <f>IF(澳门新定位结果!F376&lt;=0,0,1)</f>
        <v>0</v>
      </c>
      <c r="G376" s="4">
        <f>IF(澳门新定位结果!G376&lt;=0,0,1)</f>
        <v>1</v>
      </c>
      <c r="H376" s="4">
        <f>IF(澳门新定位结果!H376&lt;=0,0,1)</f>
        <v>1</v>
      </c>
      <c r="I376" s="4">
        <f>IF(澳门新定位结果!I376&lt;=0,0,1)</f>
        <v>1</v>
      </c>
      <c r="J376" s="4">
        <f>IF(澳门新定位结果!J376&lt;=0,0,1)</f>
        <v>1</v>
      </c>
      <c r="K376" s="4">
        <f>IF(澳门新定位结果!K376&lt;=0,0,1)</f>
        <v>1</v>
      </c>
      <c r="L376" s="4">
        <f>IF(澳门新定位结果!L376&lt;=0,0,1)</f>
        <v>1</v>
      </c>
      <c r="M376" s="4">
        <f>IF(澳门新定位结果!M376&lt;=0,0,1)</f>
        <v>1</v>
      </c>
      <c r="N376" s="4">
        <f>IF(澳门新定位结果!N376&lt;=0,0,1)</f>
        <v>0</v>
      </c>
      <c r="O376" s="4">
        <f>IF(澳门新定位结果!O376&lt;=0,0,1)</f>
        <v>0</v>
      </c>
    </row>
    <row r="377" spans="1:15">
      <c r="A377" s="4" t="s">
        <v>773</v>
      </c>
      <c r="B377" s="4">
        <f>IF(澳门新定位结果!B377&lt;=0,0,1)</f>
        <v>0</v>
      </c>
      <c r="C377" s="4">
        <f>IF(澳门新定位结果!C377&lt;=0,0,1)</f>
        <v>1</v>
      </c>
      <c r="D377" s="4">
        <f>IF(澳门新定位结果!D377&lt;=0,0,1)</f>
        <v>0</v>
      </c>
      <c r="E377" s="4">
        <f>IF(澳门新定位结果!E377&lt;=0,0,1)</f>
        <v>0</v>
      </c>
      <c r="F377" s="4">
        <f>IF(澳门新定位结果!F377&lt;=0,0,1)</f>
        <v>0</v>
      </c>
      <c r="G377" s="4">
        <f>IF(澳门新定位结果!G377&lt;=0,0,1)</f>
        <v>0</v>
      </c>
      <c r="H377" s="4">
        <f>IF(澳门新定位结果!H377&lt;=0,0,1)</f>
        <v>0</v>
      </c>
      <c r="I377" s="4">
        <f>IF(澳门新定位结果!I377&lt;=0,0,1)</f>
        <v>1</v>
      </c>
      <c r="J377" s="4">
        <f>IF(澳门新定位结果!J377&lt;=0,0,1)</f>
        <v>1</v>
      </c>
      <c r="K377" s="4">
        <f>IF(澳门新定位结果!K377&lt;=0,0,1)</f>
        <v>1</v>
      </c>
      <c r="L377" s="4">
        <f>IF(澳门新定位结果!L377&lt;=0,0,1)</f>
        <v>1</v>
      </c>
      <c r="M377" s="4">
        <f>IF(澳门新定位结果!M377&lt;=0,0,1)</f>
        <v>0</v>
      </c>
      <c r="N377" s="4">
        <f>IF(澳门新定位结果!N377&lt;=0,0,1)</f>
        <v>0</v>
      </c>
      <c r="O377" s="4">
        <f>IF(澳门新定位结果!O377&lt;=0,0,1)</f>
        <v>1</v>
      </c>
    </row>
    <row r="378" spans="1:15">
      <c r="A378" s="4" t="s">
        <v>775</v>
      </c>
      <c r="B378" s="4">
        <f>IF(澳门新定位结果!B378&lt;=0,0,1)</f>
        <v>0</v>
      </c>
      <c r="C378" s="4">
        <f>IF(澳门新定位结果!C378&lt;=0,0,1)</f>
        <v>0</v>
      </c>
      <c r="D378" s="4">
        <f>IF(澳门新定位结果!D378&lt;=0,0,1)</f>
        <v>0</v>
      </c>
      <c r="E378" s="4">
        <f>IF(澳门新定位结果!E378&lt;=0,0,1)</f>
        <v>1</v>
      </c>
      <c r="F378" s="4">
        <f>IF(澳门新定位结果!F378&lt;=0,0,1)</f>
        <v>1</v>
      </c>
      <c r="G378" s="4">
        <f>IF(澳门新定位结果!G378&lt;=0,0,1)</f>
        <v>0</v>
      </c>
      <c r="H378" s="4">
        <f>IF(澳门新定位结果!H378&lt;=0,0,1)</f>
        <v>0</v>
      </c>
      <c r="I378" s="4">
        <f>IF(澳门新定位结果!I378&lt;=0,0,1)</f>
        <v>0</v>
      </c>
      <c r="J378" s="4">
        <f>IF(澳门新定位结果!J378&lt;=0,0,1)</f>
        <v>0</v>
      </c>
      <c r="K378" s="4">
        <f>IF(澳门新定位结果!K378&lt;=0,0,1)</f>
        <v>0</v>
      </c>
      <c r="L378" s="4">
        <f>IF(澳门新定位结果!L378&lt;=0,0,1)</f>
        <v>0</v>
      </c>
      <c r="M378" s="4">
        <f>IF(澳门新定位结果!M378&lt;=0,0,1)</f>
        <v>0</v>
      </c>
      <c r="N378" s="4">
        <f>IF(澳门新定位结果!N378&lt;=0,0,1)</f>
        <v>1</v>
      </c>
      <c r="O378" s="4">
        <f>IF(澳门新定位结果!O378&lt;=0,0,1)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9"/>
  <sheetViews>
    <sheetView workbookViewId="0">
      <selection activeCell="J1" sqref="J1"/>
    </sheetView>
  </sheetViews>
  <sheetFormatPr defaultColWidth="9" defaultRowHeight="13.5"/>
  <cols>
    <col min="1" max="1" width="11.625" customWidth="1"/>
    <col min="3" max="4" width="9" style="1"/>
    <col min="9" max="10" width="9" style="1"/>
    <col min="13" max="13" width="9" style="1"/>
  </cols>
  <sheetData>
    <row r="1" spans="1:15">
      <c r="A1" s="11" t="s">
        <v>796</v>
      </c>
      <c r="B1">
        <f>(COUNTIF(B3:B379,"=0")+COUNTIF(B3:B379,"=2"))/(379-3+1)</f>
        <v>0.461538461538462</v>
      </c>
      <c r="C1">
        <f t="shared" ref="C1:O1" si="0">(COUNTIF(C3:C379,"=0")+COUNTIF(C3:C379,"=2"))/(379-3+1)</f>
        <v>0.517241379310345</v>
      </c>
      <c r="D1" s="1">
        <f t="shared" si="0"/>
        <v>0.522546419098143</v>
      </c>
      <c r="E1">
        <f t="shared" si="0"/>
        <v>0.496021220159151</v>
      </c>
      <c r="F1">
        <f t="shared" si="0"/>
        <v>0.477453580901857</v>
      </c>
      <c r="G1">
        <f t="shared" si="0"/>
        <v>0.511936339522546</v>
      </c>
      <c r="H1">
        <f t="shared" si="0"/>
        <v>0.503978779840849</v>
      </c>
      <c r="I1">
        <f t="shared" si="0"/>
        <v>0.503978779840849</v>
      </c>
      <c r="J1" s="1">
        <f t="shared" si="0"/>
        <v>0.458885941644562</v>
      </c>
      <c r="K1">
        <f t="shared" si="0"/>
        <v>0.472148541114058</v>
      </c>
      <c r="L1">
        <f t="shared" si="0"/>
        <v>0.49867374005305</v>
      </c>
      <c r="M1" s="1">
        <f t="shared" si="0"/>
        <v>0.461538461538462</v>
      </c>
      <c r="N1">
        <f t="shared" si="0"/>
        <v>0.496021220159151</v>
      </c>
      <c r="O1">
        <f t="shared" si="0"/>
        <v>0.496021220159151</v>
      </c>
    </row>
    <row r="2" spans="1:15">
      <c r="A2" s="2" t="s">
        <v>0</v>
      </c>
      <c r="B2" s="2" t="s">
        <v>797</v>
      </c>
      <c r="C2" s="2" t="s">
        <v>798</v>
      </c>
      <c r="D2" s="3" t="s">
        <v>3</v>
      </c>
      <c r="E2" s="2" t="s">
        <v>778</v>
      </c>
      <c r="F2" s="2" t="s">
        <v>799</v>
      </c>
      <c r="G2" s="2" t="s">
        <v>800</v>
      </c>
      <c r="H2" s="2" t="s">
        <v>801</v>
      </c>
      <c r="I2" s="2" t="s">
        <v>802</v>
      </c>
      <c r="J2" s="3" t="s">
        <v>5</v>
      </c>
      <c r="K2" s="2" t="s">
        <v>780</v>
      </c>
      <c r="L2" s="2" t="s">
        <v>803</v>
      </c>
      <c r="M2" s="3" t="s">
        <v>7</v>
      </c>
      <c r="N2" s="2" t="s">
        <v>804</v>
      </c>
      <c r="O2" s="2" t="s">
        <v>805</v>
      </c>
    </row>
    <row r="3" spans="1:15">
      <c r="A3" s="4" t="s">
        <v>14</v>
      </c>
      <c r="B3">
        <f>澳门换算01!B2+澳门新定位结果!$P2</f>
        <v>1</v>
      </c>
      <c r="C3">
        <f>澳门换算01!C2+澳门新定位结果!$P2</f>
        <v>1</v>
      </c>
      <c r="D3" s="1">
        <f>澳门换算01!D2+澳门新定位结果!$P2</f>
        <v>1</v>
      </c>
      <c r="E3">
        <f>澳门换算01!E2+澳门新定位结果!$P2</f>
        <v>2</v>
      </c>
      <c r="F3">
        <f>澳门换算01!F2+澳门新定位结果!$P2</f>
        <v>2</v>
      </c>
      <c r="G3">
        <f>澳门换算01!G2+澳门新定位结果!$P2</f>
        <v>1</v>
      </c>
      <c r="H3">
        <f>澳门换算01!H2+澳门新定位结果!$P2</f>
        <v>1</v>
      </c>
      <c r="I3">
        <f>澳门换算01!I2+澳门新定位结果!$P2</f>
        <v>1</v>
      </c>
      <c r="J3" s="1">
        <f>澳门换算01!J2+澳门新定位结果!$P2</f>
        <v>1</v>
      </c>
      <c r="K3">
        <f>澳门换算01!K2+澳门新定位结果!$P2</f>
        <v>1</v>
      </c>
      <c r="L3">
        <f>澳门换算01!L2+澳门新定位结果!$P2</f>
        <v>2</v>
      </c>
      <c r="M3" s="1">
        <f>澳门换算01!M2+澳门新定位结果!$P2</f>
        <v>1</v>
      </c>
      <c r="N3">
        <f>澳门换算01!N2+澳门新定位结果!$P2</f>
        <v>1</v>
      </c>
      <c r="O3">
        <f>澳门换算01!O2+澳门新定位结果!$P2</f>
        <v>1</v>
      </c>
    </row>
    <row r="4" spans="1:15">
      <c r="A4" s="4" t="s">
        <v>17</v>
      </c>
      <c r="B4">
        <f>澳门换算01!B3+澳门新定位结果!$P3</f>
        <v>0</v>
      </c>
      <c r="C4">
        <f>澳门换算01!C3+澳门新定位结果!$P3</f>
        <v>0</v>
      </c>
      <c r="D4" s="1">
        <f>澳门换算01!D3+澳门新定位结果!$P3</f>
        <v>1</v>
      </c>
      <c r="E4">
        <f>澳门换算01!E3+澳门新定位结果!$P3</f>
        <v>1</v>
      </c>
      <c r="F4">
        <f>澳门换算01!F3+澳门新定位结果!$P3</f>
        <v>1</v>
      </c>
      <c r="G4">
        <f>澳门换算01!G3+澳门新定位结果!$P3</f>
        <v>0</v>
      </c>
      <c r="H4">
        <f>澳门换算01!H3+澳门新定位结果!$P3</f>
        <v>0</v>
      </c>
      <c r="I4">
        <f>澳门换算01!I3+澳门新定位结果!$P3</f>
        <v>1</v>
      </c>
      <c r="J4" s="1">
        <f>澳门换算01!J3+澳门新定位结果!$P3</f>
        <v>1</v>
      </c>
      <c r="K4">
        <f>澳门换算01!K3+澳门新定位结果!$P3</f>
        <v>1</v>
      </c>
      <c r="L4">
        <f>澳门换算01!L3+澳门新定位结果!$P3</f>
        <v>0</v>
      </c>
      <c r="M4" s="1">
        <f>澳门换算01!M3+澳门新定位结果!$P3</f>
        <v>0</v>
      </c>
      <c r="N4">
        <f>澳门换算01!N3+澳门新定位结果!$P3</f>
        <v>1</v>
      </c>
      <c r="O4">
        <f>澳门换算01!O3+澳门新定位结果!$P3</f>
        <v>1</v>
      </c>
    </row>
    <row r="5" spans="1:15">
      <c r="A5" s="4" t="s">
        <v>20</v>
      </c>
      <c r="B5">
        <f>澳门换算01!B4+澳门新定位结果!$P4</f>
        <v>0</v>
      </c>
      <c r="C5">
        <f>澳门换算01!C4+澳门新定位结果!$P4</f>
        <v>0</v>
      </c>
      <c r="D5" s="1">
        <f>澳门换算01!D4+澳门新定位结果!$P4</f>
        <v>0</v>
      </c>
      <c r="E5">
        <f>澳门换算01!E4+澳门新定位结果!$P4</f>
        <v>1</v>
      </c>
      <c r="F5">
        <f>澳门换算01!F4+澳门新定位结果!$P4</f>
        <v>0</v>
      </c>
      <c r="G5">
        <f>澳门换算01!G4+澳门新定位结果!$P4</f>
        <v>0</v>
      </c>
      <c r="H5">
        <f>澳门换算01!H4+澳门新定位结果!$P4</f>
        <v>0</v>
      </c>
      <c r="I5">
        <f>澳门换算01!I4+澳门新定位结果!$P4</f>
        <v>1</v>
      </c>
      <c r="J5" s="1">
        <f>澳门换算01!J4+澳门新定位结果!$P4</f>
        <v>0</v>
      </c>
      <c r="K5">
        <f>澳门换算01!K4+澳门新定位结果!$P4</f>
        <v>1</v>
      </c>
      <c r="L5">
        <f>澳门换算01!L4+澳门新定位结果!$P4</f>
        <v>1</v>
      </c>
      <c r="M5" s="1">
        <f>澳门换算01!M4+澳门新定位结果!$P4</f>
        <v>0</v>
      </c>
      <c r="N5">
        <f>澳门换算01!N4+澳门新定位结果!$P4</f>
        <v>1</v>
      </c>
      <c r="O5">
        <f>澳门换算01!O4+澳门新定位结果!$P4</f>
        <v>1</v>
      </c>
    </row>
    <row r="6" spans="1:15">
      <c r="A6" s="4" t="s">
        <v>23</v>
      </c>
      <c r="B6">
        <f>澳门换算01!B5+澳门新定位结果!$P5</f>
        <v>2</v>
      </c>
      <c r="C6">
        <f>澳门换算01!C5+澳门新定位结果!$P5</f>
        <v>1</v>
      </c>
      <c r="D6" s="1">
        <f>澳门换算01!D5+澳门新定位结果!$P5</f>
        <v>2</v>
      </c>
      <c r="E6">
        <f>澳门换算01!E5+澳门新定位结果!$P5</f>
        <v>2</v>
      </c>
      <c r="F6">
        <f>澳门换算01!F5+澳门新定位结果!$P5</f>
        <v>1</v>
      </c>
      <c r="G6">
        <f>澳门换算01!G5+澳门新定位结果!$P5</f>
        <v>2</v>
      </c>
      <c r="H6">
        <f>澳门换算01!H5+澳门新定位结果!$P5</f>
        <v>1</v>
      </c>
      <c r="I6">
        <f>澳门换算01!I5+澳门新定位结果!$P5</f>
        <v>2</v>
      </c>
      <c r="J6" s="1">
        <f>澳门换算01!J5+澳门新定位结果!$P5</f>
        <v>1</v>
      </c>
      <c r="K6">
        <f>澳门换算01!K5+澳门新定位结果!$P5</f>
        <v>1</v>
      </c>
      <c r="L6">
        <f>澳门换算01!L5+澳门新定位结果!$P5</f>
        <v>2</v>
      </c>
      <c r="M6" s="1">
        <f>澳门换算01!M5+澳门新定位结果!$P5</f>
        <v>2</v>
      </c>
      <c r="N6">
        <f>澳门换算01!N5+澳门新定位结果!$P5</f>
        <v>2</v>
      </c>
      <c r="O6">
        <f>澳门换算01!O5+澳门新定位结果!$P5</f>
        <v>1</v>
      </c>
    </row>
    <row r="7" spans="1:15">
      <c r="A7" s="4" t="s">
        <v>26</v>
      </c>
      <c r="B7">
        <f>澳门换算01!B6+澳门新定位结果!$P6</f>
        <v>1</v>
      </c>
      <c r="C7">
        <f>澳门换算01!C6+澳门新定位结果!$P6</f>
        <v>1</v>
      </c>
      <c r="D7" s="1">
        <f>澳门换算01!D6+澳门新定位结果!$P6</f>
        <v>1</v>
      </c>
      <c r="E7">
        <f>澳门换算01!E6+澳门新定位结果!$P6</f>
        <v>1</v>
      </c>
      <c r="F7">
        <f>澳门换算01!F6+澳门新定位结果!$P6</f>
        <v>1</v>
      </c>
      <c r="G7">
        <f>澳门换算01!G6+澳门新定位结果!$P6</f>
        <v>1</v>
      </c>
      <c r="H7">
        <f>澳门换算01!H6+澳门新定位结果!$P6</f>
        <v>1</v>
      </c>
      <c r="I7">
        <f>澳门换算01!I6+澳门新定位结果!$P6</f>
        <v>2</v>
      </c>
      <c r="J7" s="1">
        <f>澳门换算01!J6+澳门新定位结果!$P6</f>
        <v>2</v>
      </c>
      <c r="K7">
        <f>澳门换算01!K6+澳门新定位结果!$P6</f>
        <v>2</v>
      </c>
      <c r="L7">
        <f>澳门换算01!L6+澳门新定位结果!$P6</f>
        <v>2</v>
      </c>
      <c r="M7" s="1">
        <f>澳门换算01!M6+澳门新定位结果!$P6</f>
        <v>2</v>
      </c>
      <c r="N7">
        <f>澳门换算01!N6+澳门新定位结果!$P6</f>
        <v>2</v>
      </c>
      <c r="O7">
        <f>澳门换算01!O6+澳门新定位结果!$P6</f>
        <v>1</v>
      </c>
    </row>
    <row r="8" spans="1:15">
      <c r="A8" s="4" t="s">
        <v>29</v>
      </c>
      <c r="B8">
        <f>澳门换算01!B7+澳门新定位结果!$P7</f>
        <v>1</v>
      </c>
      <c r="C8">
        <f>澳门换算01!C7+澳门新定位结果!$P7</f>
        <v>2</v>
      </c>
      <c r="D8" s="1">
        <f>澳门换算01!D7+澳门新定位结果!$P7</f>
        <v>1</v>
      </c>
      <c r="E8">
        <f>澳门换算01!E7+澳门新定位结果!$P7</f>
        <v>2</v>
      </c>
      <c r="F8">
        <f>澳门换算01!F7+澳门新定位结果!$P7</f>
        <v>2</v>
      </c>
      <c r="G8">
        <f>澳门换算01!G7+澳门新定位结果!$P7</f>
        <v>1</v>
      </c>
      <c r="H8">
        <f>澳门换算01!H7+澳门新定位结果!$P7</f>
        <v>2</v>
      </c>
      <c r="I8">
        <f>澳门换算01!I7+澳门新定位结果!$P7</f>
        <v>1</v>
      </c>
      <c r="J8" s="1">
        <f>澳门换算01!J7+澳门新定位结果!$P7</f>
        <v>1</v>
      </c>
      <c r="K8">
        <f>澳门换算01!K7+澳门新定位结果!$P7</f>
        <v>1</v>
      </c>
      <c r="L8">
        <f>澳门换算01!L7+澳门新定位结果!$P7</f>
        <v>2</v>
      </c>
      <c r="M8" s="1">
        <f>澳门换算01!M7+澳门新定位结果!$P7</f>
        <v>1</v>
      </c>
      <c r="N8">
        <f>澳门换算01!N7+澳门新定位结果!$P7</f>
        <v>1</v>
      </c>
      <c r="O8">
        <f>澳门换算01!O7+澳门新定位结果!$P7</f>
        <v>2</v>
      </c>
    </row>
    <row r="9" spans="1:15">
      <c r="A9" s="4" t="s">
        <v>32</v>
      </c>
      <c r="B9">
        <f>澳门换算01!B8+澳门新定位结果!$P8</f>
        <v>2</v>
      </c>
      <c r="C9">
        <f>澳门换算01!C8+澳门新定位结果!$P8</f>
        <v>2</v>
      </c>
      <c r="D9" s="1">
        <f>澳门换算01!D8+澳门新定位结果!$P8</f>
        <v>2</v>
      </c>
      <c r="E9">
        <f>澳门换算01!E8+澳门新定位结果!$P8</f>
        <v>2</v>
      </c>
      <c r="F9">
        <f>澳门换算01!F8+澳门新定位结果!$P8</f>
        <v>2</v>
      </c>
      <c r="G9">
        <f>澳门换算01!G8+澳门新定位结果!$P8</f>
        <v>1</v>
      </c>
      <c r="H9">
        <f>澳门换算01!H8+澳门新定位结果!$P8</f>
        <v>2</v>
      </c>
      <c r="I9">
        <f>澳门换算01!I8+澳门新定位结果!$P8</f>
        <v>2</v>
      </c>
      <c r="J9" s="1">
        <f>澳门换算01!J8+澳门新定位结果!$P8</f>
        <v>1</v>
      </c>
      <c r="K9">
        <f>澳门换算01!K8+澳门新定位结果!$P8</f>
        <v>2</v>
      </c>
      <c r="L9">
        <f>澳门换算01!L8+澳门新定位结果!$P8</f>
        <v>1</v>
      </c>
      <c r="M9" s="1">
        <f>澳门换算01!M8+澳门新定位结果!$P8</f>
        <v>2</v>
      </c>
      <c r="N9">
        <f>澳门换算01!N8+澳门新定位结果!$P8</f>
        <v>2</v>
      </c>
      <c r="O9">
        <f>澳门换算01!O8+澳门新定位结果!$P8</f>
        <v>2</v>
      </c>
    </row>
    <row r="10" spans="1:15">
      <c r="A10" s="4" t="s">
        <v>35</v>
      </c>
      <c r="B10">
        <f>澳门换算01!B9+澳门新定位结果!$P9</f>
        <v>1</v>
      </c>
      <c r="C10">
        <f>澳门换算01!C9+澳门新定位结果!$P9</f>
        <v>1</v>
      </c>
      <c r="D10" s="1">
        <f>澳门换算01!D9+澳门新定位结果!$P9</f>
        <v>2</v>
      </c>
      <c r="E10">
        <f>澳门换算01!E9+澳门新定位结果!$P9</f>
        <v>2</v>
      </c>
      <c r="F10">
        <f>澳门换算01!F9+澳门新定位结果!$P9</f>
        <v>1</v>
      </c>
      <c r="G10">
        <f>澳门换算01!G9+澳门新定位结果!$P9</f>
        <v>2</v>
      </c>
      <c r="H10">
        <f>澳门换算01!H9+澳门新定位结果!$P9</f>
        <v>2</v>
      </c>
      <c r="I10">
        <f>澳门换算01!I9+澳门新定位结果!$P9</f>
        <v>1</v>
      </c>
      <c r="J10" s="1">
        <f>澳门换算01!J9+澳门新定位结果!$P9</f>
        <v>1</v>
      </c>
      <c r="K10">
        <f>澳门换算01!K9+澳门新定位结果!$P9</f>
        <v>2</v>
      </c>
      <c r="L10">
        <f>澳门换算01!L9+澳门新定位结果!$P9</f>
        <v>1</v>
      </c>
      <c r="M10" s="1">
        <f>澳门换算01!M9+澳门新定位结果!$P9</f>
        <v>1</v>
      </c>
      <c r="N10">
        <f>澳门换算01!N9+澳门新定位结果!$P9</f>
        <v>1</v>
      </c>
      <c r="O10">
        <f>澳门换算01!O9+澳门新定位结果!$P9</f>
        <v>2</v>
      </c>
    </row>
    <row r="11" spans="1:15">
      <c r="A11" s="4" t="s">
        <v>38</v>
      </c>
      <c r="B11">
        <f>澳门换算01!B10+澳门新定位结果!$P10</f>
        <v>0</v>
      </c>
      <c r="C11">
        <f>澳门换算01!C10+澳门新定位结果!$P10</f>
        <v>0</v>
      </c>
      <c r="D11" s="1">
        <f>澳门换算01!D10+澳门新定位结果!$P10</f>
        <v>1</v>
      </c>
      <c r="E11">
        <f>澳门换算01!E10+澳门新定位结果!$P10</f>
        <v>0</v>
      </c>
      <c r="F11">
        <f>澳门换算01!F10+澳门新定位结果!$P10</f>
        <v>1</v>
      </c>
      <c r="G11">
        <f>澳门换算01!G10+澳门新定位结果!$P10</f>
        <v>0</v>
      </c>
      <c r="H11">
        <f>澳门换算01!H10+澳门新定位结果!$P10</f>
        <v>0</v>
      </c>
      <c r="I11">
        <f>澳门换算01!I10+澳门新定位结果!$P10</f>
        <v>0</v>
      </c>
      <c r="J11" s="1">
        <f>澳门换算01!J10+澳门新定位结果!$P10</f>
        <v>0</v>
      </c>
      <c r="K11">
        <f>澳门换算01!K10+澳门新定位结果!$P10</f>
        <v>0</v>
      </c>
      <c r="L11">
        <f>澳门换算01!L10+澳门新定位结果!$P10</f>
        <v>0</v>
      </c>
      <c r="M11" s="1">
        <f>澳门换算01!M10+澳门新定位结果!$P10</f>
        <v>0</v>
      </c>
      <c r="N11">
        <f>澳门换算01!N10+澳门新定位结果!$P10</f>
        <v>1</v>
      </c>
      <c r="O11">
        <f>澳门换算01!O10+澳门新定位结果!$P10</f>
        <v>1</v>
      </c>
    </row>
    <row r="12" spans="1:15">
      <c r="A12" s="4" t="s">
        <v>41</v>
      </c>
      <c r="B12">
        <f>澳门换算01!B11+澳门新定位结果!$P11</f>
        <v>1</v>
      </c>
      <c r="C12">
        <f>澳门换算01!C11+澳门新定位结果!$P11</f>
        <v>1</v>
      </c>
      <c r="D12" s="1">
        <f>澳门换算01!D11+澳门新定位结果!$P11</f>
        <v>0</v>
      </c>
      <c r="E12">
        <f>澳门换算01!E11+澳门新定位结果!$P11</f>
        <v>0</v>
      </c>
      <c r="F12">
        <f>澳门换算01!F11+澳门新定位结果!$P11</f>
        <v>0</v>
      </c>
      <c r="G12">
        <f>澳门换算01!G11+澳门新定位结果!$P11</f>
        <v>0</v>
      </c>
      <c r="H12">
        <f>澳门换算01!H11+澳门新定位结果!$P11</f>
        <v>1</v>
      </c>
      <c r="I12">
        <f>澳门换算01!I11+澳门新定位结果!$P11</f>
        <v>0</v>
      </c>
      <c r="J12" s="1">
        <f>澳门换算01!J11+澳门新定位结果!$P11</f>
        <v>1</v>
      </c>
      <c r="K12">
        <f>澳门换算01!K11+澳门新定位结果!$P11</f>
        <v>1</v>
      </c>
      <c r="L12">
        <f>澳门换算01!L11+澳门新定位结果!$P11</f>
        <v>1</v>
      </c>
      <c r="M12" s="1">
        <f>澳门换算01!M11+澳门新定位结果!$P11</f>
        <v>0</v>
      </c>
      <c r="N12">
        <f>澳门换算01!N11+澳门新定位结果!$P11</f>
        <v>0</v>
      </c>
      <c r="O12">
        <f>澳门换算01!O11+澳门新定位结果!$P11</f>
        <v>0</v>
      </c>
    </row>
    <row r="13" spans="1:15">
      <c r="A13" s="4" t="s">
        <v>43</v>
      </c>
      <c r="B13">
        <f>澳门换算01!B12+澳门新定位结果!$P12</f>
        <v>1</v>
      </c>
      <c r="C13">
        <f>澳门换算01!C12+澳门新定位结果!$P12</f>
        <v>1</v>
      </c>
      <c r="D13" s="1">
        <f>澳门换算01!D12+澳门新定位结果!$P12</f>
        <v>0</v>
      </c>
      <c r="E13">
        <f>澳门换算01!E12+澳门新定位结果!$P12</f>
        <v>0</v>
      </c>
      <c r="F13">
        <f>澳门换算01!F12+澳门新定位结果!$P12</f>
        <v>1</v>
      </c>
      <c r="G13">
        <f>澳门换算01!G12+澳门新定位结果!$P12</f>
        <v>0</v>
      </c>
      <c r="H13">
        <f>澳门换算01!H12+澳门新定位结果!$P12</f>
        <v>1</v>
      </c>
      <c r="I13">
        <f>澳门换算01!I12+澳门新定位结果!$P12</f>
        <v>1</v>
      </c>
      <c r="J13" s="1">
        <f>澳门换算01!J12+澳门新定位结果!$P12</f>
        <v>0</v>
      </c>
      <c r="K13">
        <f>澳门换算01!K12+澳门新定位结果!$P12</f>
        <v>1</v>
      </c>
      <c r="L13">
        <f>澳门换算01!L12+澳门新定位结果!$P12</f>
        <v>0</v>
      </c>
      <c r="M13" s="1">
        <f>澳门换算01!M12+澳门新定位结果!$P12</f>
        <v>0</v>
      </c>
      <c r="N13">
        <f>澳门换算01!N12+澳门新定位结果!$P12</f>
        <v>0</v>
      </c>
      <c r="O13">
        <f>澳门换算01!O12+澳门新定位结果!$P12</f>
        <v>1</v>
      </c>
    </row>
    <row r="14" spans="1:15">
      <c r="A14" s="4" t="s">
        <v>45</v>
      </c>
      <c r="B14">
        <f>澳门换算01!B13+澳门新定位结果!$P13</f>
        <v>1</v>
      </c>
      <c r="C14">
        <f>澳门换算01!C13+澳门新定位结果!$P13</f>
        <v>2</v>
      </c>
      <c r="D14" s="1">
        <f>澳门换算01!D13+澳门新定位结果!$P13</f>
        <v>1</v>
      </c>
      <c r="E14">
        <f>澳门换算01!E13+澳门新定位结果!$P13</f>
        <v>2</v>
      </c>
      <c r="F14">
        <f>澳门换算01!F13+澳门新定位结果!$P13</f>
        <v>1</v>
      </c>
      <c r="G14">
        <f>澳门换算01!G13+澳门新定位结果!$P13</f>
        <v>1</v>
      </c>
      <c r="H14">
        <f>澳门换算01!H13+澳门新定位结果!$P13</f>
        <v>2</v>
      </c>
      <c r="I14">
        <f>澳门换算01!I13+澳门新定位结果!$P13</f>
        <v>1</v>
      </c>
      <c r="J14" s="1">
        <f>澳门换算01!J13+澳门新定位结果!$P13</f>
        <v>1</v>
      </c>
      <c r="K14">
        <f>澳门换算01!K13+澳门新定位结果!$P13</f>
        <v>1</v>
      </c>
      <c r="L14">
        <f>澳门换算01!L13+澳门新定位结果!$P13</f>
        <v>2</v>
      </c>
      <c r="M14" s="1">
        <f>澳门换算01!M13+澳门新定位结果!$P13</f>
        <v>1</v>
      </c>
      <c r="N14">
        <f>澳门换算01!N13+澳门新定位结果!$P13</f>
        <v>2</v>
      </c>
      <c r="O14">
        <f>澳门换算01!O13+澳门新定位结果!$P13</f>
        <v>1</v>
      </c>
    </row>
    <row r="15" spans="1:15">
      <c r="A15" s="4" t="s">
        <v>47</v>
      </c>
      <c r="B15">
        <f>澳门换算01!B14+澳门新定位结果!$P14</f>
        <v>1</v>
      </c>
      <c r="C15">
        <f>澳门换算01!C14+澳门新定位结果!$P14</f>
        <v>1</v>
      </c>
      <c r="D15" s="1">
        <f>澳门换算01!D14+澳门新定位结果!$P14</f>
        <v>0</v>
      </c>
      <c r="E15">
        <f>澳门换算01!E14+澳门新定位结果!$P14</f>
        <v>1</v>
      </c>
      <c r="F15">
        <f>澳门换算01!F14+澳门新定位结果!$P14</f>
        <v>0</v>
      </c>
      <c r="G15">
        <f>澳门换算01!G14+澳门新定位结果!$P14</f>
        <v>1</v>
      </c>
      <c r="H15">
        <f>澳门换算01!H14+澳门新定位结果!$P14</f>
        <v>1</v>
      </c>
      <c r="I15">
        <f>澳门换算01!I14+澳门新定位结果!$P14</f>
        <v>1</v>
      </c>
      <c r="J15" s="1">
        <f>澳门换算01!J14+澳门新定位结果!$P14</f>
        <v>0</v>
      </c>
      <c r="K15">
        <f>澳门换算01!K14+澳门新定位结果!$P14</f>
        <v>1</v>
      </c>
      <c r="L15">
        <f>澳门换算01!L14+澳门新定位结果!$P14</f>
        <v>1</v>
      </c>
      <c r="M15" s="1">
        <f>澳门换算01!M14+澳门新定位结果!$P14</f>
        <v>0</v>
      </c>
      <c r="N15">
        <f>澳门换算01!N14+澳门新定位结果!$P14</f>
        <v>1</v>
      </c>
      <c r="O15">
        <f>澳门换算01!O14+澳门新定位结果!$P14</f>
        <v>0</v>
      </c>
    </row>
    <row r="16" spans="1:15">
      <c r="A16" s="4" t="s">
        <v>49</v>
      </c>
      <c r="B16">
        <f>澳门换算01!B15+澳门新定位结果!$P15</f>
        <v>1</v>
      </c>
      <c r="C16">
        <f>澳门换算01!C15+澳门新定位结果!$P15</f>
        <v>2</v>
      </c>
      <c r="D16" s="1">
        <f>澳门换算01!D15+澳门新定位结果!$P15</f>
        <v>1</v>
      </c>
      <c r="E16">
        <f>澳门换算01!E15+澳门新定位结果!$P15</f>
        <v>1</v>
      </c>
      <c r="F16">
        <f>澳门换算01!F15+澳门新定位结果!$P15</f>
        <v>2</v>
      </c>
      <c r="G16">
        <f>澳门换算01!G15+澳门新定位结果!$P15</f>
        <v>1</v>
      </c>
      <c r="H16">
        <f>澳门换算01!H15+澳门新定位结果!$P15</f>
        <v>1</v>
      </c>
      <c r="I16">
        <f>澳门换算01!I15+澳门新定位结果!$P15</f>
        <v>1</v>
      </c>
      <c r="J16" s="1">
        <f>澳门换算01!J15+澳门新定位结果!$P15</f>
        <v>1</v>
      </c>
      <c r="K16">
        <f>澳门换算01!K15+澳门新定位结果!$P15</f>
        <v>2</v>
      </c>
      <c r="L16">
        <f>澳门换算01!L15+澳门新定位结果!$P15</f>
        <v>1</v>
      </c>
      <c r="M16" s="1">
        <f>澳门换算01!M15+澳门新定位结果!$P15</f>
        <v>1</v>
      </c>
      <c r="N16">
        <f>澳门换算01!N15+澳门新定位结果!$P15</f>
        <v>2</v>
      </c>
      <c r="O16">
        <f>澳门换算01!O15+澳门新定位结果!$P15</f>
        <v>2</v>
      </c>
    </row>
    <row r="17" spans="1:15">
      <c r="A17" s="4" t="s">
        <v>51</v>
      </c>
      <c r="B17">
        <f>澳门换算01!B16+澳门新定位结果!$P16</f>
        <v>1</v>
      </c>
      <c r="C17">
        <f>澳门换算01!C16+澳门新定位结果!$P16</f>
        <v>1</v>
      </c>
      <c r="D17" s="1">
        <f>澳门换算01!D16+澳门新定位结果!$P16</f>
        <v>0</v>
      </c>
      <c r="E17">
        <f>澳门换算01!E16+澳门新定位结果!$P16</f>
        <v>1</v>
      </c>
      <c r="F17">
        <f>澳门换算01!F16+澳门新定位结果!$P16</f>
        <v>0</v>
      </c>
      <c r="G17">
        <f>澳门换算01!G16+澳门新定位结果!$P16</f>
        <v>1</v>
      </c>
      <c r="H17">
        <f>澳门换算01!H16+澳门新定位结果!$P16</f>
        <v>1</v>
      </c>
      <c r="I17">
        <f>澳门换算01!I16+澳门新定位结果!$P16</f>
        <v>1</v>
      </c>
      <c r="J17" s="1">
        <f>澳门换算01!J16+澳门新定位结果!$P16</f>
        <v>1</v>
      </c>
      <c r="K17">
        <f>澳门换算01!K16+澳门新定位结果!$P16</f>
        <v>1</v>
      </c>
      <c r="L17">
        <f>澳门换算01!L16+澳门新定位结果!$P16</f>
        <v>1</v>
      </c>
      <c r="M17" s="1">
        <f>澳门换算01!M16+澳门新定位结果!$P16</f>
        <v>1</v>
      </c>
      <c r="N17">
        <f>澳门换算01!N16+澳门新定位结果!$P16</f>
        <v>0</v>
      </c>
      <c r="O17">
        <f>澳门换算01!O16+澳门新定位结果!$P16</f>
        <v>0</v>
      </c>
    </row>
    <row r="18" spans="1:15">
      <c r="A18" s="4" t="s">
        <v>53</v>
      </c>
      <c r="B18">
        <f>澳门换算01!B17+澳门新定位结果!$P17</f>
        <v>0</v>
      </c>
      <c r="C18">
        <f>澳门换算01!C17+澳门新定位结果!$P17</f>
        <v>1</v>
      </c>
      <c r="D18" s="1">
        <f>澳门换算01!D17+澳门新定位结果!$P17</f>
        <v>0</v>
      </c>
      <c r="E18">
        <f>澳门换算01!E17+澳门新定位结果!$P17</f>
        <v>0</v>
      </c>
      <c r="F18">
        <f>澳门换算01!F17+澳门新定位结果!$P17</f>
        <v>0</v>
      </c>
      <c r="G18">
        <f>澳门换算01!G17+澳门新定位结果!$P17</f>
        <v>0</v>
      </c>
      <c r="H18">
        <f>澳门换算01!H17+澳门新定位结果!$P17</f>
        <v>0</v>
      </c>
      <c r="I18">
        <f>澳门换算01!I17+澳门新定位结果!$P17</f>
        <v>1</v>
      </c>
      <c r="J18" s="1">
        <f>澳门换算01!J17+澳门新定位结果!$P17</f>
        <v>1</v>
      </c>
      <c r="K18">
        <f>澳门换算01!K17+澳门新定位结果!$P17</f>
        <v>1</v>
      </c>
      <c r="L18">
        <f>澳门换算01!L17+澳门新定位结果!$P17</f>
        <v>1</v>
      </c>
      <c r="M18" s="1">
        <f>澳门换算01!M17+澳门新定位结果!$P17</f>
        <v>0</v>
      </c>
      <c r="N18">
        <f>澳门换算01!N17+澳门新定位结果!$P17</f>
        <v>0</v>
      </c>
      <c r="O18">
        <f>澳门换算01!O17+澳门新定位结果!$P17</f>
        <v>1</v>
      </c>
    </row>
    <row r="19" spans="1:15">
      <c r="A19" s="4" t="s">
        <v>55</v>
      </c>
      <c r="B19">
        <f>澳门换算01!B18+澳门新定位结果!$P18</f>
        <v>1</v>
      </c>
      <c r="C19">
        <f>澳门换算01!C18+澳门新定位结果!$P18</f>
        <v>1</v>
      </c>
      <c r="D19" s="1">
        <f>澳门换算01!D18+澳门新定位结果!$P18</f>
        <v>1</v>
      </c>
      <c r="E19">
        <f>澳门换算01!E18+澳门新定位结果!$P18</f>
        <v>2</v>
      </c>
      <c r="F19">
        <f>澳门换算01!F18+澳门新定位结果!$P18</f>
        <v>2</v>
      </c>
      <c r="G19">
        <f>澳门换算01!G18+澳门新定位结果!$P18</f>
        <v>1</v>
      </c>
      <c r="H19">
        <f>澳门换算01!H18+澳门新定位结果!$P18</f>
        <v>1</v>
      </c>
      <c r="I19">
        <f>澳门换算01!I18+澳门新定位结果!$P18</f>
        <v>1</v>
      </c>
      <c r="J19" s="1">
        <f>澳门换算01!J18+澳门新定位结果!$P18</f>
        <v>1</v>
      </c>
      <c r="K19">
        <f>澳门换算01!K18+澳门新定位结果!$P18</f>
        <v>1</v>
      </c>
      <c r="L19">
        <f>澳门换算01!L18+澳门新定位结果!$P18</f>
        <v>1</v>
      </c>
      <c r="M19" s="1">
        <f>澳门换算01!M18+澳门新定位结果!$P18</f>
        <v>1</v>
      </c>
      <c r="N19">
        <f>澳门换算01!N18+澳门新定位结果!$P18</f>
        <v>2</v>
      </c>
      <c r="O19">
        <f>澳门换算01!O18+澳门新定位结果!$P18</f>
        <v>1</v>
      </c>
    </row>
    <row r="20" spans="1:15">
      <c r="A20" s="4" t="s">
        <v>57</v>
      </c>
      <c r="B20">
        <f>澳门换算01!B19+澳门新定位结果!$P19</f>
        <v>1</v>
      </c>
      <c r="C20">
        <f>澳门换算01!C19+澳门新定位结果!$P19</f>
        <v>1</v>
      </c>
      <c r="D20" s="1">
        <f>澳门换算01!D19+澳门新定位结果!$P19</f>
        <v>1</v>
      </c>
      <c r="E20">
        <f>澳门换算01!E19+澳门新定位结果!$P19</f>
        <v>2</v>
      </c>
      <c r="F20">
        <f>澳门换算01!F19+澳门新定位结果!$P19</f>
        <v>1</v>
      </c>
      <c r="G20">
        <f>澳门换算01!G19+澳门新定位结果!$P19</f>
        <v>1</v>
      </c>
      <c r="H20">
        <f>澳门换算01!H19+澳门新定位结果!$P19</f>
        <v>1</v>
      </c>
      <c r="I20">
        <f>澳门换算01!I19+澳门新定位结果!$P19</f>
        <v>1</v>
      </c>
      <c r="J20" s="1">
        <f>澳门换算01!J19+澳门新定位结果!$P19</f>
        <v>1</v>
      </c>
      <c r="K20">
        <f>澳门换算01!K19+澳门新定位结果!$P19</f>
        <v>1</v>
      </c>
      <c r="L20">
        <f>澳门换算01!L19+澳门新定位结果!$P19</f>
        <v>1</v>
      </c>
      <c r="M20" s="1">
        <f>澳门换算01!M19+澳门新定位结果!$P19</f>
        <v>1</v>
      </c>
      <c r="N20">
        <f>澳门换算01!N19+澳门新定位结果!$P19</f>
        <v>2</v>
      </c>
      <c r="O20">
        <f>澳门换算01!O19+澳门新定位结果!$P19</f>
        <v>2</v>
      </c>
    </row>
    <row r="21" spans="1:15">
      <c r="A21" s="4" t="s">
        <v>59</v>
      </c>
      <c r="B21">
        <f>澳门换算01!B20+澳门新定位结果!$P20</f>
        <v>0</v>
      </c>
      <c r="C21">
        <f>澳门换算01!C20+澳门新定位结果!$P20</f>
        <v>1</v>
      </c>
      <c r="D21" s="1">
        <f>澳门换算01!D20+澳门新定位结果!$P20</f>
        <v>1</v>
      </c>
      <c r="E21">
        <f>澳门换算01!E20+澳门新定位结果!$P20</f>
        <v>0</v>
      </c>
      <c r="F21">
        <f>澳门换算01!F20+澳门新定位结果!$P20</f>
        <v>0</v>
      </c>
      <c r="G21">
        <f>澳门换算01!G20+澳门新定位结果!$P20</f>
        <v>0</v>
      </c>
      <c r="H21">
        <f>澳门换算01!H20+澳门新定位结果!$P20</f>
        <v>0</v>
      </c>
      <c r="I21">
        <f>澳门换算01!I20+澳门新定位结果!$P20</f>
        <v>1</v>
      </c>
      <c r="J21" s="1">
        <f>澳门换算01!J20+澳门新定位结果!$P20</f>
        <v>0</v>
      </c>
      <c r="K21">
        <f>澳门换算01!K20+澳门新定位结果!$P20</f>
        <v>1</v>
      </c>
      <c r="L21">
        <f>澳门换算01!L20+澳门新定位结果!$P20</f>
        <v>0</v>
      </c>
      <c r="M21" s="1">
        <f>澳门换算01!M20+澳门新定位结果!$P20</f>
        <v>0</v>
      </c>
      <c r="N21">
        <f>澳门换算01!N20+澳门新定位结果!$P20</f>
        <v>0</v>
      </c>
      <c r="O21">
        <f>澳门换算01!O20+澳门新定位结果!$P20</f>
        <v>0</v>
      </c>
    </row>
    <row r="22" spans="1:15">
      <c r="A22" s="4" t="s">
        <v>61</v>
      </c>
      <c r="B22">
        <f>澳门换算01!B21+澳门新定位结果!$P21</f>
        <v>0</v>
      </c>
      <c r="C22">
        <f>澳门换算01!C21+澳门新定位结果!$P21</f>
        <v>0</v>
      </c>
      <c r="D22" s="1">
        <f>澳门换算01!D21+澳门新定位结果!$P21</f>
        <v>0</v>
      </c>
      <c r="E22">
        <f>澳门换算01!E21+澳门新定位结果!$P21</f>
        <v>1</v>
      </c>
      <c r="F22">
        <f>澳门换算01!F21+澳门新定位结果!$P21</f>
        <v>0</v>
      </c>
      <c r="G22">
        <f>澳门换算01!G21+澳门新定位结果!$P21</f>
        <v>0</v>
      </c>
      <c r="H22">
        <f>澳门换算01!H21+澳门新定位结果!$P21</f>
        <v>1</v>
      </c>
      <c r="I22">
        <f>澳门换算01!I21+澳门新定位结果!$P21</f>
        <v>1</v>
      </c>
      <c r="J22" s="1">
        <f>澳门换算01!J21+澳门新定位结果!$P21</f>
        <v>0</v>
      </c>
      <c r="K22">
        <f>澳门换算01!K21+澳门新定位结果!$P21</f>
        <v>1</v>
      </c>
      <c r="L22">
        <f>澳门换算01!L21+澳门新定位结果!$P21</f>
        <v>1</v>
      </c>
      <c r="M22" s="1">
        <f>澳门换算01!M21+澳门新定位结果!$P21</f>
        <v>1</v>
      </c>
      <c r="N22">
        <f>澳门换算01!N21+澳门新定位结果!$P21</f>
        <v>1</v>
      </c>
      <c r="O22">
        <f>澳门换算01!O21+澳门新定位结果!$P21</f>
        <v>0</v>
      </c>
    </row>
    <row r="23" spans="1:15">
      <c r="A23" s="4" t="s">
        <v>63</v>
      </c>
      <c r="B23">
        <f>澳门换算01!B22+澳门新定位结果!$P22</f>
        <v>1</v>
      </c>
      <c r="C23">
        <f>澳门换算01!C22+澳门新定位结果!$P22</f>
        <v>1</v>
      </c>
      <c r="D23" s="1">
        <f>澳门换算01!D22+澳门新定位结果!$P22</f>
        <v>0</v>
      </c>
      <c r="E23">
        <f>澳门换算01!E22+澳门新定位结果!$P22</f>
        <v>0</v>
      </c>
      <c r="F23">
        <f>澳门换算01!F22+澳门新定位结果!$P22</f>
        <v>1</v>
      </c>
      <c r="G23">
        <f>澳门换算01!G22+澳门新定位结果!$P22</f>
        <v>1</v>
      </c>
      <c r="H23">
        <f>澳门换算01!H22+澳门新定位结果!$P22</f>
        <v>1</v>
      </c>
      <c r="I23">
        <f>澳门换算01!I22+澳门新定位结果!$P22</f>
        <v>1</v>
      </c>
      <c r="J23" s="1">
        <f>澳门换算01!J22+澳门新定位结果!$P22</f>
        <v>1</v>
      </c>
      <c r="K23">
        <f>澳门换算01!K22+澳门新定位结果!$P22</f>
        <v>1</v>
      </c>
      <c r="L23">
        <f>澳门换算01!L22+澳门新定位结果!$P22</f>
        <v>1</v>
      </c>
      <c r="M23" s="1">
        <f>澳门换算01!M22+澳门新定位结果!$P22</f>
        <v>1</v>
      </c>
      <c r="N23">
        <f>澳门换算01!N22+澳门新定位结果!$P22</f>
        <v>0</v>
      </c>
      <c r="O23">
        <f>澳门换算01!O22+澳门新定位结果!$P22</f>
        <v>1</v>
      </c>
    </row>
    <row r="24" spans="1:15">
      <c r="A24" s="4" t="s">
        <v>65</v>
      </c>
      <c r="B24">
        <f>澳门换算01!B23+澳门新定位结果!$P23</f>
        <v>1</v>
      </c>
      <c r="C24">
        <f>澳门换算01!C23+澳门新定位结果!$P23</f>
        <v>1</v>
      </c>
      <c r="D24" s="1">
        <f>澳门换算01!D23+澳门新定位结果!$P23</f>
        <v>1</v>
      </c>
      <c r="E24">
        <f>澳门换算01!E23+澳门新定位结果!$P23</f>
        <v>1</v>
      </c>
      <c r="F24">
        <f>澳门换算01!F23+澳门新定位结果!$P23</f>
        <v>0</v>
      </c>
      <c r="G24">
        <f>澳门换算01!G23+澳门新定位结果!$P23</f>
        <v>0</v>
      </c>
      <c r="H24">
        <f>澳门换算01!H23+澳门新定位结果!$P23</f>
        <v>1</v>
      </c>
      <c r="I24">
        <f>澳门换算01!I23+澳门新定位结果!$P23</f>
        <v>1</v>
      </c>
      <c r="J24" s="1">
        <f>澳门换算01!J23+澳门新定位结果!$P23</f>
        <v>1</v>
      </c>
      <c r="K24">
        <f>澳门换算01!K23+澳门新定位结果!$P23</f>
        <v>0</v>
      </c>
      <c r="L24">
        <f>澳门换算01!L23+澳门新定位结果!$P23</f>
        <v>0</v>
      </c>
      <c r="M24" s="1">
        <f>澳门换算01!M23+澳门新定位结果!$P23</f>
        <v>0</v>
      </c>
      <c r="N24">
        <f>澳门换算01!N23+澳门新定位结果!$P23</f>
        <v>0</v>
      </c>
      <c r="O24">
        <f>澳门换算01!O23+澳门新定位结果!$P23</f>
        <v>0</v>
      </c>
    </row>
    <row r="25" spans="1:15">
      <c r="A25" s="4" t="s">
        <v>67</v>
      </c>
      <c r="B25">
        <f>澳门换算01!B24+澳门新定位结果!$P24</f>
        <v>1</v>
      </c>
      <c r="C25">
        <f>澳门换算01!C24+澳门新定位结果!$P24</f>
        <v>0</v>
      </c>
      <c r="D25" s="1">
        <f>澳门换算01!D24+澳门新定位结果!$P24</f>
        <v>0</v>
      </c>
      <c r="E25">
        <f>澳门换算01!E24+澳门新定位结果!$P24</f>
        <v>0</v>
      </c>
      <c r="F25">
        <f>澳门换算01!F24+澳门新定位结果!$P24</f>
        <v>0</v>
      </c>
      <c r="G25">
        <f>澳门换算01!G24+澳门新定位结果!$P24</f>
        <v>0</v>
      </c>
      <c r="H25">
        <f>澳门换算01!H24+澳门新定位结果!$P24</f>
        <v>0</v>
      </c>
      <c r="I25">
        <f>澳门换算01!I24+澳门新定位结果!$P24</f>
        <v>1</v>
      </c>
      <c r="J25" s="1">
        <f>澳门换算01!J24+澳门新定位结果!$P24</f>
        <v>0</v>
      </c>
      <c r="K25">
        <f>澳门换算01!K24+澳门新定位结果!$P24</f>
        <v>1</v>
      </c>
      <c r="L25">
        <f>澳门换算01!L24+澳门新定位结果!$P24</f>
        <v>0</v>
      </c>
      <c r="M25" s="1">
        <f>澳门换算01!M24+澳门新定位结果!$P24</f>
        <v>0</v>
      </c>
      <c r="N25">
        <f>澳门换算01!N24+澳门新定位结果!$P24</f>
        <v>1</v>
      </c>
      <c r="O25">
        <f>澳门换算01!O24+澳门新定位结果!$P24</f>
        <v>1</v>
      </c>
    </row>
    <row r="26" spans="1:15">
      <c r="A26" s="4" t="s">
        <v>69</v>
      </c>
      <c r="B26">
        <f>澳门换算01!B25+澳门新定位结果!$P25</f>
        <v>1</v>
      </c>
      <c r="C26">
        <f>澳门换算01!C25+澳门新定位结果!$P25</f>
        <v>2</v>
      </c>
      <c r="D26" s="1">
        <f>澳门换算01!D25+澳门新定位结果!$P25</f>
        <v>1</v>
      </c>
      <c r="E26">
        <f>澳门换算01!E25+澳门新定位结果!$P25</f>
        <v>2</v>
      </c>
      <c r="F26">
        <f>澳门换算01!F25+澳门新定位结果!$P25</f>
        <v>2</v>
      </c>
      <c r="G26">
        <f>澳门换算01!G25+澳门新定位结果!$P25</f>
        <v>1</v>
      </c>
      <c r="H26">
        <f>澳门换算01!H25+澳门新定位结果!$P25</f>
        <v>1</v>
      </c>
      <c r="I26">
        <f>澳门换算01!I25+澳门新定位结果!$P25</f>
        <v>1</v>
      </c>
      <c r="J26" s="1">
        <f>澳门换算01!J25+澳门新定位结果!$P25</f>
        <v>1</v>
      </c>
      <c r="K26">
        <f>澳门换算01!K25+澳门新定位结果!$P25</f>
        <v>1</v>
      </c>
      <c r="L26">
        <f>澳门换算01!L25+澳门新定位结果!$P25</f>
        <v>2</v>
      </c>
      <c r="M26" s="1">
        <f>澳门换算01!M25+澳门新定位结果!$P25</f>
        <v>2</v>
      </c>
      <c r="N26">
        <f>澳门换算01!N25+澳门新定位结果!$P25</f>
        <v>2</v>
      </c>
      <c r="O26">
        <f>澳门换算01!O25+澳门新定位结果!$P25</f>
        <v>1</v>
      </c>
    </row>
    <row r="27" spans="1:15">
      <c r="A27" s="4" t="s">
        <v>71</v>
      </c>
      <c r="B27">
        <f>澳门换算01!B26+澳门新定位结果!$P26</f>
        <v>0</v>
      </c>
      <c r="C27">
        <f>澳门换算01!C26+澳门新定位结果!$P26</f>
        <v>1</v>
      </c>
      <c r="D27" s="1">
        <f>澳门换算01!D26+澳门新定位结果!$P26</f>
        <v>0</v>
      </c>
      <c r="E27">
        <f>澳门换算01!E26+澳门新定位结果!$P26</f>
        <v>1</v>
      </c>
      <c r="F27">
        <f>澳门换算01!F26+澳门新定位结果!$P26</f>
        <v>0</v>
      </c>
      <c r="G27">
        <f>澳门换算01!G26+澳门新定位结果!$P26</f>
        <v>0</v>
      </c>
      <c r="H27">
        <f>澳门换算01!H26+澳门新定位结果!$P26</f>
        <v>1</v>
      </c>
      <c r="I27">
        <f>澳门换算01!I26+澳门新定位结果!$P26</f>
        <v>0</v>
      </c>
      <c r="J27" s="1">
        <f>澳门换算01!J26+澳门新定位结果!$P26</f>
        <v>1</v>
      </c>
      <c r="K27">
        <f>澳门换算01!K26+澳门新定位结果!$P26</f>
        <v>0</v>
      </c>
      <c r="L27">
        <f>澳门换算01!L26+澳门新定位结果!$P26</f>
        <v>1</v>
      </c>
      <c r="M27" s="1">
        <f>澳门换算01!M26+澳门新定位结果!$P26</f>
        <v>0</v>
      </c>
      <c r="N27">
        <f>澳门换算01!N26+澳门新定位结果!$P26</f>
        <v>0</v>
      </c>
      <c r="O27">
        <f>澳门换算01!O26+澳门新定位结果!$P26</f>
        <v>0</v>
      </c>
    </row>
    <row r="28" spans="1:15">
      <c r="A28" s="4" t="s">
        <v>73</v>
      </c>
      <c r="B28">
        <f>澳门换算01!B27+澳门新定位结果!$P27</f>
        <v>0</v>
      </c>
      <c r="C28">
        <f>澳门换算01!C27+澳门新定位结果!$P27</f>
        <v>1</v>
      </c>
      <c r="D28" s="1">
        <f>澳门换算01!D27+澳门新定位结果!$P27</f>
        <v>0</v>
      </c>
      <c r="E28">
        <f>澳门换算01!E27+澳门新定位结果!$P27</f>
        <v>1</v>
      </c>
      <c r="F28">
        <f>澳门换算01!F27+澳门新定位结果!$P27</f>
        <v>1</v>
      </c>
      <c r="G28">
        <f>澳门换算01!G27+澳门新定位结果!$P27</f>
        <v>0</v>
      </c>
      <c r="H28">
        <f>澳门换算01!H27+澳门新定位结果!$P27</f>
        <v>1</v>
      </c>
      <c r="I28">
        <f>澳门换算01!I27+澳门新定位结果!$P27</f>
        <v>1</v>
      </c>
      <c r="J28" s="1">
        <f>澳门换算01!J27+澳门新定位结果!$P27</f>
        <v>1</v>
      </c>
      <c r="K28">
        <f>澳门换算01!K27+澳门新定位结果!$P27</f>
        <v>0</v>
      </c>
      <c r="L28">
        <f>澳门换算01!L27+澳门新定位结果!$P27</f>
        <v>0</v>
      </c>
      <c r="M28" s="1">
        <f>澳门换算01!M27+澳门新定位结果!$P27</f>
        <v>1</v>
      </c>
      <c r="N28">
        <f>澳门换算01!N27+澳门新定位结果!$P27</f>
        <v>0</v>
      </c>
      <c r="O28">
        <f>澳门换算01!O27+澳门新定位结果!$P27</f>
        <v>1</v>
      </c>
    </row>
    <row r="29" spans="1:15">
      <c r="A29" s="4" t="s">
        <v>75</v>
      </c>
      <c r="B29">
        <f>澳门换算01!B28+澳门新定位结果!$P28</f>
        <v>1</v>
      </c>
      <c r="C29">
        <f>澳门换算01!C28+澳门新定位结果!$P28</f>
        <v>1</v>
      </c>
      <c r="D29" s="1">
        <f>澳门换算01!D28+澳门新定位结果!$P28</f>
        <v>1</v>
      </c>
      <c r="E29">
        <f>澳门换算01!E28+澳门新定位结果!$P28</f>
        <v>1</v>
      </c>
      <c r="F29">
        <f>澳门换算01!F28+澳门新定位结果!$P28</f>
        <v>1</v>
      </c>
      <c r="G29">
        <f>澳门换算01!G28+澳门新定位结果!$P28</f>
        <v>0</v>
      </c>
      <c r="H29">
        <f>澳门换算01!H28+澳门新定位结果!$P28</f>
        <v>1</v>
      </c>
      <c r="I29">
        <f>澳门换算01!I28+澳门新定位结果!$P28</f>
        <v>1</v>
      </c>
      <c r="J29" s="1">
        <f>澳门换算01!J28+澳门新定位结果!$P28</f>
        <v>1</v>
      </c>
      <c r="K29">
        <f>澳门换算01!K28+澳门新定位结果!$P28</f>
        <v>1</v>
      </c>
      <c r="L29">
        <f>澳门换算01!L28+澳门新定位结果!$P28</f>
        <v>0</v>
      </c>
      <c r="M29" s="1">
        <f>澳门换算01!M28+澳门新定位结果!$P28</f>
        <v>1</v>
      </c>
      <c r="N29">
        <f>澳门换算01!N28+澳门新定位结果!$P28</f>
        <v>0</v>
      </c>
      <c r="O29">
        <f>澳门换算01!O28+澳门新定位结果!$P28</f>
        <v>1</v>
      </c>
    </row>
    <row r="30" spans="1:15">
      <c r="A30" s="4" t="s">
        <v>77</v>
      </c>
      <c r="B30">
        <f>澳门换算01!B29+澳门新定位结果!$P29</f>
        <v>0</v>
      </c>
      <c r="C30">
        <f>澳门换算01!C29+澳门新定位结果!$P29</f>
        <v>1</v>
      </c>
      <c r="D30" s="1">
        <f>澳门换算01!D29+澳门新定位结果!$P29</f>
        <v>0</v>
      </c>
      <c r="E30">
        <f>澳门换算01!E29+澳门新定位结果!$P29</f>
        <v>0</v>
      </c>
      <c r="F30">
        <f>澳门换算01!F29+澳门新定位结果!$P29</f>
        <v>0</v>
      </c>
      <c r="G30">
        <f>澳门换算01!G29+澳门新定位结果!$P29</f>
        <v>0</v>
      </c>
      <c r="H30">
        <f>澳门换算01!H29+澳门新定位结果!$P29</f>
        <v>0</v>
      </c>
      <c r="I30">
        <f>澳门换算01!I29+澳门新定位结果!$P29</f>
        <v>0</v>
      </c>
      <c r="J30" s="1">
        <f>澳门换算01!J29+澳门新定位结果!$P29</f>
        <v>0</v>
      </c>
      <c r="K30">
        <f>澳门换算01!K29+澳门新定位结果!$P29</f>
        <v>1</v>
      </c>
      <c r="L30">
        <f>澳门换算01!L29+澳门新定位结果!$P29</f>
        <v>1</v>
      </c>
      <c r="M30" s="1">
        <f>澳门换算01!M29+澳门新定位结果!$P29</f>
        <v>1</v>
      </c>
      <c r="N30">
        <f>澳门换算01!N29+澳门新定位结果!$P29</f>
        <v>0</v>
      </c>
      <c r="O30">
        <f>澳门换算01!O29+澳门新定位结果!$P29</f>
        <v>1</v>
      </c>
    </row>
    <row r="31" spans="1:15">
      <c r="A31" s="4" t="s">
        <v>79</v>
      </c>
      <c r="B31">
        <f>澳门换算01!B30+澳门新定位结果!$P30</f>
        <v>2</v>
      </c>
      <c r="C31">
        <f>澳门换算01!C30+澳门新定位结果!$P30</f>
        <v>1</v>
      </c>
      <c r="D31" s="1">
        <f>澳门换算01!D30+澳门新定位结果!$P30</f>
        <v>2</v>
      </c>
      <c r="E31">
        <f>澳门换算01!E30+澳门新定位结果!$P30</f>
        <v>2</v>
      </c>
      <c r="F31">
        <f>澳门换算01!F30+澳门新定位结果!$P30</f>
        <v>2</v>
      </c>
      <c r="G31">
        <f>澳门换算01!G30+澳门新定位结果!$P30</f>
        <v>1</v>
      </c>
      <c r="H31">
        <f>澳门换算01!H30+澳门新定位结果!$P30</f>
        <v>1</v>
      </c>
      <c r="I31">
        <f>澳门换算01!I30+澳门新定位结果!$P30</f>
        <v>2</v>
      </c>
      <c r="J31" s="1">
        <f>澳门换算01!J30+澳门新定位结果!$P30</f>
        <v>2</v>
      </c>
      <c r="K31">
        <f>澳门换算01!K30+澳门新定位结果!$P30</f>
        <v>1</v>
      </c>
      <c r="L31">
        <f>澳门换算01!L30+澳门新定位结果!$P30</f>
        <v>2</v>
      </c>
      <c r="M31" s="1">
        <f>澳门换算01!M30+澳门新定位结果!$P30</f>
        <v>1</v>
      </c>
      <c r="N31">
        <f>澳门换算01!N30+澳门新定位结果!$P30</f>
        <v>2</v>
      </c>
      <c r="O31">
        <f>澳门换算01!O30+澳门新定位结果!$P30</f>
        <v>2</v>
      </c>
    </row>
    <row r="32" spans="1:15">
      <c r="A32" s="4" t="s">
        <v>81</v>
      </c>
      <c r="B32">
        <f>澳门换算01!B31+澳门新定位结果!$P31</f>
        <v>1</v>
      </c>
      <c r="C32">
        <f>澳门换算01!C31+澳门新定位结果!$P31</f>
        <v>1</v>
      </c>
      <c r="D32" s="1">
        <f>澳门换算01!D31+澳门新定位结果!$P31</f>
        <v>1</v>
      </c>
      <c r="E32">
        <f>澳门换算01!E31+澳门新定位结果!$P31</f>
        <v>0</v>
      </c>
      <c r="F32">
        <f>澳门换算01!F31+澳门新定位结果!$P31</f>
        <v>0</v>
      </c>
      <c r="G32">
        <f>澳门换算01!G31+澳门新定位结果!$P31</f>
        <v>0</v>
      </c>
      <c r="H32">
        <f>澳门换算01!H31+澳门新定位结果!$P31</f>
        <v>1</v>
      </c>
      <c r="I32">
        <f>澳门换算01!I31+澳门新定位结果!$P31</f>
        <v>0</v>
      </c>
      <c r="J32" s="1">
        <f>澳门换算01!J31+澳门新定位结果!$P31</f>
        <v>1</v>
      </c>
      <c r="K32">
        <f>澳门换算01!K31+澳门新定位结果!$P31</f>
        <v>1</v>
      </c>
      <c r="L32">
        <f>澳门换算01!L31+澳门新定位结果!$P31</f>
        <v>0</v>
      </c>
      <c r="M32" s="1">
        <f>澳门换算01!M31+澳门新定位结果!$P31</f>
        <v>1</v>
      </c>
      <c r="N32">
        <f>澳门换算01!N31+澳门新定位结果!$P31</f>
        <v>1</v>
      </c>
      <c r="O32">
        <f>澳门换算01!O31+澳门新定位结果!$P31</f>
        <v>0</v>
      </c>
    </row>
    <row r="33" spans="1:15">
      <c r="A33" s="4" t="s">
        <v>83</v>
      </c>
      <c r="B33">
        <f>澳门换算01!B32+澳门新定位结果!$P32</f>
        <v>0</v>
      </c>
      <c r="C33">
        <f>澳门换算01!C32+澳门新定位结果!$P32</f>
        <v>0</v>
      </c>
      <c r="D33" s="1">
        <f>澳门换算01!D32+澳门新定位结果!$P32</f>
        <v>0</v>
      </c>
      <c r="E33">
        <f>澳门换算01!E32+澳门新定位结果!$P32</f>
        <v>0</v>
      </c>
      <c r="F33">
        <f>澳门换算01!F32+澳门新定位结果!$P32</f>
        <v>1</v>
      </c>
      <c r="G33">
        <f>澳门换算01!G32+澳门新定位结果!$P32</f>
        <v>1</v>
      </c>
      <c r="H33">
        <f>澳门换算01!H32+澳门新定位结果!$P32</f>
        <v>0</v>
      </c>
      <c r="I33">
        <f>澳门换算01!I32+澳门新定位结果!$P32</f>
        <v>0</v>
      </c>
      <c r="J33" s="1">
        <f>澳门换算01!J32+澳门新定位结果!$P32</f>
        <v>1</v>
      </c>
      <c r="K33">
        <f>澳门换算01!K32+澳门新定位结果!$P32</f>
        <v>0</v>
      </c>
      <c r="L33">
        <f>澳门换算01!L32+澳门新定位结果!$P32</f>
        <v>1</v>
      </c>
      <c r="M33" s="1">
        <f>澳门换算01!M32+澳门新定位结果!$P32</f>
        <v>0</v>
      </c>
      <c r="N33">
        <f>澳门换算01!N32+澳门新定位结果!$P32</f>
        <v>0</v>
      </c>
      <c r="O33">
        <f>澳门换算01!O32+澳门新定位结果!$P32</f>
        <v>1</v>
      </c>
    </row>
    <row r="34" spans="1:15">
      <c r="A34" s="4" t="s">
        <v>85</v>
      </c>
      <c r="B34">
        <f>澳门换算01!B33+澳门新定位结果!$P33</f>
        <v>0</v>
      </c>
      <c r="C34">
        <f>澳门换算01!C33+澳门新定位结果!$P33</f>
        <v>1</v>
      </c>
      <c r="D34" s="1">
        <f>澳门换算01!D33+澳门新定位结果!$P33</f>
        <v>0</v>
      </c>
      <c r="E34">
        <f>澳门换算01!E33+澳门新定位结果!$P33</f>
        <v>0</v>
      </c>
      <c r="F34">
        <f>澳门换算01!F33+澳门新定位结果!$P33</f>
        <v>0</v>
      </c>
      <c r="G34">
        <f>澳门换算01!G33+澳门新定位结果!$P33</f>
        <v>0</v>
      </c>
      <c r="H34">
        <f>澳门换算01!H33+澳门新定位结果!$P33</f>
        <v>1</v>
      </c>
      <c r="I34">
        <f>澳门换算01!I33+澳门新定位结果!$P33</f>
        <v>0</v>
      </c>
      <c r="J34" s="1">
        <f>澳门换算01!J33+澳门新定位结果!$P33</f>
        <v>0</v>
      </c>
      <c r="K34">
        <f>澳门换算01!K33+澳门新定位结果!$P33</f>
        <v>0</v>
      </c>
      <c r="L34">
        <f>澳门换算01!L33+澳门新定位结果!$P33</f>
        <v>0</v>
      </c>
      <c r="M34" s="1">
        <f>澳门换算01!M33+澳门新定位结果!$P33</f>
        <v>1</v>
      </c>
      <c r="N34">
        <f>澳门换算01!N33+澳门新定位结果!$P33</f>
        <v>0</v>
      </c>
      <c r="O34">
        <f>澳门换算01!O33+澳门新定位结果!$P33</f>
        <v>1</v>
      </c>
    </row>
    <row r="35" spans="1:15">
      <c r="A35" s="4" t="s">
        <v>87</v>
      </c>
      <c r="B35">
        <f>澳门换算01!B34+澳门新定位结果!$P34</f>
        <v>0</v>
      </c>
      <c r="C35">
        <f>澳门换算01!C34+澳门新定位结果!$P34</f>
        <v>0</v>
      </c>
      <c r="D35" s="1">
        <f>澳门换算01!D34+澳门新定位结果!$P34</f>
        <v>0</v>
      </c>
      <c r="E35">
        <f>澳门换算01!E34+澳门新定位结果!$P34</f>
        <v>0</v>
      </c>
      <c r="F35">
        <f>澳门换算01!F34+澳门新定位结果!$P34</f>
        <v>0</v>
      </c>
      <c r="G35">
        <f>澳门换算01!G34+澳门新定位结果!$P34</f>
        <v>0</v>
      </c>
      <c r="H35">
        <f>澳门换算01!H34+澳门新定位结果!$P34</f>
        <v>0</v>
      </c>
      <c r="I35">
        <f>澳门换算01!I34+澳门新定位结果!$P34</f>
        <v>0</v>
      </c>
      <c r="J35" s="1">
        <f>澳门换算01!J34+澳门新定位结果!$P34</f>
        <v>0</v>
      </c>
      <c r="K35">
        <f>澳门换算01!K34+澳门新定位结果!$P34</f>
        <v>1</v>
      </c>
      <c r="L35">
        <f>澳门换算01!L34+澳门新定位结果!$P34</f>
        <v>0</v>
      </c>
      <c r="M35" s="1">
        <f>澳门换算01!M34+澳门新定位结果!$P34</f>
        <v>0</v>
      </c>
      <c r="N35">
        <f>澳门换算01!N34+澳门新定位结果!$P34</f>
        <v>1</v>
      </c>
      <c r="O35">
        <f>澳门换算01!O34+澳门新定位结果!$P34</f>
        <v>0</v>
      </c>
    </row>
    <row r="36" spans="1:15">
      <c r="A36" s="4" t="s">
        <v>89</v>
      </c>
      <c r="B36">
        <f>澳门换算01!B35+澳门新定位结果!$P35</f>
        <v>0</v>
      </c>
      <c r="C36">
        <f>澳门换算01!C35+澳门新定位结果!$P35</f>
        <v>1</v>
      </c>
      <c r="D36" s="1">
        <f>澳门换算01!D35+澳门新定位结果!$P35</f>
        <v>0</v>
      </c>
      <c r="E36">
        <f>澳门换算01!E35+澳门新定位结果!$P35</f>
        <v>0</v>
      </c>
      <c r="F36">
        <f>澳门换算01!F35+澳门新定位结果!$P35</f>
        <v>1</v>
      </c>
      <c r="G36">
        <f>澳门换算01!G35+澳门新定位结果!$P35</f>
        <v>1</v>
      </c>
      <c r="H36">
        <f>澳门换算01!H35+澳门新定位结果!$P35</f>
        <v>0</v>
      </c>
      <c r="I36">
        <f>澳门换算01!I35+澳门新定位结果!$P35</f>
        <v>1</v>
      </c>
      <c r="J36" s="1">
        <f>澳门换算01!J35+澳门新定位结果!$P35</f>
        <v>1</v>
      </c>
      <c r="K36">
        <f>澳门换算01!K35+澳门新定位结果!$P35</f>
        <v>1</v>
      </c>
      <c r="L36">
        <f>澳门换算01!L35+澳门新定位结果!$P35</f>
        <v>1</v>
      </c>
      <c r="M36" s="1">
        <f>澳门换算01!M35+澳门新定位结果!$P35</f>
        <v>0</v>
      </c>
      <c r="N36">
        <f>澳门换算01!N35+澳门新定位结果!$P35</f>
        <v>1</v>
      </c>
      <c r="O36">
        <f>澳门换算01!O35+澳门新定位结果!$P35</f>
        <v>1</v>
      </c>
    </row>
    <row r="37" spans="1:15">
      <c r="A37" s="4" t="s">
        <v>91</v>
      </c>
      <c r="B37">
        <f>澳门换算01!B36+澳门新定位结果!$P36</f>
        <v>2</v>
      </c>
      <c r="C37">
        <f>澳门换算01!C36+澳门新定位结果!$P36</f>
        <v>1</v>
      </c>
      <c r="D37" s="1">
        <f>澳门换算01!D36+澳门新定位结果!$P36</f>
        <v>2</v>
      </c>
      <c r="E37">
        <f>澳门换算01!E36+澳门新定位结果!$P36</f>
        <v>1</v>
      </c>
      <c r="F37">
        <f>澳门换算01!F36+澳门新定位结果!$P36</f>
        <v>1</v>
      </c>
      <c r="G37">
        <f>澳门换算01!G36+澳门新定位结果!$P36</f>
        <v>2</v>
      </c>
      <c r="H37">
        <f>澳门换算01!H36+澳门新定位结果!$P36</f>
        <v>2</v>
      </c>
      <c r="I37">
        <f>澳门换算01!I36+澳门新定位结果!$P36</f>
        <v>2</v>
      </c>
      <c r="J37" s="1">
        <f>澳门换算01!J36+澳门新定位结果!$P36</f>
        <v>2</v>
      </c>
      <c r="K37">
        <f>澳门换算01!K36+澳门新定位结果!$P36</f>
        <v>1</v>
      </c>
      <c r="L37">
        <f>澳门换算01!L36+澳门新定位结果!$P36</f>
        <v>1</v>
      </c>
      <c r="M37" s="1">
        <f>澳门换算01!M36+澳门新定位结果!$P36</f>
        <v>2</v>
      </c>
      <c r="N37">
        <f>澳门换算01!N36+澳门新定位结果!$P36</f>
        <v>1</v>
      </c>
      <c r="O37">
        <f>澳门换算01!O36+澳门新定位结果!$P36</f>
        <v>1</v>
      </c>
    </row>
    <row r="38" spans="1:15">
      <c r="A38" s="4" t="s">
        <v>93</v>
      </c>
      <c r="B38">
        <f>澳门换算01!B37+澳门新定位结果!$P37</f>
        <v>0</v>
      </c>
      <c r="C38">
        <f>澳门换算01!C37+澳门新定位结果!$P37</f>
        <v>1</v>
      </c>
      <c r="D38" s="1">
        <f>澳门换算01!D37+澳门新定位结果!$P37</f>
        <v>0</v>
      </c>
      <c r="E38">
        <f>澳门换算01!E37+澳门新定位结果!$P37</f>
        <v>0</v>
      </c>
      <c r="F38">
        <f>澳门换算01!F37+澳门新定位结果!$P37</f>
        <v>1</v>
      </c>
      <c r="G38">
        <f>澳门换算01!G37+澳门新定位结果!$P37</f>
        <v>0</v>
      </c>
      <c r="H38">
        <f>澳门换算01!H37+澳门新定位结果!$P37</f>
        <v>0</v>
      </c>
      <c r="I38">
        <f>澳门换算01!I37+澳门新定位结果!$P37</f>
        <v>1</v>
      </c>
      <c r="J38" s="1">
        <f>澳门换算01!J37+澳门新定位结果!$P37</f>
        <v>0</v>
      </c>
      <c r="K38">
        <f>澳门换算01!K37+澳门新定位结果!$P37</f>
        <v>1</v>
      </c>
      <c r="L38">
        <f>澳门换算01!L37+澳门新定位结果!$P37</f>
        <v>0</v>
      </c>
      <c r="M38" s="1">
        <f>澳门换算01!M37+澳门新定位结果!$P37</f>
        <v>0</v>
      </c>
      <c r="N38">
        <f>澳门换算01!N37+澳门新定位结果!$P37</f>
        <v>0</v>
      </c>
      <c r="O38">
        <f>澳门换算01!O37+澳门新定位结果!$P37</f>
        <v>0</v>
      </c>
    </row>
    <row r="39" spans="1:15">
      <c r="A39" s="4" t="s">
        <v>95</v>
      </c>
      <c r="B39">
        <f>澳门换算01!B38+澳门新定位结果!$P38</f>
        <v>0</v>
      </c>
      <c r="C39">
        <f>澳门换算01!C38+澳门新定位结果!$P38</f>
        <v>1</v>
      </c>
      <c r="D39" s="1">
        <f>澳门换算01!D38+澳门新定位结果!$P38</f>
        <v>1</v>
      </c>
      <c r="E39">
        <f>澳门换算01!E38+澳门新定位结果!$P38</f>
        <v>0</v>
      </c>
      <c r="F39">
        <f>澳门换算01!F38+澳门新定位结果!$P38</f>
        <v>1</v>
      </c>
      <c r="G39">
        <f>澳门换算01!G38+澳门新定位结果!$P38</f>
        <v>0</v>
      </c>
      <c r="H39">
        <f>澳门换算01!H38+澳门新定位结果!$P38</f>
        <v>1</v>
      </c>
      <c r="I39">
        <f>澳门换算01!I38+澳门新定位结果!$P38</f>
        <v>0</v>
      </c>
      <c r="J39" s="1">
        <f>澳门换算01!J38+澳门新定位结果!$P38</f>
        <v>1</v>
      </c>
      <c r="K39">
        <f>澳门换算01!K38+澳门新定位结果!$P38</f>
        <v>0</v>
      </c>
      <c r="L39">
        <f>澳门换算01!L38+澳门新定位结果!$P38</f>
        <v>0</v>
      </c>
      <c r="M39" s="1">
        <f>澳门换算01!M38+澳门新定位结果!$P38</f>
        <v>1</v>
      </c>
      <c r="N39">
        <f>澳门换算01!N38+澳门新定位结果!$P38</f>
        <v>0</v>
      </c>
      <c r="O39">
        <f>澳门换算01!O38+澳门新定位结果!$P38</f>
        <v>0</v>
      </c>
    </row>
    <row r="40" spans="1:15">
      <c r="A40" s="4" t="s">
        <v>97</v>
      </c>
      <c r="B40">
        <f>澳门换算01!B39+澳门新定位结果!$P39</f>
        <v>2</v>
      </c>
      <c r="C40">
        <f>澳门换算01!C39+澳门新定位结果!$P39</f>
        <v>2</v>
      </c>
      <c r="D40" s="1">
        <f>澳门换算01!D39+澳门新定位结果!$P39</f>
        <v>2</v>
      </c>
      <c r="E40">
        <f>澳门换算01!E39+澳门新定位结果!$P39</f>
        <v>1</v>
      </c>
      <c r="F40">
        <f>澳门换算01!F39+澳门新定位结果!$P39</f>
        <v>1</v>
      </c>
      <c r="G40">
        <f>澳门换算01!G39+澳门新定位结果!$P39</f>
        <v>2</v>
      </c>
      <c r="H40">
        <f>澳门换算01!H39+澳门新定位结果!$P39</f>
        <v>2</v>
      </c>
      <c r="I40">
        <f>澳门换算01!I39+澳门新定位结果!$P39</f>
        <v>2</v>
      </c>
      <c r="J40" s="1">
        <f>澳门换算01!J39+澳门新定位结果!$P39</f>
        <v>1</v>
      </c>
      <c r="K40">
        <f>澳门换算01!K39+澳门新定位结果!$P39</f>
        <v>2</v>
      </c>
      <c r="L40">
        <f>澳门换算01!L39+澳门新定位结果!$P39</f>
        <v>2</v>
      </c>
      <c r="M40" s="1">
        <f>澳门换算01!M39+澳门新定位结果!$P39</f>
        <v>1</v>
      </c>
      <c r="N40">
        <f>澳门换算01!N39+澳门新定位结果!$P39</f>
        <v>2</v>
      </c>
      <c r="O40">
        <f>澳门换算01!O39+澳门新定位结果!$P39</f>
        <v>1</v>
      </c>
    </row>
    <row r="41" spans="1:15">
      <c r="A41" s="4" t="s">
        <v>99</v>
      </c>
      <c r="B41">
        <f>澳门换算01!B40+澳门新定位结果!$P40</f>
        <v>1</v>
      </c>
      <c r="C41">
        <f>澳门换算01!C40+澳门新定位结果!$P40</f>
        <v>2</v>
      </c>
      <c r="D41" s="1">
        <f>澳门换算01!D40+澳门新定位结果!$P40</f>
        <v>1</v>
      </c>
      <c r="E41">
        <f>澳门换算01!E40+澳门新定位结果!$P40</f>
        <v>2</v>
      </c>
      <c r="F41">
        <f>澳门换算01!F40+澳门新定位结果!$P40</f>
        <v>2</v>
      </c>
      <c r="G41">
        <f>澳门换算01!G40+澳门新定位结果!$P40</f>
        <v>1</v>
      </c>
      <c r="H41">
        <f>澳门换算01!H40+澳门新定位结果!$P40</f>
        <v>1</v>
      </c>
      <c r="I41">
        <f>澳门换算01!I40+澳门新定位结果!$P40</f>
        <v>1</v>
      </c>
      <c r="J41" s="1">
        <f>澳门换算01!J40+澳门新定位结果!$P40</f>
        <v>2</v>
      </c>
      <c r="K41">
        <f>澳门换算01!K40+澳门新定位结果!$P40</f>
        <v>2</v>
      </c>
      <c r="L41">
        <f>澳门换算01!L40+澳门新定位结果!$P40</f>
        <v>1</v>
      </c>
      <c r="M41" s="1">
        <f>澳门换算01!M40+澳门新定位结果!$P40</f>
        <v>1</v>
      </c>
      <c r="N41">
        <f>澳门换算01!N40+澳门新定位结果!$P40</f>
        <v>2</v>
      </c>
      <c r="O41">
        <f>澳门换算01!O40+澳门新定位结果!$P40</f>
        <v>2</v>
      </c>
    </row>
    <row r="42" spans="1:15">
      <c r="A42" s="4" t="s">
        <v>101</v>
      </c>
      <c r="B42">
        <f>澳门换算01!B41+澳门新定位结果!$P41</f>
        <v>0</v>
      </c>
      <c r="C42">
        <f>澳门换算01!C41+澳门新定位结果!$P41</f>
        <v>0</v>
      </c>
      <c r="D42" s="1">
        <f>澳门换算01!D41+澳门新定位结果!$P41</f>
        <v>0</v>
      </c>
      <c r="E42">
        <f>澳门换算01!E41+澳门新定位结果!$P41</f>
        <v>1</v>
      </c>
      <c r="F42">
        <f>澳门换算01!F41+澳门新定位结果!$P41</f>
        <v>0</v>
      </c>
      <c r="G42">
        <f>澳门换算01!G41+澳门新定位结果!$P41</f>
        <v>1</v>
      </c>
      <c r="H42">
        <f>澳门换算01!H41+澳门新定位结果!$P41</f>
        <v>0</v>
      </c>
      <c r="I42">
        <f>澳门换算01!I41+澳门新定位结果!$P41</f>
        <v>1</v>
      </c>
      <c r="J42" s="1">
        <f>澳门换算01!J41+澳门新定位结果!$P41</f>
        <v>0</v>
      </c>
      <c r="K42">
        <f>澳门换算01!K41+澳门新定位结果!$P41</f>
        <v>0</v>
      </c>
      <c r="L42">
        <f>澳门换算01!L41+澳门新定位结果!$P41</f>
        <v>0</v>
      </c>
      <c r="M42" s="1">
        <f>澳门换算01!M41+澳门新定位结果!$P41</f>
        <v>1</v>
      </c>
      <c r="N42">
        <f>澳门换算01!N41+澳门新定位结果!$P41</f>
        <v>0</v>
      </c>
      <c r="O42">
        <f>澳门换算01!O41+澳门新定位结果!$P41</f>
        <v>0</v>
      </c>
    </row>
    <row r="43" spans="1:15">
      <c r="A43" s="4" t="s">
        <v>103</v>
      </c>
      <c r="B43">
        <f>澳门换算01!B42+澳门新定位结果!$P42</f>
        <v>2</v>
      </c>
      <c r="C43">
        <f>澳门换算01!C42+澳门新定位结果!$P42</f>
        <v>2</v>
      </c>
      <c r="D43" s="1">
        <f>澳门换算01!D42+澳门新定位结果!$P42</f>
        <v>1</v>
      </c>
      <c r="E43">
        <f>澳门换算01!E42+澳门新定位结果!$P42</f>
        <v>1</v>
      </c>
      <c r="F43">
        <f>澳门换算01!F42+澳门新定位结果!$P42</f>
        <v>2</v>
      </c>
      <c r="G43">
        <f>澳门换算01!G42+澳门新定位结果!$P42</f>
        <v>1</v>
      </c>
      <c r="H43">
        <f>澳门换算01!H42+澳门新定位结果!$P42</f>
        <v>2</v>
      </c>
      <c r="I43">
        <f>澳门换算01!I42+澳门新定位结果!$P42</f>
        <v>2</v>
      </c>
      <c r="J43" s="1">
        <f>澳门换算01!J42+澳门新定位结果!$P42</f>
        <v>2</v>
      </c>
      <c r="K43">
        <f>澳门换算01!K42+澳门新定位结果!$P42</f>
        <v>2</v>
      </c>
      <c r="L43">
        <f>澳门换算01!L42+澳门新定位结果!$P42</f>
        <v>2</v>
      </c>
      <c r="M43" s="1">
        <f>澳门换算01!M42+澳门新定位结果!$P42</f>
        <v>1</v>
      </c>
      <c r="N43">
        <f>澳门换算01!N42+澳门新定位结果!$P42</f>
        <v>1</v>
      </c>
      <c r="O43">
        <f>澳门换算01!O42+澳门新定位结果!$P42</f>
        <v>2</v>
      </c>
    </row>
    <row r="44" spans="1:15">
      <c r="A44" s="4" t="s">
        <v>105</v>
      </c>
      <c r="B44">
        <f>澳门换算01!B43+澳门新定位结果!$P43</f>
        <v>1</v>
      </c>
      <c r="C44">
        <f>澳门换算01!C43+澳门新定位结果!$P43</f>
        <v>2</v>
      </c>
      <c r="D44" s="1">
        <f>澳门换算01!D43+澳门新定位结果!$P43</f>
        <v>1</v>
      </c>
      <c r="E44">
        <f>澳门换算01!E43+澳门新定位结果!$P43</f>
        <v>2</v>
      </c>
      <c r="F44">
        <f>澳门换算01!F43+澳门新定位结果!$P43</f>
        <v>2</v>
      </c>
      <c r="G44">
        <f>澳门换算01!G43+澳门新定位结果!$P43</f>
        <v>1</v>
      </c>
      <c r="H44">
        <f>澳门换算01!H43+澳门新定位结果!$P43</f>
        <v>2</v>
      </c>
      <c r="I44">
        <f>澳门换算01!I43+澳门新定位结果!$P43</f>
        <v>2</v>
      </c>
      <c r="J44" s="1">
        <f>澳门换算01!J43+澳门新定位结果!$P43</f>
        <v>1</v>
      </c>
      <c r="K44">
        <f>澳门换算01!K43+澳门新定位结果!$P43</f>
        <v>1</v>
      </c>
      <c r="L44">
        <f>澳门换算01!L43+澳门新定位结果!$P43</f>
        <v>2</v>
      </c>
      <c r="M44" s="1">
        <f>澳门换算01!M43+澳门新定位结果!$P43</f>
        <v>1</v>
      </c>
      <c r="N44">
        <f>澳门换算01!N43+澳门新定位结果!$P43</f>
        <v>2</v>
      </c>
      <c r="O44">
        <f>澳门换算01!O43+澳门新定位结果!$P43</f>
        <v>2</v>
      </c>
    </row>
    <row r="45" spans="1:15">
      <c r="A45" s="4" t="s">
        <v>107</v>
      </c>
      <c r="B45">
        <f>澳门换算01!B44+澳门新定位结果!$P44</f>
        <v>1</v>
      </c>
      <c r="C45">
        <f>澳门换算01!C44+澳门新定位结果!$P44</f>
        <v>1</v>
      </c>
      <c r="D45" s="1">
        <f>澳门换算01!D44+澳门新定位结果!$P44</f>
        <v>2</v>
      </c>
      <c r="E45">
        <f>澳门换算01!E44+澳门新定位结果!$P44</f>
        <v>1</v>
      </c>
      <c r="F45">
        <f>澳门换算01!F44+澳门新定位结果!$P44</f>
        <v>1</v>
      </c>
      <c r="G45">
        <f>澳门换算01!G44+澳门新定位结果!$P44</f>
        <v>1</v>
      </c>
      <c r="H45">
        <f>澳门换算01!H44+澳门新定位结果!$P44</f>
        <v>1</v>
      </c>
      <c r="I45">
        <f>澳门换算01!I44+澳门新定位结果!$P44</f>
        <v>1</v>
      </c>
      <c r="J45" s="1">
        <f>澳门换算01!J44+澳门新定位结果!$P44</f>
        <v>1</v>
      </c>
      <c r="K45">
        <f>澳门换算01!K44+澳门新定位结果!$P44</f>
        <v>1</v>
      </c>
      <c r="L45">
        <f>澳门换算01!L44+澳门新定位结果!$P44</f>
        <v>2</v>
      </c>
      <c r="M45" s="1">
        <f>澳门换算01!M44+澳门新定位结果!$P44</f>
        <v>1</v>
      </c>
      <c r="N45">
        <f>澳门换算01!N44+澳门新定位结果!$P44</f>
        <v>2</v>
      </c>
      <c r="O45">
        <f>澳门换算01!O44+澳门新定位结果!$P44</f>
        <v>2</v>
      </c>
    </row>
    <row r="46" spans="1:15">
      <c r="A46" s="4" t="s">
        <v>109</v>
      </c>
      <c r="B46">
        <f>澳门换算01!B45+澳门新定位结果!$P45</f>
        <v>2</v>
      </c>
      <c r="C46">
        <f>澳门换算01!C45+澳门新定位结果!$P45</f>
        <v>2</v>
      </c>
      <c r="D46" s="1">
        <f>澳门换算01!D45+澳门新定位结果!$P45</f>
        <v>2</v>
      </c>
      <c r="E46">
        <f>澳门换算01!E45+澳门新定位结果!$P45</f>
        <v>1</v>
      </c>
      <c r="F46">
        <f>澳门换算01!F45+澳门新定位结果!$P45</f>
        <v>2</v>
      </c>
      <c r="G46">
        <f>澳门换算01!G45+澳门新定位结果!$P45</f>
        <v>1</v>
      </c>
      <c r="H46">
        <f>澳门换算01!H45+澳门新定位结果!$P45</f>
        <v>1</v>
      </c>
      <c r="I46">
        <f>澳门换算01!I45+澳门新定位结果!$P45</f>
        <v>2</v>
      </c>
      <c r="J46" s="1">
        <f>澳门换算01!J45+澳门新定位结果!$P45</f>
        <v>1</v>
      </c>
      <c r="K46">
        <f>澳门换算01!K45+澳门新定位结果!$P45</f>
        <v>2</v>
      </c>
      <c r="L46">
        <f>澳门换算01!L45+澳门新定位结果!$P45</f>
        <v>1</v>
      </c>
      <c r="M46" s="1">
        <f>澳门换算01!M45+澳门新定位结果!$P45</f>
        <v>1</v>
      </c>
      <c r="N46">
        <f>澳门换算01!N45+澳门新定位结果!$P45</f>
        <v>1</v>
      </c>
      <c r="O46">
        <f>澳门换算01!O45+澳门新定位结果!$P45</f>
        <v>2</v>
      </c>
    </row>
    <row r="47" spans="1:15">
      <c r="A47" s="4" t="s">
        <v>111</v>
      </c>
      <c r="B47">
        <f>澳门换算01!B46+澳门新定位结果!$P46</f>
        <v>1</v>
      </c>
      <c r="C47">
        <f>澳门换算01!C46+澳门新定位结果!$P46</f>
        <v>2</v>
      </c>
      <c r="D47" s="1">
        <f>澳门换算01!D46+澳门新定位结果!$P46</f>
        <v>1</v>
      </c>
      <c r="E47">
        <f>澳门换算01!E46+澳门新定位结果!$P46</f>
        <v>2</v>
      </c>
      <c r="F47">
        <f>澳门换算01!F46+澳门新定位结果!$P46</f>
        <v>1</v>
      </c>
      <c r="G47">
        <f>澳门换算01!G46+澳门新定位结果!$P46</f>
        <v>1</v>
      </c>
      <c r="H47">
        <f>澳门换算01!H46+澳门新定位结果!$P46</f>
        <v>1</v>
      </c>
      <c r="I47">
        <f>澳门换算01!I46+澳门新定位结果!$P46</f>
        <v>2</v>
      </c>
      <c r="J47" s="1">
        <f>澳门换算01!J46+澳门新定位结果!$P46</f>
        <v>2</v>
      </c>
      <c r="K47">
        <f>澳门换算01!K46+澳门新定位结果!$P46</f>
        <v>1</v>
      </c>
      <c r="L47">
        <f>澳门换算01!L46+澳门新定位结果!$P46</f>
        <v>1</v>
      </c>
      <c r="M47" s="1">
        <f>澳门换算01!M46+澳门新定位结果!$P46</f>
        <v>1</v>
      </c>
      <c r="N47">
        <f>澳门换算01!N46+澳门新定位结果!$P46</f>
        <v>1</v>
      </c>
      <c r="O47">
        <f>澳门换算01!O46+澳门新定位结果!$P46</f>
        <v>1</v>
      </c>
    </row>
    <row r="48" spans="1:15">
      <c r="A48" s="4" t="s">
        <v>113</v>
      </c>
      <c r="B48">
        <f>澳门换算01!B47+澳门新定位结果!$P47</f>
        <v>2</v>
      </c>
      <c r="C48">
        <f>澳门换算01!C47+澳门新定位结果!$P47</f>
        <v>2</v>
      </c>
      <c r="D48" s="1">
        <f>澳门换算01!D47+澳门新定位结果!$P47</f>
        <v>1</v>
      </c>
      <c r="E48">
        <f>澳门换算01!E47+澳门新定位结果!$P47</f>
        <v>2</v>
      </c>
      <c r="F48">
        <f>澳门换算01!F47+澳门新定位结果!$P47</f>
        <v>2</v>
      </c>
      <c r="G48">
        <f>澳门换算01!G47+澳门新定位结果!$P47</f>
        <v>2</v>
      </c>
      <c r="H48">
        <f>澳门换算01!H47+澳门新定位结果!$P47</f>
        <v>2</v>
      </c>
      <c r="I48">
        <f>澳门换算01!I47+澳门新定位结果!$P47</f>
        <v>2</v>
      </c>
      <c r="J48" s="1">
        <f>澳门换算01!J47+澳门新定位结果!$P47</f>
        <v>2</v>
      </c>
      <c r="K48">
        <f>澳门换算01!K47+澳门新定位结果!$P47</f>
        <v>2</v>
      </c>
      <c r="L48">
        <f>澳门换算01!L47+澳门新定位结果!$P47</f>
        <v>2</v>
      </c>
      <c r="M48" s="1">
        <f>澳门换算01!M47+澳门新定位结果!$P47</f>
        <v>2</v>
      </c>
      <c r="N48">
        <f>澳门换算01!N47+澳门新定位结果!$P47</f>
        <v>1</v>
      </c>
      <c r="O48">
        <f>澳门换算01!O47+澳门新定位结果!$P47</f>
        <v>2</v>
      </c>
    </row>
    <row r="49" spans="1:15">
      <c r="A49" s="4" t="s">
        <v>115</v>
      </c>
      <c r="B49">
        <f>澳门换算01!B48+澳门新定位结果!$P48</f>
        <v>2</v>
      </c>
      <c r="C49">
        <f>澳门换算01!C48+澳门新定位结果!$P48</f>
        <v>2</v>
      </c>
      <c r="D49" s="1">
        <f>澳门换算01!D48+澳门新定位结果!$P48</f>
        <v>2</v>
      </c>
      <c r="E49">
        <f>澳门换算01!E48+澳门新定位结果!$P48</f>
        <v>1</v>
      </c>
      <c r="F49">
        <f>澳门换算01!F48+澳门新定位结果!$P48</f>
        <v>2</v>
      </c>
      <c r="G49">
        <f>澳门换算01!G48+澳门新定位结果!$P48</f>
        <v>1</v>
      </c>
      <c r="H49">
        <f>澳门换算01!H48+澳门新定位结果!$P48</f>
        <v>2</v>
      </c>
      <c r="I49">
        <f>澳门换算01!I48+澳门新定位结果!$P48</f>
        <v>2</v>
      </c>
      <c r="J49" s="1">
        <f>澳门换算01!J48+澳门新定位结果!$P48</f>
        <v>1</v>
      </c>
      <c r="K49">
        <f>澳门换算01!K48+澳门新定位结果!$P48</f>
        <v>2</v>
      </c>
      <c r="L49">
        <f>澳门换算01!L48+澳门新定位结果!$P48</f>
        <v>1</v>
      </c>
      <c r="M49" s="1">
        <f>澳门换算01!M48+澳门新定位结果!$P48</f>
        <v>2</v>
      </c>
      <c r="N49">
        <f>澳门换算01!N48+澳门新定位结果!$P48</f>
        <v>1</v>
      </c>
      <c r="O49">
        <f>澳门换算01!O48+澳门新定位结果!$P48</f>
        <v>1</v>
      </c>
    </row>
    <row r="50" spans="1:15">
      <c r="A50" s="4" t="s">
        <v>117</v>
      </c>
      <c r="B50">
        <f>澳门换算01!B49+澳门新定位结果!$P49</f>
        <v>0</v>
      </c>
      <c r="C50">
        <f>澳门换算01!C49+澳门新定位结果!$P49</f>
        <v>0</v>
      </c>
      <c r="D50" s="1">
        <f>澳门换算01!D49+澳门新定位结果!$P49</f>
        <v>1</v>
      </c>
      <c r="E50">
        <f>澳门换算01!E49+澳门新定位结果!$P49</f>
        <v>1</v>
      </c>
      <c r="F50">
        <f>澳门换算01!F49+澳门新定位结果!$P49</f>
        <v>0</v>
      </c>
      <c r="G50">
        <f>澳门换算01!G49+澳门新定位结果!$P49</f>
        <v>1</v>
      </c>
      <c r="H50">
        <f>澳门换算01!H49+澳门新定位结果!$P49</f>
        <v>0</v>
      </c>
      <c r="I50">
        <f>澳门换算01!I49+澳门新定位结果!$P49</f>
        <v>0</v>
      </c>
      <c r="J50" s="1">
        <f>澳门换算01!J49+澳门新定位结果!$P49</f>
        <v>0</v>
      </c>
      <c r="K50">
        <f>澳门换算01!K49+澳门新定位结果!$P49</f>
        <v>0</v>
      </c>
      <c r="L50">
        <f>澳门换算01!L49+澳门新定位结果!$P49</f>
        <v>0</v>
      </c>
      <c r="M50" s="1">
        <f>澳门换算01!M49+澳门新定位结果!$P49</f>
        <v>0</v>
      </c>
      <c r="N50">
        <f>澳门换算01!N49+澳门新定位结果!$P49</f>
        <v>0</v>
      </c>
      <c r="O50">
        <f>澳门换算01!O49+澳门新定位结果!$P49</f>
        <v>1</v>
      </c>
    </row>
    <row r="51" spans="1:15">
      <c r="A51" s="4" t="s">
        <v>119</v>
      </c>
      <c r="B51">
        <f>澳门换算01!B50+澳门新定位结果!$P50</f>
        <v>1</v>
      </c>
      <c r="C51">
        <f>澳门换算01!C50+澳门新定位结果!$P50</f>
        <v>1</v>
      </c>
      <c r="D51" s="1">
        <f>澳门换算01!D50+澳门新定位结果!$P50</f>
        <v>1</v>
      </c>
      <c r="E51">
        <f>澳门换算01!E50+澳门新定位结果!$P50</f>
        <v>1</v>
      </c>
      <c r="F51">
        <f>澳门换算01!F50+澳门新定位结果!$P50</f>
        <v>1</v>
      </c>
      <c r="G51">
        <f>澳门换算01!G50+澳门新定位结果!$P50</f>
        <v>0</v>
      </c>
      <c r="H51">
        <f>澳门换算01!H50+澳门新定位结果!$P50</f>
        <v>0</v>
      </c>
      <c r="I51">
        <f>澳门换算01!I50+澳门新定位结果!$P50</f>
        <v>1</v>
      </c>
      <c r="J51" s="1">
        <f>澳门换算01!J50+澳门新定位结果!$P50</f>
        <v>0</v>
      </c>
      <c r="K51">
        <f>澳门换算01!K50+澳门新定位结果!$P50</f>
        <v>1</v>
      </c>
      <c r="L51">
        <f>澳门换算01!L50+澳门新定位结果!$P50</f>
        <v>1</v>
      </c>
      <c r="M51" s="1">
        <f>澳门换算01!M50+澳门新定位结果!$P50</f>
        <v>0</v>
      </c>
      <c r="N51">
        <f>澳门换算01!N50+澳门新定位结果!$P50</f>
        <v>1</v>
      </c>
      <c r="O51">
        <f>澳门换算01!O50+澳门新定位结果!$P50</f>
        <v>1</v>
      </c>
    </row>
    <row r="52" spans="1:15">
      <c r="A52" s="4" t="s">
        <v>121</v>
      </c>
      <c r="B52">
        <f>澳门换算01!B51+澳门新定位结果!$P51</f>
        <v>1</v>
      </c>
      <c r="C52">
        <f>澳门换算01!C51+澳门新定位结果!$P51</f>
        <v>1</v>
      </c>
      <c r="D52" s="1">
        <f>澳门换算01!D51+澳门新定位结果!$P51</f>
        <v>0</v>
      </c>
      <c r="E52">
        <f>澳门换算01!E51+澳门新定位结果!$P51</f>
        <v>1</v>
      </c>
      <c r="F52">
        <f>澳门换算01!F51+澳门新定位结果!$P51</f>
        <v>0</v>
      </c>
      <c r="G52">
        <f>澳门换算01!G51+澳门新定位结果!$P51</f>
        <v>0</v>
      </c>
      <c r="H52">
        <f>澳门换算01!H51+澳门新定位结果!$P51</f>
        <v>1</v>
      </c>
      <c r="I52">
        <f>澳门换算01!I51+澳门新定位结果!$P51</f>
        <v>1</v>
      </c>
      <c r="J52" s="1">
        <f>澳门换算01!J51+澳门新定位结果!$P51</f>
        <v>1</v>
      </c>
      <c r="K52">
        <f>澳门换算01!K51+澳门新定位结果!$P51</f>
        <v>1</v>
      </c>
      <c r="L52">
        <f>澳门换算01!L51+澳门新定位结果!$P51</f>
        <v>1</v>
      </c>
      <c r="M52" s="1">
        <f>澳门换算01!M51+澳门新定位结果!$P51</f>
        <v>0</v>
      </c>
      <c r="N52">
        <f>澳门换算01!N51+澳门新定位结果!$P51</f>
        <v>0</v>
      </c>
      <c r="O52">
        <f>澳门换算01!O51+澳门新定位结果!$P51</f>
        <v>0</v>
      </c>
    </row>
    <row r="53" spans="1:15">
      <c r="A53" s="4" t="s">
        <v>123</v>
      </c>
      <c r="B53">
        <f>澳门换算01!B52+澳门新定位结果!$P52</f>
        <v>2</v>
      </c>
      <c r="C53">
        <f>澳门换算01!C52+澳门新定位结果!$P52</f>
        <v>2</v>
      </c>
      <c r="D53" s="1">
        <f>澳门换算01!D52+澳门新定位结果!$P52</f>
        <v>1</v>
      </c>
      <c r="E53">
        <f>澳门换算01!E52+澳门新定位结果!$P52</f>
        <v>2</v>
      </c>
      <c r="F53">
        <f>澳门换算01!F52+澳门新定位结果!$P52</f>
        <v>2</v>
      </c>
      <c r="G53">
        <f>澳门换算01!G52+澳门新定位结果!$P52</f>
        <v>1</v>
      </c>
      <c r="H53">
        <f>澳门换算01!H52+澳门新定位结果!$P52</f>
        <v>1</v>
      </c>
      <c r="I53">
        <f>澳门换算01!I52+澳门新定位结果!$P52</f>
        <v>2</v>
      </c>
      <c r="J53" s="1">
        <f>澳门换算01!J52+澳门新定位结果!$P52</f>
        <v>1</v>
      </c>
      <c r="K53">
        <f>澳门换算01!K52+澳门新定位结果!$P52</f>
        <v>1</v>
      </c>
      <c r="L53">
        <f>澳门换算01!L52+澳门新定位结果!$P52</f>
        <v>1</v>
      </c>
      <c r="M53" s="1">
        <f>澳门换算01!M52+澳门新定位结果!$P52</f>
        <v>2</v>
      </c>
      <c r="N53">
        <f>澳门换算01!N52+澳门新定位结果!$P52</f>
        <v>1</v>
      </c>
      <c r="O53">
        <f>澳门换算01!O52+澳门新定位结果!$P52</f>
        <v>2</v>
      </c>
    </row>
    <row r="54" spans="1:15">
      <c r="A54" s="4" t="s">
        <v>125</v>
      </c>
      <c r="B54">
        <f>澳门换算01!B53+澳门新定位结果!$P53</f>
        <v>1</v>
      </c>
      <c r="C54">
        <f>澳门换算01!C53+澳门新定位结果!$P53</f>
        <v>0</v>
      </c>
      <c r="D54" s="1">
        <f>澳门换算01!D53+澳门新定位结果!$P53</f>
        <v>1</v>
      </c>
      <c r="E54">
        <f>澳门换算01!E53+澳门新定位结果!$P53</f>
        <v>1</v>
      </c>
      <c r="F54">
        <f>澳门换算01!F53+澳门新定位结果!$P53</f>
        <v>0</v>
      </c>
      <c r="G54">
        <f>澳门换算01!G53+澳门新定位结果!$P53</f>
        <v>0</v>
      </c>
      <c r="H54">
        <f>澳门换算01!H53+澳门新定位结果!$P53</f>
        <v>0</v>
      </c>
      <c r="I54">
        <f>澳门换算01!I53+澳门新定位结果!$P53</f>
        <v>1</v>
      </c>
      <c r="J54" s="1">
        <f>澳门换算01!J53+澳门新定位结果!$P53</f>
        <v>0</v>
      </c>
      <c r="K54">
        <f>澳门换算01!K53+澳门新定位结果!$P53</f>
        <v>0</v>
      </c>
      <c r="L54">
        <f>澳门换算01!L53+澳门新定位结果!$P53</f>
        <v>1</v>
      </c>
      <c r="M54" s="1">
        <f>澳门换算01!M53+澳门新定位结果!$P53</f>
        <v>1</v>
      </c>
      <c r="N54">
        <f>澳门换算01!N53+澳门新定位结果!$P53</f>
        <v>1</v>
      </c>
      <c r="O54">
        <f>澳门换算01!O53+澳门新定位结果!$P53</f>
        <v>1</v>
      </c>
    </row>
    <row r="55" spans="1:15">
      <c r="A55" s="4" t="s">
        <v>127</v>
      </c>
      <c r="B55">
        <f>澳门换算01!B54+澳门新定位结果!$P54</f>
        <v>2</v>
      </c>
      <c r="C55">
        <f>澳门换算01!C54+澳门新定位结果!$P54</f>
        <v>2</v>
      </c>
      <c r="D55" s="1">
        <f>澳门换算01!D54+澳门新定位结果!$P54</f>
        <v>1</v>
      </c>
      <c r="E55">
        <f>澳门换算01!E54+澳门新定位结果!$P54</f>
        <v>2</v>
      </c>
      <c r="F55">
        <f>澳门换算01!F54+澳门新定位结果!$P54</f>
        <v>1</v>
      </c>
      <c r="G55">
        <f>澳门换算01!G54+澳门新定位结果!$P54</f>
        <v>2</v>
      </c>
      <c r="H55">
        <f>澳门换算01!H54+澳门新定位结果!$P54</f>
        <v>2</v>
      </c>
      <c r="I55">
        <f>澳门换算01!I54+澳门新定位结果!$P54</f>
        <v>2</v>
      </c>
      <c r="J55" s="1">
        <f>澳门换算01!J54+澳门新定位结果!$P54</f>
        <v>1</v>
      </c>
      <c r="K55">
        <f>澳门换算01!K54+澳门新定位结果!$P54</f>
        <v>2</v>
      </c>
      <c r="L55">
        <f>澳门换算01!L54+澳门新定位结果!$P54</f>
        <v>2</v>
      </c>
      <c r="M55" s="1">
        <f>澳门换算01!M54+澳门新定位结果!$P54</f>
        <v>1</v>
      </c>
      <c r="N55">
        <f>澳门换算01!N54+澳门新定位结果!$P54</f>
        <v>1</v>
      </c>
      <c r="O55">
        <f>澳门换算01!O54+澳门新定位结果!$P54</f>
        <v>2</v>
      </c>
    </row>
    <row r="56" spans="1:15">
      <c r="A56" s="4" t="s">
        <v>129</v>
      </c>
      <c r="B56">
        <f>澳门换算01!B55+澳门新定位结果!$P55</f>
        <v>0</v>
      </c>
      <c r="C56">
        <f>澳门换算01!C55+澳门新定位结果!$P55</f>
        <v>1</v>
      </c>
      <c r="D56" s="1">
        <f>澳门换算01!D55+澳门新定位结果!$P55</f>
        <v>0</v>
      </c>
      <c r="E56">
        <f>澳门换算01!E55+澳门新定位结果!$P55</f>
        <v>1</v>
      </c>
      <c r="F56">
        <f>澳门换算01!F55+澳门新定位结果!$P55</f>
        <v>1</v>
      </c>
      <c r="G56">
        <f>澳门换算01!G55+澳门新定位结果!$P55</f>
        <v>0</v>
      </c>
      <c r="H56">
        <f>澳门换算01!H55+澳门新定位结果!$P55</f>
        <v>0</v>
      </c>
      <c r="I56">
        <f>澳门换算01!I55+澳门新定位结果!$P55</f>
        <v>1</v>
      </c>
      <c r="J56" s="1">
        <f>澳门换算01!J55+澳门新定位结果!$P55</f>
        <v>1</v>
      </c>
      <c r="K56">
        <f>澳门换算01!K55+澳门新定位结果!$P55</f>
        <v>1</v>
      </c>
      <c r="L56">
        <f>澳门换算01!L55+澳门新定位结果!$P55</f>
        <v>1</v>
      </c>
      <c r="M56" s="1">
        <f>澳门换算01!M55+澳门新定位结果!$P55</f>
        <v>0</v>
      </c>
      <c r="N56">
        <f>澳门换算01!N55+澳门新定位结果!$P55</f>
        <v>0</v>
      </c>
      <c r="O56">
        <f>澳门换算01!O55+澳门新定位结果!$P55</f>
        <v>1</v>
      </c>
    </row>
    <row r="57" spans="1:15">
      <c r="A57" s="4" t="s">
        <v>131</v>
      </c>
      <c r="B57">
        <f>澳门换算01!B56+澳门新定位结果!$P56</f>
        <v>0</v>
      </c>
      <c r="C57">
        <f>澳门换算01!C56+澳门新定位结果!$P56</f>
        <v>0</v>
      </c>
      <c r="D57" s="1">
        <f>澳门换算01!D56+澳门新定位结果!$P56</f>
        <v>1</v>
      </c>
      <c r="E57">
        <f>澳门换算01!E56+澳门新定位结果!$P56</f>
        <v>0</v>
      </c>
      <c r="F57">
        <f>澳门换算01!F56+澳门新定位结果!$P56</f>
        <v>1</v>
      </c>
      <c r="G57">
        <f>澳门换算01!G56+澳门新定位结果!$P56</f>
        <v>1</v>
      </c>
      <c r="H57">
        <f>澳门换算01!H56+澳门新定位结果!$P56</f>
        <v>1</v>
      </c>
      <c r="I57">
        <f>澳门换算01!I56+澳门新定位结果!$P56</f>
        <v>1</v>
      </c>
      <c r="J57" s="1">
        <f>澳门换算01!J56+澳门新定位结果!$P56</f>
        <v>1</v>
      </c>
      <c r="K57">
        <f>澳门换算01!K56+澳门新定位结果!$P56</f>
        <v>1</v>
      </c>
      <c r="L57">
        <f>澳门换算01!L56+澳门新定位结果!$P56</f>
        <v>1</v>
      </c>
      <c r="M57" s="1">
        <f>澳门换算01!M56+澳门新定位结果!$P56</f>
        <v>1</v>
      </c>
      <c r="N57">
        <f>澳门换算01!N56+澳门新定位结果!$P56</f>
        <v>1</v>
      </c>
      <c r="O57">
        <f>澳门换算01!O56+澳门新定位结果!$P56</f>
        <v>1</v>
      </c>
    </row>
    <row r="58" spans="1:15">
      <c r="A58" s="4" t="s">
        <v>133</v>
      </c>
      <c r="B58">
        <f>澳门换算01!B57+澳门新定位结果!$P57</f>
        <v>1</v>
      </c>
      <c r="C58">
        <f>澳门换算01!C57+澳门新定位结果!$P57</f>
        <v>1</v>
      </c>
      <c r="D58" s="1">
        <f>澳门换算01!D57+澳门新定位结果!$P57</f>
        <v>0</v>
      </c>
      <c r="E58">
        <f>澳门换算01!E57+澳门新定位结果!$P57</f>
        <v>0</v>
      </c>
      <c r="F58">
        <f>澳门换算01!F57+澳门新定位结果!$P57</f>
        <v>1</v>
      </c>
      <c r="G58">
        <f>澳门换算01!G57+澳门新定位结果!$P57</f>
        <v>1</v>
      </c>
      <c r="H58">
        <f>澳门换算01!H57+澳门新定位结果!$P57</f>
        <v>0</v>
      </c>
      <c r="I58">
        <f>澳门换算01!I57+澳门新定位结果!$P57</f>
        <v>1</v>
      </c>
      <c r="J58" s="1">
        <f>澳门换算01!J57+澳门新定位结果!$P57</f>
        <v>0</v>
      </c>
      <c r="K58">
        <f>澳门换算01!K57+澳门新定位结果!$P57</f>
        <v>1</v>
      </c>
      <c r="L58">
        <f>澳门换算01!L57+澳门新定位结果!$P57</f>
        <v>1</v>
      </c>
      <c r="M58" s="1">
        <f>澳门换算01!M57+澳门新定位结果!$P57</f>
        <v>1</v>
      </c>
      <c r="N58">
        <f>澳门换算01!N57+澳门新定位结果!$P57</f>
        <v>0</v>
      </c>
      <c r="O58">
        <f>澳门换算01!O57+澳门新定位结果!$P57</f>
        <v>1</v>
      </c>
    </row>
    <row r="59" spans="1:15">
      <c r="A59" s="4" t="s">
        <v>135</v>
      </c>
      <c r="B59">
        <f>澳门换算01!B58+澳门新定位结果!$P58</f>
        <v>0</v>
      </c>
      <c r="C59">
        <f>澳门换算01!C58+澳门新定位结果!$P58</f>
        <v>1</v>
      </c>
      <c r="D59" s="1">
        <f>澳门换算01!D58+澳门新定位结果!$P58</f>
        <v>0</v>
      </c>
      <c r="E59">
        <f>澳门换算01!E58+澳门新定位结果!$P58</f>
        <v>1</v>
      </c>
      <c r="F59">
        <f>澳门换算01!F58+澳门新定位结果!$P58</f>
        <v>1</v>
      </c>
      <c r="G59">
        <f>澳门换算01!G58+澳门新定位结果!$P58</f>
        <v>0</v>
      </c>
      <c r="H59">
        <f>澳门换算01!H58+澳门新定位结果!$P58</f>
        <v>1</v>
      </c>
      <c r="I59">
        <f>澳门换算01!I58+澳门新定位结果!$P58</f>
        <v>1</v>
      </c>
      <c r="J59" s="1">
        <f>澳门换算01!J58+澳门新定位结果!$P58</f>
        <v>0</v>
      </c>
      <c r="K59">
        <f>澳门换算01!K58+澳门新定位结果!$P58</f>
        <v>1</v>
      </c>
      <c r="L59">
        <f>澳门换算01!L58+澳门新定位结果!$P58</f>
        <v>0</v>
      </c>
      <c r="M59" s="1">
        <f>澳门换算01!M58+澳门新定位结果!$P58</f>
        <v>1</v>
      </c>
      <c r="N59">
        <f>澳门换算01!N58+澳门新定位结果!$P58</f>
        <v>1</v>
      </c>
      <c r="O59">
        <f>澳门换算01!O58+澳门新定位结果!$P58</f>
        <v>1</v>
      </c>
    </row>
    <row r="60" spans="1:15">
      <c r="A60" s="4" t="s">
        <v>137</v>
      </c>
      <c r="B60">
        <f>澳门换算01!B59+澳门新定位结果!$P59</f>
        <v>0</v>
      </c>
      <c r="C60">
        <f>澳门换算01!C59+澳门新定位结果!$P59</f>
        <v>1</v>
      </c>
      <c r="D60" s="1">
        <f>澳门换算01!D59+澳门新定位结果!$P59</f>
        <v>1</v>
      </c>
      <c r="E60">
        <f>澳门换算01!E59+澳门新定位结果!$P59</f>
        <v>1</v>
      </c>
      <c r="F60">
        <f>澳门换算01!F59+澳门新定位结果!$P59</f>
        <v>1</v>
      </c>
      <c r="G60">
        <f>澳门换算01!G59+澳门新定位结果!$P59</f>
        <v>0</v>
      </c>
      <c r="H60">
        <f>澳门换算01!H59+澳门新定位结果!$P59</f>
        <v>0</v>
      </c>
      <c r="I60">
        <f>澳门换算01!I59+澳门新定位结果!$P59</f>
        <v>1</v>
      </c>
      <c r="J60" s="1">
        <f>澳门换算01!J59+澳门新定位结果!$P59</f>
        <v>0</v>
      </c>
      <c r="K60">
        <f>澳门换算01!K59+澳门新定位结果!$P59</f>
        <v>1</v>
      </c>
      <c r="L60">
        <f>澳门换算01!L59+澳门新定位结果!$P59</f>
        <v>1</v>
      </c>
      <c r="M60" s="1">
        <f>澳门换算01!M59+澳门新定位结果!$P59</f>
        <v>0</v>
      </c>
      <c r="N60">
        <f>澳门换算01!N59+澳门新定位结果!$P59</f>
        <v>1</v>
      </c>
      <c r="O60">
        <f>澳门换算01!O59+澳门新定位结果!$P59</f>
        <v>0</v>
      </c>
    </row>
    <row r="61" spans="1:15">
      <c r="A61" s="4" t="s">
        <v>139</v>
      </c>
      <c r="B61">
        <f>澳门换算01!B60+澳门新定位结果!$P60</f>
        <v>2</v>
      </c>
      <c r="C61">
        <f>澳门换算01!C60+澳门新定位结果!$P60</f>
        <v>2</v>
      </c>
      <c r="D61" s="1">
        <f>澳门换算01!D60+澳门新定位结果!$P60</f>
        <v>1</v>
      </c>
      <c r="E61">
        <f>澳门换算01!E60+澳门新定位结果!$P60</f>
        <v>1</v>
      </c>
      <c r="F61">
        <f>澳门换算01!F60+澳门新定位结果!$P60</f>
        <v>2</v>
      </c>
      <c r="G61">
        <f>澳门换算01!G60+澳门新定位结果!$P60</f>
        <v>2</v>
      </c>
      <c r="H61">
        <f>澳门换算01!H60+澳门新定位结果!$P60</f>
        <v>1</v>
      </c>
      <c r="I61">
        <f>澳门换算01!I60+澳门新定位结果!$P60</f>
        <v>2</v>
      </c>
      <c r="J61" s="1">
        <f>澳门换算01!J60+澳门新定位结果!$P60</f>
        <v>2</v>
      </c>
      <c r="K61">
        <f>澳门换算01!K60+澳门新定位结果!$P60</f>
        <v>2</v>
      </c>
      <c r="L61">
        <f>澳门换算01!L60+澳门新定位结果!$P60</f>
        <v>2</v>
      </c>
      <c r="M61" s="1">
        <f>澳门换算01!M60+澳门新定位结果!$P60</f>
        <v>2</v>
      </c>
      <c r="N61">
        <f>澳门换算01!N60+澳门新定位结果!$P60</f>
        <v>2</v>
      </c>
      <c r="O61">
        <f>澳门换算01!O60+澳门新定位结果!$P60</f>
        <v>2</v>
      </c>
    </row>
    <row r="62" spans="1:15">
      <c r="A62" s="4" t="s">
        <v>141</v>
      </c>
      <c r="B62">
        <f>澳门换算01!B61+澳门新定位结果!$P61</f>
        <v>1</v>
      </c>
      <c r="C62">
        <f>澳门换算01!C61+澳门新定位结果!$P61</f>
        <v>1</v>
      </c>
      <c r="D62" s="1">
        <f>澳门换算01!D61+澳门新定位结果!$P61</f>
        <v>1</v>
      </c>
      <c r="E62">
        <f>澳门换算01!E61+澳门新定位结果!$P61</f>
        <v>1</v>
      </c>
      <c r="F62">
        <f>澳门换算01!F61+澳门新定位结果!$P61</f>
        <v>0</v>
      </c>
      <c r="G62">
        <f>澳门换算01!G61+澳门新定位结果!$P61</f>
        <v>0</v>
      </c>
      <c r="H62">
        <f>澳门换算01!H61+澳门新定位结果!$P61</f>
        <v>1</v>
      </c>
      <c r="I62">
        <f>澳门换算01!I61+澳门新定位结果!$P61</f>
        <v>1</v>
      </c>
      <c r="J62" s="1">
        <f>澳门换算01!J61+澳门新定位结果!$P61</f>
        <v>1</v>
      </c>
      <c r="K62">
        <f>澳门换算01!K61+澳门新定位结果!$P61</f>
        <v>1</v>
      </c>
      <c r="L62">
        <f>澳门换算01!L61+澳门新定位结果!$P61</f>
        <v>1</v>
      </c>
      <c r="M62" s="1">
        <f>澳门换算01!M61+澳门新定位结果!$P61</f>
        <v>1</v>
      </c>
      <c r="N62">
        <f>澳门换算01!N61+澳门新定位结果!$P61</f>
        <v>1</v>
      </c>
      <c r="O62">
        <f>澳门换算01!O61+澳门新定位结果!$P61</f>
        <v>0</v>
      </c>
    </row>
    <row r="63" spans="1:15">
      <c r="A63" s="4" t="s">
        <v>143</v>
      </c>
      <c r="B63">
        <f>澳门换算01!B62+澳门新定位结果!$P62</f>
        <v>1</v>
      </c>
      <c r="C63">
        <f>澳门换算01!C62+澳门新定位结果!$P62</f>
        <v>1</v>
      </c>
      <c r="D63" s="1">
        <f>澳门换算01!D62+澳门新定位结果!$P62</f>
        <v>0</v>
      </c>
      <c r="E63">
        <f>澳门换算01!E62+澳门新定位结果!$P62</f>
        <v>0</v>
      </c>
      <c r="F63">
        <f>澳门换算01!F62+澳门新定位结果!$P62</f>
        <v>1</v>
      </c>
      <c r="G63">
        <f>澳门换算01!G62+澳门新定位结果!$P62</f>
        <v>1</v>
      </c>
      <c r="H63">
        <f>澳门换算01!H62+澳门新定位结果!$P62</f>
        <v>0</v>
      </c>
      <c r="I63">
        <f>澳门换算01!I62+澳门新定位结果!$P62</f>
        <v>1</v>
      </c>
      <c r="J63" s="1">
        <f>澳门换算01!J62+澳门新定位结果!$P62</f>
        <v>1</v>
      </c>
      <c r="K63">
        <f>澳门换算01!K62+澳门新定位结果!$P62</f>
        <v>1</v>
      </c>
      <c r="L63">
        <f>澳门换算01!L62+澳门新定位结果!$P62</f>
        <v>1</v>
      </c>
      <c r="M63" s="1">
        <f>澳门换算01!M62+澳门新定位结果!$P62</f>
        <v>0</v>
      </c>
      <c r="N63">
        <f>澳门换算01!N62+澳门新定位结果!$P62</f>
        <v>0</v>
      </c>
      <c r="O63">
        <f>澳门换算01!O62+澳门新定位结果!$P62</f>
        <v>1</v>
      </c>
    </row>
    <row r="64" spans="1:15">
      <c r="A64" s="4" t="s">
        <v>145</v>
      </c>
      <c r="B64">
        <f>澳门换算01!B63+澳门新定位结果!$P63</f>
        <v>1</v>
      </c>
      <c r="C64">
        <f>澳门换算01!C63+澳门新定位结果!$P63</f>
        <v>1</v>
      </c>
      <c r="D64" s="1">
        <f>澳门换算01!D63+澳门新定位结果!$P63</f>
        <v>1</v>
      </c>
      <c r="E64">
        <f>澳门换算01!E63+澳门新定位结果!$P63</f>
        <v>1</v>
      </c>
      <c r="F64">
        <f>澳门换算01!F63+澳门新定位结果!$P63</f>
        <v>1</v>
      </c>
      <c r="G64">
        <f>澳门换算01!G63+澳门新定位结果!$P63</f>
        <v>0</v>
      </c>
      <c r="H64">
        <f>澳门换算01!H63+澳门新定位结果!$P63</f>
        <v>1</v>
      </c>
      <c r="I64">
        <f>澳门换算01!I63+澳门新定位结果!$P63</f>
        <v>1</v>
      </c>
      <c r="J64" s="1">
        <f>澳门换算01!J63+澳门新定位结果!$P63</f>
        <v>1</v>
      </c>
      <c r="K64">
        <f>澳门换算01!K63+澳门新定位结果!$P63</f>
        <v>1</v>
      </c>
      <c r="L64">
        <f>澳门换算01!L63+澳门新定位结果!$P63</f>
        <v>1</v>
      </c>
      <c r="M64" s="1">
        <f>澳门换算01!M63+澳门新定位结果!$P63</f>
        <v>0</v>
      </c>
      <c r="N64">
        <f>澳门换算01!N63+澳门新定位结果!$P63</f>
        <v>1</v>
      </c>
      <c r="O64">
        <f>澳门换算01!O63+澳门新定位结果!$P63</f>
        <v>1</v>
      </c>
    </row>
    <row r="65" spans="1:15">
      <c r="A65" s="4" t="s">
        <v>147</v>
      </c>
      <c r="B65">
        <f>澳门换算01!B64+澳门新定位结果!$P64</f>
        <v>1</v>
      </c>
      <c r="C65">
        <f>澳门换算01!C64+澳门新定位结果!$P64</f>
        <v>1</v>
      </c>
      <c r="D65" s="1">
        <f>澳门换算01!D64+澳门新定位结果!$P64</f>
        <v>2</v>
      </c>
      <c r="E65">
        <f>澳门换算01!E64+澳门新定位结果!$P64</f>
        <v>2</v>
      </c>
      <c r="F65">
        <f>澳门换算01!F64+澳门新定位结果!$P64</f>
        <v>2</v>
      </c>
      <c r="G65">
        <f>澳门换算01!G64+澳门新定位结果!$P64</f>
        <v>1</v>
      </c>
      <c r="H65">
        <f>澳门换算01!H64+澳门新定位结果!$P64</f>
        <v>2</v>
      </c>
      <c r="I65">
        <f>澳门换算01!I64+澳门新定位结果!$P64</f>
        <v>2</v>
      </c>
      <c r="J65" s="1">
        <f>澳门换算01!J64+澳门新定位结果!$P64</f>
        <v>1</v>
      </c>
      <c r="K65">
        <f>澳门换算01!K64+澳门新定位结果!$P64</f>
        <v>2</v>
      </c>
      <c r="L65">
        <f>澳门换算01!L64+澳门新定位结果!$P64</f>
        <v>1</v>
      </c>
      <c r="M65" s="1">
        <f>澳门换算01!M64+澳门新定位结果!$P64</f>
        <v>1</v>
      </c>
      <c r="N65">
        <f>澳门换算01!N64+澳门新定位结果!$P64</f>
        <v>2</v>
      </c>
      <c r="O65">
        <f>澳门换算01!O64+澳门新定位结果!$P64</f>
        <v>2</v>
      </c>
    </row>
    <row r="66" spans="1:15">
      <c r="A66" s="4" t="s">
        <v>149</v>
      </c>
      <c r="B66">
        <f>澳门换算01!B65+澳门新定位结果!$P65</f>
        <v>1</v>
      </c>
      <c r="C66">
        <f>澳门换算01!C65+澳门新定位结果!$P65</f>
        <v>1</v>
      </c>
      <c r="D66" s="1">
        <f>澳门换算01!D65+澳门新定位结果!$P65</f>
        <v>0</v>
      </c>
      <c r="E66">
        <f>澳门换算01!E65+澳门新定位结果!$P65</f>
        <v>1</v>
      </c>
      <c r="F66">
        <f>澳门换算01!F65+澳门新定位结果!$P65</f>
        <v>1</v>
      </c>
      <c r="G66">
        <f>澳门换算01!G65+澳门新定位结果!$P65</f>
        <v>1</v>
      </c>
      <c r="H66">
        <f>澳门换算01!H65+澳门新定位结果!$P65</f>
        <v>0</v>
      </c>
      <c r="I66">
        <f>澳门换算01!I65+澳门新定位结果!$P65</f>
        <v>1</v>
      </c>
      <c r="J66" s="1">
        <f>澳门换算01!J65+澳门新定位结果!$P65</f>
        <v>1</v>
      </c>
      <c r="K66">
        <f>澳门换算01!K65+澳门新定位结果!$P65</f>
        <v>1</v>
      </c>
      <c r="L66">
        <f>澳门换算01!L65+澳门新定位结果!$P65</f>
        <v>1</v>
      </c>
      <c r="M66" s="1">
        <f>澳门换算01!M65+澳门新定位结果!$P65</f>
        <v>1</v>
      </c>
      <c r="N66">
        <f>澳门换算01!N65+澳门新定位结果!$P65</f>
        <v>1</v>
      </c>
      <c r="O66">
        <f>澳门换算01!O65+澳门新定位结果!$P65</f>
        <v>0</v>
      </c>
    </row>
    <row r="67" spans="1:15">
      <c r="A67" s="4" t="s">
        <v>151</v>
      </c>
      <c r="B67">
        <f>澳门换算01!B66+澳门新定位结果!$P66</f>
        <v>1</v>
      </c>
      <c r="C67">
        <f>澳门换算01!C66+澳门新定位结果!$P66</f>
        <v>2</v>
      </c>
      <c r="D67" s="1">
        <f>澳门换算01!D66+澳门新定位结果!$P66</f>
        <v>1</v>
      </c>
      <c r="E67">
        <f>澳门换算01!E66+澳门新定位结果!$P66</f>
        <v>2</v>
      </c>
      <c r="F67">
        <f>澳门换算01!F66+澳门新定位结果!$P66</f>
        <v>1</v>
      </c>
      <c r="G67">
        <f>澳门换算01!G66+澳门新定位结果!$P66</f>
        <v>1</v>
      </c>
      <c r="H67">
        <f>澳门换算01!H66+澳门新定位结果!$P66</f>
        <v>1</v>
      </c>
      <c r="I67">
        <f>澳门换算01!I66+澳门新定位结果!$P66</f>
        <v>2</v>
      </c>
      <c r="J67" s="1">
        <f>澳门换算01!J66+澳门新定位结果!$P66</f>
        <v>1</v>
      </c>
      <c r="K67">
        <f>澳门换算01!K66+澳门新定位结果!$P66</f>
        <v>2</v>
      </c>
      <c r="L67">
        <f>澳门换算01!L66+澳门新定位结果!$P66</f>
        <v>2</v>
      </c>
      <c r="M67" s="1">
        <f>澳门换算01!M66+澳门新定位结果!$P66</f>
        <v>1</v>
      </c>
      <c r="N67">
        <f>澳门换算01!N66+澳门新定位结果!$P66</f>
        <v>1</v>
      </c>
      <c r="O67">
        <f>澳门换算01!O66+澳门新定位结果!$P66</f>
        <v>1</v>
      </c>
    </row>
    <row r="68" spans="1:15">
      <c r="A68" s="4" t="s">
        <v>153</v>
      </c>
      <c r="B68">
        <f>澳门换算01!B67+澳门新定位结果!$P67</f>
        <v>0</v>
      </c>
      <c r="C68">
        <f>澳门换算01!C67+澳门新定位结果!$P67</f>
        <v>1</v>
      </c>
      <c r="D68" s="1">
        <f>澳门换算01!D67+澳门新定位结果!$P67</f>
        <v>0</v>
      </c>
      <c r="E68">
        <f>澳门换算01!E67+澳门新定位结果!$P67</f>
        <v>0</v>
      </c>
      <c r="F68">
        <f>澳门换算01!F67+澳门新定位结果!$P67</f>
        <v>0</v>
      </c>
      <c r="G68">
        <f>澳门换算01!G67+澳门新定位结果!$P67</f>
        <v>0</v>
      </c>
      <c r="H68">
        <f>澳门换算01!H67+澳门新定位结果!$P67</f>
        <v>1</v>
      </c>
      <c r="I68">
        <f>澳门换算01!I67+澳门新定位结果!$P67</f>
        <v>1</v>
      </c>
      <c r="J68" s="1">
        <f>澳门换算01!J67+澳门新定位结果!$P67</f>
        <v>0</v>
      </c>
      <c r="K68">
        <f>澳门换算01!K67+澳门新定位结果!$P67</f>
        <v>0</v>
      </c>
      <c r="L68">
        <f>澳门换算01!L67+澳门新定位结果!$P67</f>
        <v>1</v>
      </c>
      <c r="M68" s="1">
        <f>澳门换算01!M67+澳门新定位结果!$P67</f>
        <v>0</v>
      </c>
      <c r="N68">
        <f>澳门换算01!N67+澳门新定位结果!$P67</f>
        <v>1</v>
      </c>
      <c r="O68">
        <f>澳门换算01!O67+澳门新定位结果!$P67</f>
        <v>1</v>
      </c>
    </row>
    <row r="69" spans="1:15">
      <c r="A69" s="4" t="s">
        <v>155</v>
      </c>
      <c r="B69">
        <f>澳门换算01!B68+澳门新定位结果!$P68</f>
        <v>1</v>
      </c>
      <c r="C69">
        <f>澳门换算01!C68+澳门新定位结果!$P68</f>
        <v>0</v>
      </c>
      <c r="D69" s="1">
        <f>澳门换算01!D68+澳门新定位结果!$P68</f>
        <v>1</v>
      </c>
      <c r="E69">
        <f>澳门换算01!E68+澳门新定位结果!$P68</f>
        <v>1</v>
      </c>
      <c r="F69">
        <f>澳门换算01!F68+澳门新定位结果!$P68</f>
        <v>1</v>
      </c>
      <c r="G69">
        <f>澳门换算01!G68+澳门新定位结果!$P68</f>
        <v>0</v>
      </c>
      <c r="H69">
        <f>澳门换算01!H68+澳门新定位结果!$P68</f>
        <v>1</v>
      </c>
      <c r="I69">
        <f>澳门换算01!I68+澳门新定位结果!$P68</f>
        <v>0</v>
      </c>
      <c r="J69" s="1">
        <f>澳门换算01!J68+澳门新定位结果!$P68</f>
        <v>1</v>
      </c>
      <c r="K69">
        <f>澳门换算01!K68+澳门新定位结果!$P68</f>
        <v>1</v>
      </c>
      <c r="L69">
        <f>澳门换算01!L68+澳门新定位结果!$P68</f>
        <v>0</v>
      </c>
      <c r="M69" s="1">
        <f>澳门换算01!M68+澳门新定位结果!$P68</f>
        <v>0</v>
      </c>
      <c r="N69">
        <f>澳门换算01!N68+澳门新定位结果!$P68</f>
        <v>1</v>
      </c>
      <c r="O69">
        <f>澳门换算01!O68+澳门新定位结果!$P68</f>
        <v>1</v>
      </c>
    </row>
    <row r="70" spans="1:15">
      <c r="A70" s="4" t="s">
        <v>157</v>
      </c>
      <c r="B70">
        <f>澳门换算01!B69+澳门新定位结果!$P69</f>
        <v>1</v>
      </c>
      <c r="C70">
        <f>澳门换算01!C69+澳门新定位结果!$P69</f>
        <v>2</v>
      </c>
      <c r="D70" s="1">
        <f>澳门换算01!D69+澳门新定位结果!$P69</f>
        <v>2</v>
      </c>
      <c r="E70">
        <f>澳门换算01!E69+澳门新定位结果!$P69</f>
        <v>1</v>
      </c>
      <c r="F70">
        <f>澳门换算01!F69+澳门新定位结果!$P69</f>
        <v>1</v>
      </c>
      <c r="G70">
        <f>澳门换算01!G69+澳门新定位结果!$P69</f>
        <v>1</v>
      </c>
      <c r="H70">
        <f>澳门换算01!H69+澳门新定位结果!$P69</f>
        <v>2</v>
      </c>
      <c r="I70">
        <f>澳门换算01!I69+澳门新定位结果!$P69</f>
        <v>2</v>
      </c>
      <c r="J70" s="1">
        <f>澳门换算01!J69+澳门新定位结果!$P69</f>
        <v>1</v>
      </c>
      <c r="K70">
        <f>澳门换算01!K69+澳门新定位结果!$P69</f>
        <v>1</v>
      </c>
      <c r="L70">
        <f>澳门换算01!L69+澳门新定位结果!$P69</f>
        <v>2</v>
      </c>
      <c r="M70" s="1">
        <f>澳门换算01!M69+澳门新定位结果!$P69</f>
        <v>1</v>
      </c>
      <c r="N70">
        <f>澳门换算01!N69+澳门新定位结果!$P69</f>
        <v>1</v>
      </c>
      <c r="O70">
        <f>澳门换算01!O69+澳门新定位结果!$P69</f>
        <v>2</v>
      </c>
    </row>
    <row r="71" spans="1:15">
      <c r="A71" s="4" t="s">
        <v>159</v>
      </c>
      <c r="B71">
        <f>澳门换算01!B70+澳门新定位结果!$P70</f>
        <v>1</v>
      </c>
      <c r="C71">
        <f>澳门换算01!C70+澳门新定位结果!$P70</f>
        <v>0</v>
      </c>
      <c r="D71" s="1">
        <f>澳门换算01!D70+澳门新定位结果!$P70</f>
        <v>0</v>
      </c>
      <c r="E71">
        <f>澳门换算01!E70+澳门新定位结果!$P70</f>
        <v>1</v>
      </c>
      <c r="F71">
        <f>澳门换算01!F70+澳门新定位结果!$P70</f>
        <v>1</v>
      </c>
      <c r="G71">
        <f>澳门换算01!G70+澳门新定位结果!$P70</f>
        <v>1</v>
      </c>
      <c r="H71">
        <f>澳门换算01!H70+澳门新定位结果!$P70</f>
        <v>1</v>
      </c>
      <c r="I71">
        <f>澳门换算01!I70+澳门新定位结果!$P70</f>
        <v>1</v>
      </c>
      <c r="J71" s="1">
        <f>澳门换算01!J70+澳门新定位结果!$P70</f>
        <v>1</v>
      </c>
      <c r="K71">
        <f>澳门换算01!K70+澳门新定位结果!$P70</f>
        <v>0</v>
      </c>
      <c r="L71">
        <f>澳门换算01!L70+澳门新定位结果!$P70</f>
        <v>0</v>
      </c>
      <c r="M71" s="1">
        <f>澳门换算01!M70+澳门新定位结果!$P70</f>
        <v>1</v>
      </c>
      <c r="N71">
        <f>澳门换算01!N70+澳门新定位结果!$P70</f>
        <v>0</v>
      </c>
      <c r="O71">
        <f>澳门换算01!O70+澳门新定位结果!$P70</f>
        <v>1</v>
      </c>
    </row>
    <row r="72" spans="1:15">
      <c r="A72" s="4" t="s">
        <v>161</v>
      </c>
      <c r="B72">
        <f>澳门换算01!B71+澳门新定位结果!$P71</f>
        <v>0</v>
      </c>
      <c r="C72">
        <f>澳门换算01!C71+澳门新定位结果!$P71</f>
        <v>0</v>
      </c>
      <c r="D72" s="1">
        <f>澳门换算01!D71+澳门新定位结果!$P71</f>
        <v>1</v>
      </c>
      <c r="E72">
        <f>澳门换算01!E71+澳门新定位结果!$P71</f>
        <v>1</v>
      </c>
      <c r="F72">
        <f>澳门换算01!F71+澳门新定位结果!$P71</f>
        <v>0</v>
      </c>
      <c r="G72">
        <f>澳门换算01!G71+澳门新定位结果!$P71</f>
        <v>0</v>
      </c>
      <c r="H72">
        <f>澳门换算01!H71+澳门新定位结果!$P71</f>
        <v>0</v>
      </c>
      <c r="I72">
        <f>澳门换算01!I71+澳门新定位结果!$P71</f>
        <v>1</v>
      </c>
      <c r="J72" s="1">
        <f>澳门换算01!J71+澳门新定位结果!$P71</f>
        <v>0</v>
      </c>
      <c r="K72">
        <f>澳门换算01!K71+澳门新定位结果!$P71</f>
        <v>1</v>
      </c>
      <c r="L72">
        <f>澳门换算01!L71+澳门新定位结果!$P71</f>
        <v>0</v>
      </c>
      <c r="M72" s="1">
        <f>澳门换算01!M71+澳门新定位结果!$P71</f>
        <v>0</v>
      </c>
      <c r="N72">
        <f>澳门换算01!N71+澳门新定位结果!$P71</f>
        <v>0</v>
      </c>
      <c r="O72">
        <f>澳门换算01!O71+澳门新定位结果!$P71</f>
        <v>0</v>
      </c>
    </row>
    <row r="73" spans="1:15">
      <c r="A73" s="4" t="s">
        <v>163</v>
      </c>
      <c r="B73">
        <f>澳门换算01!B72+澳门新定位结果!$P72</f>
        <v>1</v>
      </c>
      <c r="C73">
        <f>澳门换算01!C72+澳门新定位结果!$P72</f>
        <v>1</v>
      </c>
      <c r="D73" s="1">
        <f>澳门换算01!D72+澳门新定位结果!$P72</f>
        <v>0</v>
      </c>
      <c r="E73">
        <f>澳门换算01!E72+澳门新定位结果!$P72</f>
        <v>0</v>
      </c>
      <c r="F73">
        <f>澳门换算01!F72+澳门新定位结果!$P72</f>
        <v>1</v>
      </c>
      <c r="G73">
        <f>澳门换算01!G72+澳门新定位结果!$P72</f>
        <v>1</v>
      </c>
      <c r="H73">
        <f>澳门换算01!H72+澳门新定位结果!$P72</f>
        <v>1</v>
      </c>
      <c r="I73">
        <f>澳门换算01!I72+澳门新定位结果!$P72</f>
        <v>1</v>
      </c>
      <c r="J73" s="1">
        <f>澳门换算01!J72+澳门新定位结果!$P72</f>
        <v>1</v>
      </c>
      <c r="K73">
        <f>澳门换算01!K72+澳门新定位结果!$P72</f>
        <v>0</v>
      </c>
      <c r="L73">
        <f>澳门换算01!L72+澳门新定位结果!$P72</f>
        <v>1</v>
      </c>
      <c r="M73" s="1">
        <f>澳门换算01!M72+澳门新定位结果!$P72</f>
        <v>0</v>
      </c>
      <c r="N73">
        <f>澳门换算01!N72+澳门新定位结果!$P72</f>
        <v>0</v>
      </c>
      <c r="O73">
        <f>澳门换算01!O72+澳门新定位结果!$P72</f>
        <v>1</v>
      </c>
    </row>
    <row r="74" spans="1:15">
      <c r="A74" s="4" t="s">
        <v>165</v>
      </c>
      <c r="B74">
        <f>澳门换算01!B73+澳门新定位结果!$P73</f>
        <v>1</v>
      </c>
      <c r="C74">
        <f>澳门换算01!C73+澳门新定位结果!$P73</f>
        <v>1</v>
      </c>
      <c r="D74" s="1">
        <f>澳门换算01!D73+澳门新定位结果!$P73</f>
        <v>0</v>
      </c>
      <c r="E74">
        <f>澳门换算01!E73+澳门新定位结果!$P73</f>
        <v>0</v>
      </c>
      <c r="F74">
        <f>澳门换算01!F73+澳门新定位结果!$P73</f>
        <v>1</v>
      </c>
      <c r="G74">
        <f>澳门换算01!G73+澳门新定位结果!$P73</f>
        <v>0</v>
      </c>
      <c r="H74">
        <f>澳门换算01!H73+澳门新定位结果!$P73</f>
        <v>1</v>
      </c>
      <c r="I74">
        <f>澳门换算01!I73+澳门新定位结果!$P73</f>
        <v>0</v>
      </c>
      <c r="J74" s="1">
        <f>澳门换算01!J73+澳门新定位结果!$P73</f>
        <v>1</v>
      </c>
      <c r="K74">
        <f>澳门换算01!K73+澳门新定位结果!$P73</f>
        <v>0</v>
      </c>
      <c r="L74">
        <f>澳门换算01!L73+澳门新定位结果!$P73</f>
        <v>1</v>
      </c>
      <c r="M74" s="1">
        <f>澳门换算01!M73+澳门新定位结果!$P73</f>
        <v>1</v>
      </c>
      <c r="N74">
        <f>澳门换算01!N73+澳门新定位结果!$P73</f>
        <v>1</v>
      </c>
      <c r="O74">
        <f>澳门换算01!O73+澳门新定位结果!$P73</f>
        <v>0</v>
      </c>
    </row>
    <row r="75" spans="1:15">
      <c r="A75" s="4" t="s">
        <v>167</v>
      </c>
      <c r="B75">
        <f>澳门换算01!B74+澳门新定位结果!$P74</f>
        <v>0</v>
      </c>
      <c r="C75">
        <f>澳门换算01!C74+澳门新定位结果!$P74</f>
        <v>1</v>
      </c>
      <c r="D75" s="1">
        <f>澳门换算01!D74+澳门新定位结果!$P74</f>
        <v>0</v>
      </c>
      <c r="E75">
        <f>澳门换算01!E74+澳门新定位结果!$P74</f>
        <v>1</v>
      </c>
      <c r="F75">
        <f>澳门换算01!F74+澳门新定位结果!$P74</f>
        <v>0</v>
      </c>
      <c r="G75">
        <f>澳门换算01!G74+澳门新定位结果!$P74</f>
        <v>1</v>
      </c>
      <c r="H75">
        <f>澳门换算01!H74+澳门新定位结果!$P74</f>
        <v>0</v>
      </c>
      <c r="I75">
        <f>澳门换算01!I74+澳门新定位结果!$P74</f>
        <v>1</v>
      </c>
      <c r="J75" s="1">
        <f>澳门换算01!J74+澳门新定位结果!$P74</f>
        <v>0</v>
      </c>
      <c r="K75">
        <f>澳门换算01!K74+澳门新定位结果!$P74</f>
        <v>0</v>
      </c>
      <c r="L75">
        <f>澳门换算01!L74+澳门新定位结果!$P74</f>
        <v>0</v>
      </c>
      <c r="M75" s="1">
        <f>澳门换算01!M74+澳门新定位结果!$P74</f>
        <v>0</v>
      </c>
      <c r="N75">
        <f>澳门换算01!N74+澳门新定位结果!$P74</f>
        <v>0</v>
      </c>
      <c r="O75">
        <f>澳门换算01!O74+澳门新定位结果!$P74</f>
        <v>1</v>
      </c>
    </row>
    <row r="76" spans="1:15">
      <c r="A76" s="4" t="s">
        <v>169</v>
      </c>
      <c r="B76">
        <f>澳门换算01!B75+澳门新定位结果!$P75</f>
        <v>1</v>
      </c>
      <c r="C76">
        <f>澳门换算01!C75+澳门新定位结果!$P75</f>
        <v>1</v>
      </c>
      <c r="D76" s="1">
        <f>澳门换算01!D75+澳门新定位结果!$P75</f>
        <v>0</v>
      </c>
      <c r="E76">
        <f>澳门换算01!E75+澳门新定位结果!$P75</f>
        <v>0</v>
      </c>
      <c r="F76">
        <f>澳门换算01!F75+澳门新定位结果!$P75</f>
        <v>1</v>
      </c>
      <c r="G76">
        <f>澳门换算01!G75+澳门新定位结果!$P75</f>
        <v>1</v>
      </c>
      <c r="H76">
        <f>澳门换算01!H75+澳门新定位结果!$P75</f>
        <v>0</v>
      </c>
      <c r="I76">
        <f>澳门换算01!I75+澳门新定位结果!$P75</f>
        <v>1</v>
      </c>
      <c r="J76" s="1">
        <f>澳门换算01!J75+澳门新定位结果!$P75</f>
        <v>0</v>
      </c>
      <c r="K76">
        <f>澳门换算01!K75+澳门新定位结果!$P75</f>
        <v>1</v>
      </c>
      <c r="L76">
        <f>澳门换算01!L75+澳门新定位结果!$P75</f>
        <v>1</v>
      </c>
      <c r="M76" s="1">
        <f>澳门换算01!M75+澳门新定位结果!$P75</f>
        <v>1</v>
      </c>
      <c r="N76">
        <f>澳门换算01!N75+澳门新定位结果!$P75</f>
        <v>1</v>
      </c>
      <c r="O76">
        <f>澳门换算01!O75+澳门新定位结果!$P75</f>
        <v>1</v>
      </c>
    </row>
    <row r="77" spans="1:15">
      <c r="A77" s="4" t="s">
        <v>171</v>
      </c>
      <c r="B77">
        <f>澳门换算01!B76+澳门新定位结果!$P76</f>
        <v>0</v>
      </c>
      <c r="C77">
        <f>澳门换算01!C76+澳门新定位结果!$P76</f>
        <v>1</v>
      </c>
      <c r="D77" s="1">
        <f>澳门换算01!D76+澳门新定位结果!$P76</f>
        <v>0</v>
      </c>
      <c r="E77">
        <f>澳门换算01!E76+澳门新定位结果!$P76</f>
        <v>1</v>
      </c>
      <c r="F77">
        <f>澳门换算01!F76+澳门新定位结果!$P76</f>
        <v>0</v>
      </c>
      <c r="G77">
        <f>澳门换算01!G76+澳门新定位结果!$P76</f>
        <v>0</v>
      </c>
      <c r="H77">
        <f>澳门换算01!H76+澳门新定位结果!$P76</f>
        <v>0</v>
      </c>
      <c r="I77">
        <f>澳门换算01!I76+澳门新定位结果!$P76</f>
        <v>1</v>
      </c>
      <c r="J77" s="1">
        <f>澳门换算01!J76+澳门新定位结果!$P76</f>
        <v>0</v>
      </c>
      <c r="K77">
        <f>澳门换算01!K76+澳门新定位结果!$P76</f>
        <v>1</v>
      </c>
      <c r="L77">
        <f>澳门换算01!L76+澳门新定位结果!$P76</f>
        <v>0</v>
      </c>
      <c r="M77" s="1">
        <f>澳门换算01!M76+澳门新定位结果!$P76</f>
        <v>0</v>
      </c>
      <c r="N77">
        <f>澳门换算01!N76+澳门新定位结果!$P76</f>
        <v>0</v>
      </c>
      <c r="O77">
        <f>澳门换算01!O76+澳门新定位结果!$P76</f>
        <v>0</v>
      </c>
    </row>
    <row r="78" spans="1:15">
      <c r="A78" s="4" t="s">
        <v>173</v>
      </c>
      <c r="B78">
        <f>澳门换算01!B77+澳门新定位结果!$P77</f>
        <v>0</v>
      </c>
      <c r="C78">
        <f>澳门换算01!C77+澳门新定位结果!$P77</f>
        <v>0</v>
      </c>
      <c r="D78" s="1">
        <f>澳门换算01!D77+澳门新定位结果!$P77</f>
        <v>0</v>
      </c>
      <c r="E78">
        <f>澳门换算01!E77+澳门新定位结果!$P77</f>
        <v>1</v>
      </c>
      <c r="F78">
        <f>澳门换算01!F77+澳门新定位结果!$P77</f>
        <v>1</v>
      </c>
      <c r="G78">
        <f>澳门换算01!G77+澳门新定位结果!$P77</f>
        <v>0</v>
      </c>
      <c r="H78">
        <f>澳门换算01!H77+澳门新定位结果!$P77</f>
        <v>0</v>
      </c>
      <c r="I78">
        <f>澳门换算01!I77+澳门新定位结果!$P77</f>
        <v>0</v>
      </c>
      <c r="J78" s="1">
        <f>澳门换算01!J77+澳门新定位结果!$P77</f>
        <v>1</v>
      </c>
      <c r="K78">
        <f>澳门换算01!K77+澳门新定位结果!$P77</f>
        <v>1</v>
      </c>
      <c r="L78">
        <f>澳门换算01!L77+澳门新定位结果!$P77</f>
        <v>0</v>
      </c>
      <c r="M78" s="1">
        <f>澳门换算01!M77+澳门新定位结果!$P77</f>
        <v>0</v>
      </c>
      <c r="N78">
        <f>澳门换算01!N77+澳门新定位结果!$P77</f>
        <v>0</v>
      </c>
      <c r="O78">
        <f>澳门换算01!O77+澳门新定位结果!$P77</f>
        <v>1</v>
      </c>
    </row>
    <row r="79" spans="1:15">
      <c r="A79" s="4" t="s">
        <v>175</v>
      </c>
      <c r="B79">
        <f>澳门换算01!B78+澳门新定位结果!$P78</f>
        <v>1</v>
      </c>
      <c r="C79">
        <f>澳门换算01!C78+澳门新定位结果!$P78</f>
        <v>1</v>
      </c>
      <c r="D79" s="1">
        <f>澳门换算01!D78+澳门新定位结果!$P78</f>
        <v>1</v>
      </c>
      <c r="E79">
        <f>澳门换算01!E78+澳门新定位结果!$P78</f>
        <v>0</v>
      </c>
      <c r="F79">
        <f>澳门换算01!F78+澳门新定位结果!$P78</f>
        <v>0</v>
      </c>
      <c r="G79">
        <f>澳门换算01!G78+澳门新定位结果!$P78</f>
        <v>0</v>
      </c>
      <c r="H79">
        <f>澳门换算01!H78+澳门新定位结果!$P78</f>
        <v>0</v>
      </c>
      <c r="I79">
        <f>澳门换算01!I78+澳门新定位结果!$P78</f>
        <v>1</v>
      </c>
      <c r="J79" s="1">
        <f>澳门换算01!J78+澳门新定位结果!$P78</f>
        <v>1</v>
      </c>
      <c r="K79">
        <f>澳门换算01!K78+澳门新定位结果!$P78</f>
        <v>1</v>
      </c>
      <c r="L79">
        <f>澳门换算01!L78+澳门新定位结果!$P78</f>
        <v>0</v>
      </c>
      <c r="M79" s="1">
        <f>澳门换算01!M78+澳门新定位结果!$P78</f>
        <v>1</v>
      </c>
      <c r="N79">
        <f>澳门换算01!N78+澳门新定位结果!$P78</f>
        <v>0</v>
      </c>
      <c r="O79">
        <f>澳门换算01!O78+澳门新定位结果!$P78</f>
        <v>1</v>
      </c>
    </row>
    <row r="80" spans="1:15">
      <c r="A80" s="4" t="s">
        <v>177</v>
      </c>
      <c r="B80">
        <f>澳门换算01!B79+澳门新定位结果!$P79</f>
        <v>0</v>
      </c>
      <c r="C80">
        <f>澳门换算01!C79+澳门新定位结果!$P79</f>
        <v>1</v>
      </c>
      <c r="D80" s="1">
        <f>澳门换算01!D79+澳门新定位结果!$P79</f>
        <v>0</v>
      </c>
      <c r="E80">
        <f>澳门换算01!E79+澳门新定位结果!$P79</f>
        <v>1</v>
      </c>
      <c r="F80">
        <f>澳门换算01!F79+澳门新定位结果!$P79</f>
        <v>0</v>
      </c>
      <c r="G80">
        <f>澳门换算01!G79+澳门新定位结果!$P79</f>
        <v>0</v>
      </c>
      <c r="H80">
        <f>澳门换算01!H79+澳门新定位结果!$P79</f>
        <v>0</v>
      </c>
      <c r="I80">
        <f>澳门换算01!I79+澳门新定位结果!$P79</f>
        <v>0</v>
      </c>
      <c r="J80" s="1">
        <f>澳门换算01!J79+澳门新定位结果!$P79</f>
        <v>0</v>
      </c>
      <c r="K80">
        <f>澳门换算01!K79+澳门新定位结果!$P79</f>
        <v>1</v>
      </c>
      <c r="L80">
        <f>澳门换算01!L79+澳门新定位结果!$P79</f>
        <v>1</v>
      </c>
      <c r="M80" s="1">
        <f>澳门换算01!M79+澳门新定位结果!$P79</f>
        <v>0</v>
      </c>
      <c r="N80">
        <f>澳门换算01!N79+澳门新定位结果!$P79</f>
        <v>1</v>
      </c>
      <c r="O80">
        <f>澳门换算01!O79+澳门新定位结果!$P79</f>
        <v>1</v>
      </c>
    </row>
    <row r="81" spans="1:15">
      <c r="A81" s="4" t="s">
        <v>179</v>
      </c>
      <c r="B81">
        <f>澳门换算01!B80+澳门新定位结果!$P80</f>
        <v>1</v>
      </c>
      <c r="C81">
        <f>澳门换算01!C80+澳门新定位结果!$P80</f>
        <v>1</v>
      </c>
      <c r="D81" s="1">
        <f>澳门换算01!D80+澳门新定位结果!$P80</f>
        <v>1</v>
      </c>
      <c r="E81">
        <f>澳门换算01!E80+澳门新定位结果!$P80</f>
        <v>1</v>
      </c>
      <c r="F81">
        <f>澳门换算01!F80+澳门新定位结果!$P80</f>
        <v>0</v>
      </c>
      <c r="G81">
        <f>澳门换算01!G80+澳门新定位结果!$P80</f>
        <v>1</v>
      </c>
      <c r="H81">
        <f>澳门换算01!H80+澳门新定位结果!$P80</f>
        <v>0</v>
      </c>
      <c r="I81">
        <f>澳门换算01!I80+澳门新定位结果!$P80</f>
        <v>1</v>
      </c>
      <c r="J81" s="1">
        <f>澳门换算01!J80+澳门新定位结果!$P80</f>
        <v>1</v>
      </c>
      <c r="K81">
        <f>澳门换算01!K80+澳门新定位结果!$P80</f>
        <v>1</v>
      </c>
      <c r="L81">
        <f>澳门换算01!L80+澳门新定位结果!$P80</f>
        <v>0</v>
      </c>
      <c r="M81" s="1">
        <f>澳门换算01!M80+澳门新定位结果!$P80</f>
        <v>1</v>
      </c>
      <c r="N81">
        <f>澳门换算01!N80+澳门新定位结果!$P80</f>
        <v>1</v>
      </c>
      <c r="O81">
        <f>澳门换算01!O80+澳门新定位结果!$P80</f>
        <v>0</v>
      </c>
    </row>
    <row r="82" spans="1:15">
      <c r="A82" s="4" t="s">
        <v>181</v>
      </c>
      <c r="B82">
        <f>澳门换算01!B81+澳门新定位结果!$P81</f>
        <v>1</v>
      </c>
      <c r="C82">
        <f>澳门换算01!C81+澳门新定位结果!$P81</f>
        <v>2</v>
      </c>
      <c r="D82" s="1">
        <f>澳门换算01!D81+澳门新定位结果!$P81</f>
        <v>2</v>
      </c>
      <c r="E82">
        <f>澳门换算01!E81+澳门新定位结果!$P81</f>
        <v>2</v>
      </c>
      <c r="F82">
        <f>澳门换算01!F81+澳门新定位结果!$P81</f>
        <v>1</v>
      </c>
      <c r="G82">
        <f>澳门换算01!G81+澳门新定位结果!$P81</f>
        <v>1</v>
      </c>
      <c r="H82">
        <f>澳门换算01!H81+澳门新定位结果!$P81</f>
        <v>2</v>
      </c>
      <c r="I82">
        <f>澳门换算01!I81+澳门新定位结果!$P81</f>
        <v>2</v>
      </c>
      <c r="J82" s="1">
        <f>澳门换算01!J81+澳门新定位结果!$P81</f>
        <v>2</v>
      </c>
      <c r="K82">
        <f>澳门换算01!K81+澳门新定位结果!$P81</f>
        <v>2</v>
      </c>
      <c r="L82">
        <f>澳门换算01!L81+澳门新定位结果!$P81</f>
        <v>2</v>
      </c>
      <c r="M82" s="1">
        <f>澳门换算01!M81+澳门新定位结果!$P81</f>
        <v>2</v>
      </c>
      <c r="N82">
        <f>澳门换算01!N81+澳门新定位结果!$P81</f>
        <v>2</v>
      </c>
      <c r="O82">
        <f>澳门换算01!O81+澳门新定位结果!$P81</f>
        <v>2</v>
      </c>
    </row>
    <row r="83" spans="1:15">
      <c r="A83" s="4" t="s">
        <v>183</v>
      </c>
      <c r="B83">
        <f>澳门换算01!B82+澳门新定位结果!$P82</f>
        <v>1</v>
      </c>
      <c r="C83">
        <f>澳门换算01!C82+澳门新定位结果!$P82</f>
        <v>1</v>
      </c>
      <c r="D83" s="1">
        <f>澳门换算01!D82+澳门新定位结果!$P82</f>
        <v>0</v>
      </c>
      <c r="E83">
        <f>澳门换算01!E82+澳门新定位结果!$P82</f>
        <v>0</v>
      </c>
      <c r="F83">
        <f>澳门换算01!F82+澳门新定位结果!$P82</f>
        <v>1</v>
      </c>
      <c r="G83">
        <f>澳门换算01!G82+澳门新定位结果!$P82</f>
        <v>1</v>
      </c>
      <c r="H83">
        <f>澳门换算01!H82+澳门新定位结果!$P82</f>
        <v>0</v>
      </c>
      <c r="I83">
        <f>澳门换算01!I82+澳门新定位结果!$P82</f>
        <v>1</v>
      </c>
      <c r="J83" s="1">
        <f>澳门换算01!J82+澳门新定位结果!$P82</f>
        <v>1</v>
      </c>
      <c r="K83">
        <f>澳门换算01!K82+澳门新定位结果!$P82</f>
        <v>0</v>
      </c>
      <c r="L83">
        <f>澳门换算01!L82+澳门新定位结果!$P82</f>
        <v>1</v>
      </c>
      <c r="M83" s="1">
        <f>澳门换算01!M82+澳门新定位结果!$P82</f>
        <v>0</v>
      </c>
      <c r="N83">
        <f>澳门换算01!N82+澳门新定位结果!$P82</f>
        <v>0</v>
      </c>
      <c r="O83">
        <f>澳门换算01!O82+澳门新定位结果!$P82</f>
        <v>1</v>
      </c>
    </row>
    <row r="84" spans="1:15">
      <c r="A84" s="4" t="s">
        <v>185</v>
      </c>
      <c r="B84">
        <f>澳门换算01!B83+澳门新定位结果!$P83</f>
        <v>1</v>
      </c>
      <c r="C84">
        <f>澳门换算01!C83+澳门新定位结果!$P83</f>
        <v>1</v>
      </c>
      <c r="D84" s="1">
        <f>澳门换算01!D83+澳门新定位结果!$P83</f>
        <v>2</v>
      </c>
      <c r="E84">
        <f>澳门换算01!E83+澳门新定位结果!$P83</f>
        <v>2</v>
      </c>
      <c r="F84">
        <f>澳门换算01!F83+澳门新定位结果!$P83</f>
        <v>2</v>
      </c>
      <c r="G84">
        <f>澳门换算01!G83+澳门新定位结果!$P83</f>
        <v>1</v>
      </c>
      <c r="H84">
        <f>澳门换算01!H83+澳门新定位结果!$P83</f>
        <v>1</v>
      </c>
      <c r="I84">
        <f>澳门换算01!I83+澳门新定位结果!$P83</f>
        <v>2</v>
      </c>
      <c r="J84" s="1">
        <f>澳门换算01!J83+澳门新定位结果!$P83</f>
        <v>2</v>
      </c>
      <c r="K84">
        <f>澳门换算01!K83+澳门新定位结果!$P83</f>
        <v>2</v>
      </c>
      <c r="L84">
        <f>澳门换算01!L83+澳门新定位结果!$P83</f>
        <v>2</v>
      </c>
      <c r="M84" s="1">
        <f>澳门换算01!M83+澳门新定位结果!$P83</f>
        <v>1</v>
      </c>
      <c r="N84">
        <f>澳门换算01!N83+澳门新定位结果!$P83</f>
        <v>2</v>
      </c>
      <c r="O84">
        <f>澳门换算01!O83+澳门新定位结果!$P83</f>
        <v>2</v>
      </c>
    </row>
    <row r="85" spans="1:15">
      <c r="A85" s="4" t="s">
        <v>187</v>
      </c>
      <c r="B85">
        <f>澳门换算01!B84+澳门新定位结果!$P84</f>
        <v>1</v>
      </c>
      <c r="C85">
        <f>澳门换算01!C84+澳门新定位结果!$P84</f>
        <v>0</v>
      </c>
      <c r="D85" s="1">
        <f>澳门换算01!D84+澳门新定位结果!$P84</f>
        <v>1</v>
      </c>
      <c r="E85">
        <f>澳门换算01!E84+澳门新定位结果!$P84</f>
        <v>0</v>
      </c>
      <c r="F85">
        <f>澳门换算01!F84+澳门新定位结果!$P84</f>
        <v>1</v>
      </c>
      <c r="G85">
        <f>澳门换算01!G84+澳门新定位结果!$P84</f>
        <v>0</v>
      </c>
      <c r="H85">
        <f>澳门换算01!H84+澳门新定位结果!$P84</f>
        <v>1</v>
      </c>
      <c r="I85">
        <f>澳门换算01!I84+澳门新定位结果!$P84</f>
        <v>1</v>
      </c>
      <c r="J85" s="1">
        <f>澳门换算01!J84+澳门新定位结果!$P84</f>
        <v>0</v>
      </c>
      <c r="K85">
        <f>澳门换算01!K84+澳门新定位结果!$P84</f>
        <v>1</v>
      </c>
      <c r="L85">
        <f>澳门换算01!L84+澳门新定位结果!$P84</f>
        <v>0</v>
      </c>
      <c r="M85" s="1">
        <f>澳门换算01!M84+澳门新定位结果!$P84</f>
        <v>0</v>
      </c>
      <c r="N85">
        <f>澳门换算01!N84+澳门新定位结果!$P84</f>
        <v>1</v>
      </c>
      <c r="O85">
        <f>澳门换算01!O84+澳门新定位结果!$P84</f>
        <v>1</v>
      </c>
    </row>
    <row r="86" spans="1:15">
      <c r="A86" s="4" t="s">
        <v>189</v>
      </c>
      <c r="B86">
        <f>澳门换算01!B85+澳门新定位结果!$P85</f>
        <v>2</v>
      </c>
      <c r="C86">
        <f>澳门换算01!C85+澳门新定位结果!$P85</f>
        <v>2</v>
      </c>
      <c r="D86" s="1">
        <f>澳门换算01!D85+澳门新定位结果!$P85</f>
        <v>1</v>
      </c>
      <c r="E86">
        <f>澳门换算01!E85+澳门新定位结果!$P85</f>
        <v>2</v>
      </c>
      <c r="F86">
        <f>澳门换算01!F85+澳门新定位结果!$P85</f>
        <v>2</v>
      </c>
      <c r="G86">
        <f>澳门换算01!G85+澳门新定位结果!$P85</f>
        <v>2</v>
      </c>
      <c r="H86">
        <f>澳门换算01!H85+澳门新定位结果!$P85</f>
        <v>1</v>
      </c>
      <c r="I86">
        <f>澳门换算01!I85+澳门新定位结果!$P85</f>
        <v>2</v>
      </c>
      <c r="J86" s="1">
        <f>澳门换算01!J85+澳门新定位结果!$P85</f>
        <v>2</v>
      </c>
      <c r="K86">
        <f>澳门换算01!K85+澳门新定位结果!$P85</f>
        <v>2</v>
      </c>
      <c r="L86">
        <f>澳门换算01!L85+澳门新定位结果!$P85</f>
        <v>2</v>
      </c>
      <c r="M86" s="1">
        <f>澳门换算01!M85+澳门新定位结果!$P85</f>
        <v>2</v>
      </c>
      <c r="N86">
        <f>澳门换算01!N85+澳门新定位结果!$P85</f>
        <v>2</v>
      </c>
      <c r="O86">
        <f>澳门换算01!O85+澳门新定位结果!$P85</f>
        <v>2</v>
      </c>
    </row>
    <row r="87" spans="1:15">
      <c r="A87" s="4" t="s">
        <v>191</v>
      </c>
      <c r="B87">
        <f>澳门换算01!B86+澳门新定位结果!$P86</f>
        <v>1</v>
      </c>
      <c r="C87">
        <f>澳门换算01!C86+澳门新定位结果!$P86</f>
        <v>1</v>
      </c>
      <c r="D87" s="1">
        <f>澳门换算01!D86+澳门新定位结果!$P86</f>
        <v>0</v>
      </c>
      <c r="E87">
        <f>澳门换算01!E86+澳门新定位结果!$P86</f>
        <v>1</v>
      </c>
      <c r="F87">
        <f>澳门换算01!F86+澳门新定位结果!$P86</f>
        <v>0</v>
      </c>
      <c r="G87">
        <f>澳门换算01!G86+澳门新定位结果!$P86</f>
        <v>0</v>
      </c>
      <c r="H87">
        <f>澳门换算01!H86+澳门新定位结果!$P86</f>
        <v>1</v>
      </c>
      <c r="I87">
        <f>澳门换算01!I86+澳门新定位结果!$P86</f>
        <v>1</v>
      </c>
      <c r="J87" s="1">
        <f>澳门换算01!J86+澳门新定位结果!$P86</f>
        <v>1</v>
      </c>
      <c r="K87">
        <f>澳门换算01!K86+澳门新定位结果!$P86</f>
        <v>1</v>
      </c>
      <c r="L87">
        <f>澳门换算01!L86+澳门新定位结果!$P86</f>
        <v>1</v>
      </c>
      <c r="M87" s="1">
        <f>澳门换算01!M86+澳门新定位结果!$P86</f>
        <v>0</v>
      </c>
      <c r="N87">
        <f>澳门换算01!N86+澳门新定位结果!$P86</f>
        <v>0</v>
      </c>
      <c r="O87">
        <f>澳门换算01!O86+澳门新定位结果!$P86</f>
        <v>0</v>
      </c>
    </row>
    <row r="88" spans="1:15">
      <c r="A88" s="4" t="s">
        <v>193</v>
      </c>
      <c r="B88">
        <f>澳门换算01!B87+澳门新定位结果!$P87</f>
        <v>0</v>
      </c>
      <c r="C88">
        <f>澳门换算01!C87+澳门新定位结果!$P87</f>
        <v>0</v>
      </c>
      <c r="D88" s="1">
        <f>澳门换算01!D87+澳门新定位结果!$P87</f>
        <v>0</v>
      </c>
      <c r="E88">
        <f>澳门换算01!E87+澳门新定位结果!$P87</f>
        <v>1</v>
      </c>
      <c r="F88">
        <f>澳门换算01!F87+澳门新定位结果!$P87</f>
        <v>1</v>
      </c>
      <c r="G88">
        <f>澳门换算01!G87+澳门新定位结果!$P87</f>
        <v>0</v>
      </c>
      <c r="H88">
        <f>澳门换算01!H87+澳门新定位结果!$P87</f>
        <v>0</v>
      </c>
      <c r="I88">
        <f>澳门换算01!I87+澳门新定位结果!$P87</f>
        <v>1</v>
      </c>
      <c r="J88" s="1">
        <f>澳门换算01!J87+澳门新定位结果!$P87</f>
        <v>0</v>
      </c>
      <c r="K88">
        <f>澳门换算01!K87+澳门新定位结果!$P87</f>
        <v>0</v>
      </c>
      <c r="L88">
        <f>澳门换算01!L87+澳门新定位结果!$P87</f>
        <v>0</v>
      </c>
      <c r="M88" s="1">
        <f>澳门换算01!M87+澳门新定位结果!$P87</f>
        <v>1</v>
      </c>
      <c r="N88">
        <f>澳门换算01!N87+澳门新定位结果!$P87</f>
        <v>0</v>
      </c>
      <c r="O88">
        <f>澳门换算01!O87+澳门新定位结果!$P87</f>
        <v>1</v>
      </c>
    </row>
    <row r="89" spans="1:15">
      <c r="A89" s="4" t="s">
        <v>195</v>
      </c>
      <c r="B89">
        <f>澳门换算01!B88+澳门新定位结果!$P88</f>
        <v>0</v>
      </c>
      <c r="C89">
        <f>澳门换算01!C88+澳门新定位结果!$P88</f>
        <v>0</v>
      </c>
      <c r="D89" s="1">
        <f>澳门换算01!D88+澳门新定位结果!$P88</f>
        <v>1</v>
      </c>
      <c r="E89">
        <f>澳门换算01!E88+澳门新定位结果!$P88</f>
        <v>1</v>
      </c>
      <c r="F89">
        <f>澳门换算01!F88+澳门新定位结果!$P88</f>
        <v>1</v>
      </c>
      <c r="G89">
        <f>澳门换算01!G88+澳门新定位结果!$P88</f>
        <v>0</v>
      </c>
      <c r="H89">
        <f>澳门换算01!H88+澳门新定位结果!$P88</f>
        <v>0</v>
      </c>
      <c r="I89">
        <f>澳门换算01!I88+澳门新定位结果!$P88</f>
        <v>0</v>
      </c>
      <c r="J89" s="1">
        <f>澳门换算01!J88+澳门新定位结果!$P88</f>
        <v>0</v>
      </c>
      <c r="K89">
        <f>澳门换算01!K88+澳门新定位结果!$P88</f>
        <v>0</v>
      </c>
      <c r="L89">
        <f>澳门换算01!L88+澳门新定位结果!$P88</f>
        <v>1</v>
      </c>
      <c r="M89" s="1">
        <f>澳门换算01!M88+澳门新定位结果!$P88</f>
        <v>0</v>
      </c>
      <c r="N89">
        <f>澳门换算01!N88+澳门新定位结果!$P88</f>
        <v>1</v>
      </c>
      <c r="O89">
        <f>澳门换算01!O88+澳门新定位结果!$P88</f>
        <v>1</v>
      </c>
    </row>
    <row r="90" spans="1:15">
      <c r="A90" s="4" t="s">
        <v>197</v>
      </c>
      <c r="B90">
        <f>澳门换算01!B89+澳门新定位结果!$P89</f>
        <v>0</v>
      </c>
      <c r="C90">
        <f>澳门换算01!C89+澳门新定位结果!$P89</f>
        <v>1</v>
      </c>
      <c r="D90" s="1">
        <f>澳门换算01!D89+澳门新定位结果!$P89</f>
        <v>0</v>
      </c>
      <c r="E90">
        <f>澳门换算01!E89+澳门新定位结果!$P89</f>
        <v>1</v>
      </c>
      <c r="F90">
        <f>澳门换算01!F89+澳门新定位结果!$P89</f>
        <v>0</v>
      </c>
      <c r="G90">
        <f>澳门换算01!G89+澳门新定位结果!$P89</f>
        <v>1</v>
      </c>
      <c r="H90">
        <f>澳门换算01!H89+澳门新定位结果!$P89</f>
        <v>1</v>
      </c>
      <c r="I90">
        <f>澳门换算01!I89+澳门新定位结果!$P89</f>
        <v>1</v>
      </c>
      <c r="J90" s="1">
        <f>澳门换算01!J89+澳门新定位结果!$P89</f>
        <v>0</v>
      </c>
      <c r="K90">
        <f>澳门换算01!K89+澳门新定位结果!$P89</f>
        <v>1</v>
      </c>
      <c r="L90">
        <f>澳门换算01!L89+澳门新定位结果!$P89</f>
        <v>1</v>
      </c>
      <c r="M90" s="1">
        <f>澳门换算01!M89+澳门新定位结果!$P89</f>
        <v>0</v>
      </c>
      <c r="N90">
        <f>澳门换算01!N89+澳门新定位结果!$P89</f>
        <v>0</v>
      </c>
      <c r="O90">
        <f>澳门换算01!O89+澳门新定位结果!$P89</f>
        <v>0</v>
      </c>
    </row>
    <row r="91" spans="1:15">
      <c r="A91" s="4" t="s">
        <v>199</v>
      </c>
      <c r="B91">
        <f>澳门换算01!B90+澳门新定位结果!$P90</f>
        <v>2</v>
      </c>
      <c r="C91">
        <f>澳门换算01!C90+澳门新定位结果!$P90</f>
        <v>2</v>
      </c>
      <c r="D91" s="1">
        <f>澳门换算01!D90+澳门新定位结果!$P90</f>
        <v>1</v>
      </c>
      <c r="E91">
        <f>澳门换算01!E90+澳门新定位结果!$P90</f>
        <v>2</v>
      </c>
      <c r="F91">
        <f>澳门换算01!F90+澳门新定位结果!$P90</f>
        <v>2</v>
      </c>
      <c r="G91">
        <f>澳门换算01!G90+澳门新定位结果!$P90</f>
        <v>1</v>
      </c>
      <c r="H91">
        <f>澳门换算01!H90+澳门新定位结果!$P90</f>
        <v>1</v>
      </c>
      <c r="I91">
        <f>澳门换算01!I90+澳门新定位结果!$P90</f>
        <v>2</v>
      </c>
      <c r="J91" s="1">
        <f>澳门换算01!J90+澳门新定位结果!$P90</f>
        <v>2</v>
      </c>
      <c r="K91">
        <f>澳门换算01!K90+澳门新定位结果!$P90</f>
        <v>2</v>
      </c>
      <c r="L91">
        <f>澳门换算01!L90+澳门新定位结果!$P90</f>
        <v>2</v>
      </c>
      <c r="M91" s="1">
        <f>澳门换算01!M90+澳门新定位结果!$P90</f>
        <v>1</v>
      </c>
      <c r="N91">
        <f>澳门换算01!N90+澳门新定位结果!$P90</f>
        <v>1</v>
      </c>
      <c r="O91">
        <f>澳门换算01!O90+澳门新定位结果!$P90</f>
        <v>2</v>
      </c>
    </row>
    <row r="92" spans="1:15">
      <c r="A92" s="4" t="s">
        <v>201</v>
      </c>
      <c r="B92">
        <f>澳门换算01!B91+澳门新定位结果!$P91</f>
        <v>2</v>
      </c>
      <c r="C92">
        <f>澳门换算01!C91+澳门新定位结果!$P91</f>
        <v>2</v>
      </c>
      <c r="D92" s="1">
        <f>澳门换算01!D91+澳门新定位结果!$P91</f>
        <v>2</v>
      </c>
      <c r="E92">
        <f>澳门换算01!E91+澳门新定位结果!$P91</f>
        <v>1</v>
      </c>
      <c r="F92">
        <f>澳门换算01!F91+澳门新定位结果!$P91</f>
        <v>2</v>
      </c>
      <c r="G92">
        <f>澳门换算01!G91+澳门新定位结果!$P91</f>
        <v>2</v>
      </c>
      <c r="H92">
        <f>澳门换算01!H91+澳门新定位结果!$P91</f>
        <v>2</v>
      </c>
      <c r="I92">
        <f>澳门换算01!I91+澳门新定位结果!$P91</f>
        <v>1</v>
      </c>
      <c r="J92" s="1">
        <f>澳门换算01!J91+澳门新定位结果!$P91</f>
        <v>2</v>
      </c>
      <c r="K92">
        <f>澳门换算01!K91+澳门新定位结果!$P91</f>
        <v>2</v>
      </c>
      <c r="L92">
        <f>澳门换算01!L91+澳门新定位结果!$P91</f>
        <v>2</v>
      </c>
      <c r="M92" s="1">
        <f>澳门换算01!M91+澳门新定位结果!$P91</f>
        <v>2</v>
      </c>
      <c r="N92">
        <f>澳门换算01!N91+澳门新定位结果!$P91</f>
        <v>2</v>
      </c>
      <c r="O92">
        <f>澳门换算01!O91+澳门新定位结果!$P91</f>
        <v>2</v>
      </c>
    </row>
    <row r="93" spans="1:15">
      <c r="A93" s="4" t="s">
        <v>203</v>
      </c>
      <c r="B93">
        <f>澳门换算01!B92+澳门新定位结果!$P92</f>
        <v>0</v>
      </c>
      <c r="C93">
        <f>澳门换算01!C92+澳门新定位结果!$P92</f>
        <v>1</v>
      </c>
      <c r="D93" s="1">
        <f>澳门换算01!D92+澳门新定位结果!$P92</f>
        <v>0</v>
      </c>
      <c r="E93">
        <f>澳门换算01!E92+澳门新定位结果!$P92</f>
        <v>0</v>
      </c>
      <c r="F93">
        <f>澳门换算01!F92+澳门新定位结果!$P92</f>
        <v>1</v>
      </c>
      <c r="G93">
        <f>澳门换算01!G92+澳门新定位结果!$P92</f>
        <v>1</v>
      </c>
      <c r="H93">
        <f>澳门换算01!H92+澳门新定位结果!$P92</f>
        <v>0</v>
      </c>
      <c r="I93">
        <f>澳门换算01!I92+澳门新定位结果!$P92</f>
        <v>1</v>
      </c>
      <c r="J93" s="1">
        <f>澳门换算01!J92+澳门新定位结果!$P92</f>
        <v>0</v>
      </c>
      <c r="K93">
        <f>澳门换算01!K92+澳门新定位结果!$P92</f>
        <v>1</v>
      </c>
      <c r="L93">
        <f>澳门换算01!L92+澳门新定位结果!$P92</f>
        <v>1</v>
      </c>
      <c r="M93" s="1">
        <f>澳门换算01!M92+澳门新定位结果!$P92</f>
        <v>1</v>
      </c>
      <c r="N93">
        <f>澳门换算01!N92+澳门新定位结果!$P92</f>
        <v>0</v>
      </c>
      <c r="O93">
        <f>澳门换算01!O92+澳门新定位结果!$P92</f>
        <v>1</v>
      </c>
    </row>
    <row r="94" spans="1:15">
      <c r="A94" s="4" t="s">
        <v>205</v>
      </c>
      <c r="B94">
        <f>澳门换算01!B93+澳门新定位结果!$P93</f>
        <v>1</v>
      </c>
      <c r="C94">
        <f>澳门换算01!C93+澳门新定位结果!$P93</f>
        <v>1</v>
      </c>
      <c r="D94" s="1">
        <f>澳门换算01!D93+澳门新定位结果!$P93</f>
        <v>1</v>
      </c>
      <c r="E94">
        <f>澳门换算01!E93+澳门新定位结果!$P93</f>
        <v>1</v>
      </c>
      <c r="F94">
        <f>澳门换算01!F93+澳门新定位结果!$P93</f>
        <v>1</v>
      </c>
      <c r="G94">
        <f>澳门换算01!G93+澳门新定位结果!$P93</f>
        <v>0</v>
      </c>
      <c r="H94">
        <f>澳门换算01!H93+澳门新定位结果!$P93</f>
        <v>1</v>
      </c>
      <c r="I94">
        <f>澳门换算01!I93+澳门新定位结果!$P93</f>
        <v>1</v>
      </c>
      <c r="J94" s="1">
        <f>澳门换算01!J93+澳门新定位结果!$P93</f>
        <v>1</v>
      </c>
      <c r="K94">
        <f>澳门换算01!K93+澳门新定位结果!$P93</f>
        <v>1</v>
      </c>
      <c r="L94">
        <f>澳门换算01!L93+澳门新定位结果!$P93</f>
        <v>0</v>
      </c>
      <c r="M94" s="1">
        <f>澳门换算01!M93+澳门新定位结果!$P93</f>
        <v>1</v>
      </c>
      <c r="N94">
        <f>澳门换算01!N93+澳门新定位结果!$P93</f>
        <v>1</v>
      </c>
      <c r="O94">
        <f>澳门换算01!O93+澳门新定位结果!$P93</f>
        <v>1</v>
      </c>
    </row>
    <row r="95" spans="1:15">
      <c r="A95" s="4" t="s">
        <v>207</v>
      </c>
      <c r="B95">
        <f>澳门换算01!B94+澳门新定位结果!$P94</f>
        <v>0</v>
      </c>
      <c r="C95">
        <f>澳门换算01!C94+澳门新定位结果!$P94</f>
        <v>0</v>
      </c>
      <c r="D95" s="1">
        <f>澳门换算01!D94+澳门新定位结果!$P94</f>
        <v>1</v>
      </c>
      <c r="E95">
        <f>澳门换算01!E94+澳门新定位结果!$P94</f>
        <v>1</v>
      </c>
      <c r="F95">
        <f>澳门换算01!F94+澳门新定位结果!$P94</f>
        <v>1</v>
      </c>
      <c r="G95">
        <f>澳门换算01!G94+澳门新定位结果!$P94</f>
        <v>0</v>
      </c>
      <c r="H95">
        <f>澳门换算01!H94+澳门新定位结果!$P94</f>
        <v>0</v>
      </c>
      <c r="I95">
        <f>澳门换算01!I94+澳门新定位结果!$P94</f>
        <v>1</v>
      </c>
      <c r="J95" s="1">
        <f>澳门换算01!J94+澳门新定位结果!$P94</f>
        <v>0</v>
      </c>
      <c r="K95">
        <f>澳门换算01!K94+澳门新定位结果!$P94</f>
        <v>1</v>
      </c>
      <c r="L95">
        <f>澳门换算01!L94+澳门新定位结果!$P94</f>
        <v>1</v>
      </c>
      <c r="M95" s="1">
        <f>澳门换算01!M94+澳门新定位结果!$P94</f>
        <v>0</v>
      </c>
      <c r="N95">
        <f>澳门换算01!N94+澳门新定位结果!$P94</f>
        <v>1</v>
      </c>
      <c r="O95">
        <f>澳门换算01!O94+澳门新定位结果!$P94</f>
        <v>0</v>
      </c>
    </row>
    <row r="96" spans="1:15">
      <c r="A96" s="4" t="s">
        <v>209</v>
      </c>
      <c r="B96">
        <f>澳门换算01!B95+澳门新定位结果!$P95</f>
        <v>0</v>
      </c>
      <c r="C96">
        <f>澳门换算01!C95+澳门新定位结果!$P95</f>
        <v>1</v>
      </c>
      <c r="D96" s="1">
        <f>澳门换算01!D95+澳门新定位结果!$P95</f>
        <v>0</v>
      </c>
      <c r="E96">
        <f>澳门换算01!E95+澳门新定位结果!$P95</f>
        <v>0</v>
      </c>
      <c r="F96">
        <f>澳门换算01!F95+澳门新定位结果!$P95</f>
        <v>1</v>
      </c>
      <c r="G96">
        <f>澳门换算01!G95+澳门新定位结果!$P95</f>
        <v>1</v>
      </c>
      <c r="H96">
        <f>澳门换算01!H95+澳门新定位结果!$P95</f>
        <v>0</v>
      </c>
      <c r="I96">
        <f>澳门换算01!I95+澳门新定位结果!$P95</f>
        <v>1</v>
      </c>
      <c r="J96" s="1">
        <f>澳门换算01!J95+澳门新定位结果!$P95</f>
        <v>1</v>
      </c>
      <c r="K96">
        <f>澳门换算01!K95+澳门新定位结果!$P95</f>
        <v>1</v>
      </c>
      <c r="L96">
        <f>澳门换算01!L95+澳门新定位结果!$P95</f>
        <v>1</v>
      </c>
      <c r="M96" s="1">
        <f>澳门换算01!M95+澳门新定位结果!$P95</f>
        <v>1</v>
      </c>
      <c r="N96">
        <f>澳门换算01!N95+澳门新定位结果!$P95</f>
        <v>1</v>
      </c>
      <c r="O96">
        <f>澳门换算01!O95+澳门新定位结果!$P95</f>
        <v>1</v>
      </c>
    </row>
    <row r="97" spans="1:15">
      <c r="A97" s="4" t="s">
        <v>211</v>
      </c>
      <c r="B97">
        <f>澳门换算01!B96+澳门新定位结果!$P96</f>
        <v>1</v>
      </c>
      <c r="C97">
        <f>澳门换算01!C96+澳门新定位结果!$P96</f>
        <v>2</v>
      </c>
      <c r="D97" s="1">
        <f>澳门换算01!D96+澳门新定位结果!$P96</f>
        <v>1</v>
      </c>
      <c r="E97">
        <f>澳门换算01!E96+澳门新定位结果!$P96</f>
        <v>2</v>
      </c>
      <c r="F97">
        <f>澳门换算01!F96+澳门新定位结果!$P96</f>
        <v>1</v>
      </c>
      <c r="G97">
        <f>澳门换算01!G96+澳门新定位结果!$P96</f>
        <v>1</v>
      </c>
      <c r="H97">
        <f>澳门换算01!H96+澳门新定位结果!$P96</f>
        <v>2</v>
      </c>
      <c r="I97">
        <f>澳门换算01!I96+澳门新定位结果!$P96</f>
        <v>1</v>
      </c>
      <c r="J97" s="1">
        <f>澳门换算01!J96+澳门新定位结果!$P96</f>
        <v>2</v>
      </c>
      <c r="K97">
        <f>澳门换算01!K96+澳门新定位结果!$P96</f>
        <v>2</v>
      </c>
      <c r="L97">
        <f>澳门换算01!L96+澳门新定位结果!$P96</f>
        <v>2</v>
      </c>
      <c r="M97" s="1">
        <f>澳门换算01!M96+澳门新定位结果!$P96</f>
        <v>2</v>
      </c>
      <c r="N97">
        <f>澳门换算01!N96+澳门新定位结果!$P96</f>
        <v>2</v>
      </c>
      <c r="O97">
        <f>澳门换算01!O96+澳门新定位结果!$P96</f>
        <v>1</v>
      </c>
    </row>
    <row r="98" spans="1:15">
      <c r="A98" s="4" t="s">
        <v>213</v>
      </c>
      <c r="B98">
        <f>澳门换算01!B97+澳门新定位结果!$P97</f>
        <v>1</v>
      </c>
      <c r="C98">
        <f>澳门换算01!C97+澳门新定位结果!$P97</f>
        <v>0</v>
      </c>
      <c r="D98" s="1">
        <f>澳门换算01!D97+澳门新定位结果!$P97</f>
        <v>0</v>
      </c>
      <c r="E98">
        <f>澳门换算01!E97+澳门新定位结果!$P97</f>
        <v>1</v>
      </c>
      <c r="F98">
        <f>澳门换算01!F97+澳门新定位结果!$P97</f>
        <v>1</v>
      </c>
      <c r="G98">
        <f>澳门换算01!G97+澳门新定位结果!$P97</f>
        <v>1</v>
      </c>
      <c r="H98">
        <f>澳门换算01!H97+澳门新定位结果!$P97</f>
        <v>0</v>
      </c>
      <c r="I98">
        <f>澳门换算01!I97+澳门新定位结果!$P97</f>
        <v>0</v>
      </c>
      <c r="J98" s="1">
        <f>澳门换算01!J97+澳门新定位结果!$P97</f>
        <v>1</v>
      </c>
      <c r="K98">
        <f>澳门换算01!K97+澳门新定位结果!$P97</f>
        <v>0</v>
      </c>
      <c r="L98">
        <f>澳门换算01!L97+澳门新定位结果!$P97</f>
        <v>1</v>
      </c>
      <c r="M98" s="1">
        <f>澳门换算01!M97+澳门新定位结果!$P97</f>
        <v>0</v>
      </c>
      <c r="N98">
        <f>澳门换算01!N97+澳门新定位结果!$P97</f>
        <v>0</v>
      </c>
      <c r="O98">
        <f>澳门换算01!O97+澳门新定位结果!$P97</f>
        <v>0</v>
      </c>
    </row>
    <row r="99" spans="1:15">
      <c r="A99" s="4" t="s">
        <v>215</v>
      </c>
      <c r="B99">
        <f>澳门换算01!B98+澳门新定位结果!$P98</f>
        <v>1</v>
      </c>
      <c r="C99">
        <f>澳门换算01!C98+澳门新定位结果!$P98</f>
        <v>1</v>
      </c>
      <c r="D99" s="1">
        <f>澳门换算01!D98+澳门新定位结果!$P98</f>
        <v>1</v>
      </c>
      <c r="E99">
        <f>澳门换算01!E98+澳门新定位结果!$P98</f>
        <v>1</v>
      </c>
      <c r="F99">
        <f>澳门换算01!F98+澳门新定位结果!$P98</f>
        <v>1</v>
      </c>
      <c r="G99">
        <f>澳门换算01!G98+澳门新定位结果!$P98</f>
        <v>1</v>
      </c>
      <c r="H99">
        <f>澳门换算01!H98+澳门新定位结果!$P98</f>
        <v>1</v>
      </c>
      <c r="I99">
        <f>澳门换算01!I98+澳门新定位结果!$P98</f>
        <v>2</v>
      </c>
      <c r="J99" s="1">
        <f>澳门换算01!J98+澳门新定位结果!$P98</f>
        <v>2</v>
      </c>
      <c r="K99">
        <f>澳门换算01!K98+澳门新定位结果!$P98</f>
        <v>1</v>
      </c>
      <c r="L99">
        <f>澳门换算01!L98+澳门新定位结果!$P98</f>
        <v>1</v>
      </c>
      <c r="M99" s="1">
        <f>澳门换算01!M98+澳门新定位结果!$P98</f>
        <v>1</v>
      </c>
      <c r="N99">
        <f>澳门换算01!N98+澳门新定位结果!$P98</f>
        <v>1</v>
      </c>
      <c r="O99">
        <f>澳门换算01!O98+澳门新定位结果!$P98</f>
        <v>1</v>
      </c>
    </row>
    <row r="100" spans="1:15">
      <c r="A100" s="4" t="s">
        <v>217</v>
      </c>
      <c r="B100">
        <f>澳门换算01!B99+澳门新定位结果!$P99</f>
        <v>1</v>
      </c>
      <c r="C100">
        <f>澳门换算01!C99+澳门新定位结果!$P99</f>
        <v>1</v>
      </c>
      <c r="D100" s="1">
        <f>澳门换算01!D99+澳门新定位结果!$P99</f>
        <v>2</v>
      </c>
      <c r="E100">
        <f>澳门换算01!E99+澳门新定位结果!$P99</f>
        <v>1</v>
      </c>
      <c r="F100">
        <f>澳门换算01!F99+澳门新定位结果!$P99</f>
        <v>1</v>
      </c>
      <c r="G100">
        <f>澳门换算01!G99+澳门新定位结果!$P99</f>
        <v>2</v>
      </c>
      <c r="H100">
        <f>澳门换算01!H99+澳门新定位结果!$P99</f>
        <v>1</v>
      </c>
      <c r="I100">
        <f>澳门换算01!I99+澳门新定位结果!$P99</f>
        <v>2</v>
      </c>
      <c r="J100" s="1">
        <f>澳门换算01!J99+澳门新定位结果!$P99</f>
        <v>1</v>
      </c>
      <c r="K100">
        <f>澳门换算01!K99+澳门新定位结果!$P99</f>
        <v>1</v>
      </c>
      <c r="L100">
        <f>澳门换算01!L99+澳门新定位结果!$P99</f>
        <v>1</v>
      </c>
      <c r="M100" s="1">
        <f>澳门换算01!M99+澳门新定位结果!$P99</f>
        <v>1</v>
      </c>
      <c r="N100">
        <f>澳门换算01!N99+澳门新定位结果!$P99</f>
        <v>1</v>
      </c>
      <c r="O100">
        <f>澳门换算01!O99+澳门新定位结果!$P99</f>
        <v>2</v>
      </c>
    </row>
    <row r="101" spans="1:15">
      <c r="A101" s="4" t="s">
        <v>219</v>
      </c>
      <c r="B101">
        <f>澳门换算01!B100+澳门新定位结果!$P100</f>
        <v>1</v>
      </c>
      <c r="C101">
        <f>澳门换算01!C100+澳门新定位结果!$P100</f>
        <v>0</v>
      </c>
      <c r="D101" s="1">
        <f>澳门换算01!D100+澳门新定位结果!$P100</f>
        <v>1</v>
      </c>
      <c r="E101">
        <f>澳门换算01!E100+澳门新定位结果!$P100</f>
        <v>0</v>
      </c>
      <c r="F101">
        <f>澳门换算01!F100+澳门新定位结果!$P100</f>
        <v>0</v>
      </c>
      <c r="G101">
        <f>澳门换算01!G100+澳门新定位结果!$P100</f>
        <v>0</v>
      </c>
      <c r="H101">
        <f>澳门换算01!H100+澳门新定位结果!$P100</f>
        <v>0</v>
      </c>
      <c r="I101">
        <f>澳门换算01!I100+澳门新定位结果!$P100</f>
        <v>0</v>
      </c>
      <c r="J101" s="1">
        <f>澳门换算01!J100+澳门新定位结果!$P100</f>
        <v>1</v>
      </c>
      <c r="K101">
        <f>澳门换算01!K100+澳门新定位结果!$P100</f>
        <v>0</v>
      </c>
      <c r="L101">
        <f>澳门换算01!L100+澳门新定位结果!$P100</f>
        <v>0</v>
      </c>
      <c r="M101" s="1">
        <f>澳门换算01!M100+澳门新定位结果!$P100</f>
        <v>1</v>
      </c>
      <c r="N101">
        <f>澳门换算01!N100+澳门新定位结果!$P100</f>
        <v>0</v>
      </c>
      <c r="O101">
        <f>澳门换算01!O100+澳门新定位结果!$P100</f>
        <v>1</v>
      </c>
    </row>
    <row r="102" spans="1:15">
      <c r="A102" s="4" t="s">
        <v>221</v>
      </c>
      <c r="B102">
        <f>澳门换算01!B101+澳门新定位结果!$P101</f>
        <v>1</v>
      </c>
      <c r="C102">
        <f>澳门换算01!C101+澳门新定位结果!$P101</f>
        <v>2</v>
      </c>
      <c r="D102" s="1">
        <f>澳门换算01!D101+澳门新定位结果!$P101</f>
        <v>1</v>
      </c>
      <c r="E102">
        <f>澳门换算01!E101+澳门新定位结果!$P101</f>
        <v>1</v>
      </c>
      <c r="F102">
        <f>澳门换算01!F101+澳门新定位结果!$P101</f>
        <v>1</v>
      </c>
      <c r="G102">
        <f>澳门换算01!G101+澳门新定位结果!$P101</f>
        <v>1</v>
      </c>
      <c r="H102">
        <f>澳门换算01!H101+澳门新定位结果!$P101</f>
        <v>2</v>
      </c>
      <c r="I102">
        <f>澳门换算01!I101+澳门新定位结果!$P101</f>
        <v>2</v>
      </c>
      <c r="J102" s="1">
        <f>澳门换算01!J101+澳门新定位结果!$P101</f>
        <v>2</v>
      </c>
      <c r="K102">
        <f>澳门换算01!K101+澳门新定位结果!$P101</f>
        <v>2</v>
      </c>
      <c r="L102">
        <f>澳门换算01!L101+澳门新定位结果!$P101</f>
        <v>2</v>
      </c>
      <c r="M102" s="1">
        <f>澳门换算01!M101+澳门新定位结果!$P101</f>
        <v>2</v>
      </c>
      <c r="N102">
        <f>澳门换算01!N101+澳门新定位结果!$P101</f>
        <v>1</v>
      </c>
      <c r="O102">
        <f>澳门换算01!O101+澳门新定位结果!$P101</f>
        <v>1</v>
      </c>
    </row>
    <row r="103" spans="1:15">
      <c r="A103" s="4" t="s">
        <v>223</v>
      </c>
      <c r="B103">
        <f>澳门换算01!B102+澳门新定位结果!$P102</f>
        <v>0</v>
      </c>
      <c r="C103">
        <f>澳门换算01!C102+澳门新定位结果!$P102</f>
        <v>0</v>
      </c>
      <c r="D103" s="1">
        <f>澳门换算01!D102+澳门新定位结果!$P102</f>
        <v>0</v>
      </c>
      <c r="E103">
        <f>澳门换算01!E102+澳门新定位结果!$P102</f>
        <v>1</v>
      </c>
      <c r="F103">
        <f>澳门换算01!F102+澳门新定位结果!$P102</f>
        <v>1</v>
      </c>
      <c r="G103">
        <f>澳门换算01!G102+澳门新定位结果!$P102</f>
        <v>1</v>
      </c>
      <c r="H103">
        <f>澳门换算01!H102+澳门新定位结果!$P102</f>
        <v>1</v>
      </c>
      <c r="I103">
        <f>澳门换算01!I102+澳门新定位结果!$P102</f>
        <v>0</v>
      </c>
      <c r="J103" s="1">
        <f>澳门换算01!J102+澳门新定位结果!$P102</f>
        <v>0</v>
      </c>
      <c r="K103">
        <f>澳门换算01!K102+澳门新定位结果!$P102</f>
        <v>0</v>
      </c>
      <c r="L103">
        <f>澳门换算01!L102+澳门新定位结果!$P102</f>
        <v>1</v>
      </c>
      <c r="M103" s="1">
        <f>澳门换算01!M102+澳门新定位结果!$P102</f>
        <v>0</v>
      </c>
      <c r="N103">
        <f>澳门换算01!N102+澳门新定位结果!$P102</f>
        <v>0</v>
      </c>
      <c r="O103">
        <f>澳门换算01!O102+澳门新定位结果!$P102</f>
        <v>0</v>
      </c>
    </row>
    <row r="104" spans="1:15">
      <c r="A104" s="4" t="s">
        <v>225</v>
      </c>
      <c r="B104">
        <f>澳门换算01!B103+澳门新定位结果!$P103</f>
        <v>2</v>
      </c>
      <c r="C104">
        <f>澳门换算01!C103+澳门新定位结果!$P103</f>
        <v>1</v>
      </c>
      <c r="D104" s="1">
        <f>澳门换算01!D103+澳门新定位结果!$P103</f>
        <v>2</v>
      </c>
      <c r="E104">
        <f>澳门换算01!E103+澳门新定位结果!$P103</f>
        <v>2</v>
      </c>
      <c r="F104">
        <f>澳门换算01!F103+澳门新定位结果!$P103</f>
        <v>1</v>
      </c>
      <c r="G104">
        <f>澳门换算01!G103+澳门新定位结果!$P103</f>
        <v>1</v>
      </c>
      <c r="H104">
        <f>澳门换算01!H103+澳门新定位结果!$P103</f>
        <v>1</v>
      </c>
      <c r="I104">
        <f>澳门换算01!I103+澳门新定位结果!$P103</f>
        <v>1</v>
      </c>
      <c r="J104" s="1">
        <f>澳门换算01!J103+澳门新定位结果!$P103</f>
        <v>1</v>
      </c>
      <c r="K104">
        <f>澳门换算01!K103+澳门新定位结果!$P103</f>
        <v>1</v>
      </c>
      <c r="L104">
        <f>澳门换算01!L103+澳门新定位结果!$P103</f>
        <v>2</v>
      </c>
      <c r="M104" s="1">
        <f>澳门换算01!M103+澳门新定位结果!$P103</f>
        <v>2</v>
      </c>
      <c r="N104">
        <f>澳门换算01!N103+澳门新定位结果!$P103</f>
        <v>2</v>
      </c>
      <c r="O104">
        <f>澳门换算01!O103+澳门新定位结果!$P103</f>
        <v>1</v>
      </c>
    </row>
    <row r="105" spans="1:15">
      <c r="A105" s="4" t="s">
        <v>227</v>
      </c>
      <c r="B105">
        <f>澳门换算01!B104+澳门新定位结果!$P104</f>
        <v>1</v>
      </c>
      <c r="C105">
        <f>澳门换算01!C104+澳门新定位结果!$P104</f>
        <v>2</v>
      </c>
      <c r="D105" s="1">
        <f>澳门换算01!D104+澳门新定位结果!$P104</f>
        <v>1</v>
      </c>
      <c r="E105">
        <f>澳门换算01!E104+澳门新定位结果!$P104</f>
        <v>1</v>
      </c>
      <c r="F105">
        <f>澳门换算01!F104+澳门新定位结果!$P104</f>
        <v>1</v>
      </c>
      <c r="G105">
        <f>澳门换算01!G104+澳门新定位结果!$P104</f>
        <v>2</v>
      </c>
      <c r="H105">
        <f>澳门换算01!H104+澳门新定位结果!$P104</f>
        <v>2</v>
      </c>
      <c r="I105">
        <f>澳门换算01!I104+澳门新定位结果!$P104</f>
        <v>2</v>
      </c>
      <c r="J105" s="1">
        <f>澳门换算01!J104+澳门新定位结果!$P104</f>
        <v>1</v>
      </c>
      <c r="K105">
        <f>澳门换算01!K104+澳门新定位结果!$P104</f>
        <v>2</v>
      </c>
      <c r="L105">
        <f>澳门换算01!L104+澳门新定位结果!$P104</f>
        <v>1</v>
      </c>
      <c r="M105" s="1">
        <f>澳门换算01!M104+澳门新定位结果!$P104</f>
        <v>2</v>
      </c>
      <c r="N105">
        <f>澳门换算01!N104+澳门新定位结果!$P104</f>
        <v>1</v>
      </c>
      <c r="O105">
        <f>澳门换算01!O104+澳门新定位结果!$P104</f>
        <v>2</v>
      </c>
    </row>
    <row r="106" spans="1:15">
      <c r="A106" s="4" t="s">
        <v>229</v>
      </c>
      <c r="B106">
        <f>澳门换算01!B105+澳门新定位结果!$P105</f>
        <v>2</v>
      </c>
      <c r="C106">
        <f>澳门换算01!C105+澳门新定位结果!$P105</f>
        <v>2</v>
      </c>
      <c r="D106" s="1">
        <f>澳门换算01!D105+澳门新定位结果!$P105</f>
        <v>1</v>
      </c>
      <c r="E106">
        <f>澳门换算01!E105+澳门新定位结果!$P105</f>
        <v>2</v>
      </c>
      <c r="F106">
        <f>澳门换算01!F105+澳门新定位结果!$P105</f>
        <v>2</v>
      </c>
      <c r="G106">
        <f>澳门换算01!G105+澳门新定位结果!$P105</f>
        <v>2</v>
      </c>
      <c r="H106">
        <f>澳门换算01!H105+澳门新定位结果!$P105</f>
        <v>1</v>
      </c>
      <c r="I106">
        <f>澳门换算01!I105+澳门新定位结果!$P105</f>
        <v>1</v>
      </c>
      <c r="J106" s="1">
        <f>澳门换算01!J105+澳门新定位结果!$P105</f>
        <v>1</v>
      </c>
      <c r="K106">
        <f>澳门换算01!K105+澳门新定位结果!$P105</f>
        <v>1</v>
      </c>
      <c r="L106">
        <f>澳门换算01!L105+澳门新定位结果!$P105</f>
        <v>1</v>
      </c>
      <c r="M106" s="1">
        <f>澳门换算01!M105+澳门新定位结果!$P105</f>
        <v>1</v>
      </c>
      <c r="N106">
        <f>澳门换算01!N105+澳门新定位结果!$P105</f>
        <v>1</v>
      </c>
      <c r="O106">
        <f>澳门换算01!O105+澳门新定位结果!$P105</f>
        <v>2</v>
      </c>
    </row>
    <row r="107" spans="1:15">
      <c r="A107" s="4" t="s">
        <v>231</v>
      </c>
      <c r="B107">
        <f>澳门换算01!B106+澳门新定位结果!$P106</f>
        <v>1</v>
      </c>
      <c r="C107">
        <f>澳门换算01!C106+澳门新定位结果!$P106</f>
        <v>1</v>
      </c>
      <c r="D107" s="1">
        <f>澳门换算01!D106+澳门新定位结果!$P106</f>
        <v>1</v>
      </c>
      <c r="E107">
        <f>澳门换算01!E106+澳门新定位结果!$P106</f>
        <v>1</v>
      </c>
      <c r="F107">
        <f>澳门换算01!F106+澳门新定位结果!$P106</f>
        <v>1</v>
      </c>
      <c r="G107">
        <f>澳门换算01!G106+澳门新定位结果!$P106</f>
        <v>1</v>
      </c>
      <c r="H107">
        <f>澳门换算01!H106+澳门新定位结果!$P106</f>
        <v>2</v>
      </c>
      <c r="I107">
        <f>澳门换算01!I106+澳门新定位结果!$P106</f>
        <v>2</v>
      </c>
      <c r="J107" s="1">
        <f>澳门换算01!J106+澳门新定位结果!$P106</f>
        <v>1</v>
      </c>
      <c r="K107">
        <f>澳门换算01!K106+澳门新定位结果!$P106</f>
        <v>2</v>
      </c>
      <c r="L107">
        <f>澳门换算01!L106+澳门新定位结果!$P106</f>
        <v>2</v>
      </c>
      <c r="M107" s="1">
        <f>澳门换算01!M106+澳门新定位结果!$P106</f>
        <v>2</v>
      </c>
      <c r="N107">
        <f>澳门换算01!N106+澳门新定位结果!$P106</f>
        <v>1</v>
      </c>
      <c r="O107">
        <f>澳门换算01!O106+澳门新定位结果!$P106</f>
        <v>1</v>
      </c>
    </row>
    <row r="108" spans="1:15">
      <c r="A108" s="4" t="s">
        <v>233</v>
      </c>
      <c r="B108">
        <f>澳门换算01!B107+澳门新定位结果!$P107</f>
        <v>1</v>
      </c>
      <c r="C108">
        <f>澳门换算01!C107+澳门新定位结果!$P107</f>
        <v>1</v>
      </c>
      <c r="D108" s="1">
        <f>澳门换算01!D107+澳门新定位结果!$P107</f>
        <v>1</v>
      </c>
      <c r="E108">
        <f>澳门换算01!E107+澳门新定位结果!$P107</f>
        <v>1</v>
      </c>
      <c r="F108">
        <f>澳门换算01!F107+澳门新定位结果!$P107</f>
        <v>2</v>
      </c>
      <c r="G108">
        <f>澳门换算01!G107+澳门新定位结果!$P107</f>
        <v>2</v>
      </c>
      <c r="H108">
        <f>澳门换算01!H107+澳门新定位结果!$P107</f>
        <v>1</v>
      </c>
      <c r="I108">
        <f>澳门换算01!I107+澳门新定位结果!$P107</f>
        <v>2</v>
      </c>
      <c r="J108" s="1">
        <f>澳门换算01!J107+澳门新定位结果!$P107</f>
        <v>1</v>
      </c>
      <c r="K108">
        <f>澳门换算01!K107+澳门新定位结果!$P107</f>
        <v>1</v>
      </c>
      <c r="L108">
        <f>澳门换算01!L107+澳门新定位结果!$P107</f>
        <v>1</v>
      </c>
      <c r="M108" s="1">
        <f>澳门换算01!M107+澳门新定位结果!$P107</f>
        <v>1</v>
      </c>
      <c r="N108">
        <f>澳门换算01!N107+澳门新定位结果!$P107</f>
        <v>1</v>
      </c>
      <c r="O108">
        <f>澳门换算01!O107+澳门新定位结果!$P107</f>
        <v>1</v>
      </c>
    </row>
    <row r="109" spans="1:15">
      <c r="A109" s="4" t="s">
        <v>235</v>
      </c>
      <c r="B109">
        <f>澳门换算01!B108+澳门新定位结果!$P108</f>
        <v>0</v>
      </c>
      <c r="C109">
        <f>澳门换算01!C108+澳门新定位结果!$P108</f>
        <v>1</v>
      </c>
      <c r="D109" s="1">
        <f>澳门换算01!D108+澳门新定位结果!$P108</f>
        <v>0</v>
      </c>
      <c r="E109">
        <f>澳门换算01!E108+澳门新定位结果!$P108</f>
        <v>0</v>
      </c>
      <c r="F109">
        <f>澳门换算01!F108+澳门新定位结果!$P108</f>
        <v>1</v>
      </c>
      <c r="G109">
        <f>澳门换算01!G108+澳门新定位结果!$P108</f>
        <v>0</v>
      </c>
      <c r="H109">
        <f>澳门换算01!H108+澳门新定位结果!$P108</f>
        <v>1</v>
      </c>
      <c r="I109">
        <f>澳门换算01!I108+澳门新定位结果!$P108</f>
        <v>0</v>
      </c>
      <c r="J109" s="1">
        <f>澳门换算01!J108+澳门新定位结果!$P108</f>
        <v>1</v>
      </c>
      <c r="K109">
        <f>澳门换算01!K108+澳门新定位结果!$P108</f>
        <v>0</v>
      </c>
      <c r="L109">
        <f>澳门换算01!L108+澳门新定位结果!$P108</f>
        <v>0</v>
      </c>
      <c r="M109" s="1">
        <f>澳门换算01!M108+澳门新定位结果!$P108</f>
        <v>1</v>
      </c>
      <c r="N109">
        <f>澳门换算01!N108+澳门新定位结果!$P108</f>
        <v>1</v>
      </c>
      <c r="O109">
        <f>澳门换算01!O108+澳门新定位结果!$P108</f>
        <v>0</v>
      </c>
    </row>
    <row r="110" spans="1:15">
      <c r="A110" s="4" t="s">
        <v>237</v>
      </c>
      <c r="B110">
        <f>澳门换算01!B109+澳门新定位结果!$P109</f>
        <v>1</v>
      </c>
      <c r="C110">
        <f>澳门换算01!C109+澳门新定位结果!$P109</f>
        <v>2</v>
      </c>
      <c r="D110" s="1">
        <f>澳门换算01!D109+澳门新定位结果!$P109</f>
        <v>1</v>
      </c>
      <c r="E110">
        <f>澳门换算01!E109+澳门新定位结果!$P109</f>
        <v>1</v>
      </c>
      <c r="F110">
        <f>澳门换算01!F109+澳门新定位结果!$P109</f>
        <v>2</v>
      </c>
      <c r="G110">
        <f>澳门换算01!G109+澳门新定位结果!$P109</f>
        <v>2</v>
      </c>
      <c r="H110">
        <f>澳门换算01!H109+澳门新定位结果!$P109</f>
        <v>1</v>
      </c>
      <c r="I110">
        <f>澳门换算01!I109+澳门新定位结果!$P109</f>
        <v>2</v>
      </c>
      <c r="J110" s="1">
        <f>澳门换算01!J109+澳门新定位结果!$P109</f>
        <v>1</v>
      </c>
      <c r="K110">
        <f>澳门换算01!K109+澳门新定位结果!$P109</f>
        <v>1</v>
      </c>
      <c r="L110">
        <f>澳门换算01!L109+澳门新定位结果!$P109</f>
        <v>2</v>
      </c>
      <c r="M110" s="1">
        <f>澳门换算01!M109+澳门新定位结果!$P109</f>
        <v>1</v>
      </c>
      <c r="N110">
        <f>澳门换算01!N109+澳门新定位结果!$P109</f>
        <v>1</v>
      </c>
      <c r="O110">
        <f>澳门换算01!O109+澳门新定位结果!$P109</f>
        <v>1</v>
      </c>
    </row>
    <row r="111" spans="1:15">
      <c r="A111" s="4" t="s">
        <v>239</v>
      </c>
      <c r="B111">
        <f>澳门换算01!B110+澳门新定位结果!$P110</f>
        <v>0</v>
      </c>
      <c r="C111">
        <f>澳门换算01!C110+澳门新定位结果!$P110</f>
        <v>0</v>
      </c>
      <c r="D111" s="1">
        <f>澳门换算01!D110+澳门新定位结果!$P110</f>
        <v>0</v>
      </c>
      <c r="E111">
        <f>澳门换算01!E110+澳门新定位结果!$P110</f>
        <v>0</v>
      </c>
      <c r="F111">
        <f>澳门换算01!F110+澳门新定位结果!$P110</f>
        <v>1</v>
      </c>
      <c r="G111">
        <f>澳门换算01!G110+澳门新定位结果!$P110</f>
        <v>1</v>
      </c>
      <c r="H111">
        <f>澳门换算01!H110+澳门新定位结果!$P110</f>
        <v>0</v>
      </c>
      <c r="I111">
        <f>澳门换算01!I110+澳门新定位结果!$P110</f>
        <v>1</v>
      </c>
      <c r="J111" s="1">
        <f>澳门换算01!J110+澳门新定位结果!$P110</f>
        <v>0</v>
      </c>
      <c r="K111">
        <f>澳门换算01!K110+澳门新定位结果!$P110</f>
        <v>0</v>
      </c>
      <c r="L111">
        <f>澳门换算01!L110+澳门新定位结果!$P110</f>
        <v>0</v>
      </c>
      <c r="M111" s="1">
        <f>澳门换算01!M110+澳门新定位结果!$P110</f>
        <v>1</v>
      </c>
      <c r="N111">
        <f>澳门换算01!N110+澳门新定位结果!$P110</f>
        <v>1</v>
      </c>
      <c r="O111">
        <f>澳门换算01!O110+澳门新定位结果!$P110</f>
        <v>0</v>
      </c>
    </row>
    <row r="112" spans="1:15">
      <c r="A112" s="4" t="s">
        <v>241</v>
      </c>
      <c r="B112">
        <f>澳门换算01!B111+澳门新定位结果!$P111</f>
        <v>1</v>
      </c>
      <c r="C112">
        <f>澳门换算01!C111+澳门新定位结果!$P111</f>
        <v>1</v>
      </c>
      <c r="D112" s="1">
        <f>澳门换算01!D111+澳门新定位结果!$P111</f>
        <v>0</v>
      </c>
      <c r="E112">
        <f>澳门换算01!E111+澳门新定位结果!$P111</f>
        <v>1</v>
      </c>
      <c r="F112">
        <f>澳门换算01!F111+澳门新定位结果!$P111</f>
        <v>0</v>
      </c>
      <c r="G112">
        <f>澳门换算01!G111+澳门新定位结果!$P111</f>
        <v>1</v>
      </c>
      <c r="H112">
        <f>澳门换算01!H111+澳门新定位结果!$P111</f>
        <v>1</v>
      </c>
      <c r="I112">
        <f>澳门换算01!I111+澳门新定位结果!$P111</f>
        <v>1</v>
      </c>
      <c r="J112" s="1">
        <f>澳门换算01!J111+澳门新定位结果!$P111</f>
        <v>1</v>
      </c>
      <c r="K112">
        <f>澳门换算01!K111+澳门新定位结果!$P111</f>
        <v>1</v>
      </c>
      <c r="L112">
        <f>澳门换算01!L111+澳门新定位结果!$P111</f>
        <v>1</v>
      </c>
      <c r="M112" s="1">
        <f>澳门换算01!M111+澳门新定位结果!$P111</f>
        <v>1</v>
      </c>
      <c r="N112">
        <f>澳门换算01!N111+澳门新定位结果!$P111</f>
        <v>0</v>
      </c>
      <c r="O112">
        <f>澳门换算01!O111+澳门新定位结果!$P111</f>
        <v>0</v>
      </c>
    </row>
    <row r="113" spans="1:15">
      <c r="A113" s="4" t="s">
        <v>243</v>
      </c>
      <c r="B113">
        <f>澳门换算01!B112+澳门新定位结果!$P112</f>
        <v>1</v>
      </c>
      <c r="C113">
        <f>澳门换算01!C112+澳门新定位结果!$P112</f>
        <v>2</v>
      </c>
      <c r="D113" s="1">
        <f>澳门换算01!D112+澳门新定位结果!$P112</f>
        <v>1</v>
      </c>
      <c r="E113">
        <f>澳门换算01!E112+澳门新定位结果!$P112</f>
        <v>1</v>
      </c>
      <c r="F113">
        <f>澳门换算01!F112+澳门新定位结果!$P112</f>
        <v>1</v>
      </c>
      <c r="G113">
        <f>澳门换算01!G112+澳门新定位结果!$P112</f>
        <v>1</v>
      </c>
      <c r="H113">
        <f>澳门换算01!H112+澳门新定位结果!$P112</f>
        <v>1</v>
      </c>
      <c r="I113">
        <f>澳门换算01!I112+澳门新定位结果!$P112</f>
        <v>2</v>
      </c>
      <c r="J113" s="1">
        <f>澳门换算01!J112+澳门新定位结果!$P112</f>
        <v>1</v>
      </c>
      <c r="K113">
        <f>澳门换算01!K112+澳门新定位结果!$P112</f>
        <v>2</v>
      </c>
      <c r="L113">
        <f>澳门换算01!L112+澳门新定位结果!$P112</f>
        <v>2</v>
      </c>
      <c r="M113" s="1">
        <f>澳门换算01!M112+澳门新定位结果!$P112</f>
        <v>1</v>
      </c>
      <c r="N113">
        <f>澳门换算01!N112+澳门新定位结果!$P112</f>
        <v>1</v>
      </c>
      <c r="O113">
        <f>澳门换算01!O112+澳门新定位结果!$P112</f>
        <v>2</v>
      </c>
    </row>
    <row r="114" spans="1:15">
      <c r="A114" s="4" t="s">
        <v>245</v>
      </c>
      <c r="B114">
        <f>澳门换算01!B113+澳门新定位结果!$P113</f>
        <v>1</v>
      </c>
      <c r="C114">
        <f>澳门换算01!C113+澳门新定位结果!$P113</f>
        <v>1</v>
      </c>
      <c r="D114" s="1">
        <f>澳门换算01!D113+澳门新定位结果!$P113</f>
        <v>1</v>
      </c>
      <c r="E114">
        <f>澳门换算01!E113+澳门新定位结果!$P113</f>
        <v>1</v>
      </c>
      <c r="F114">
        <f>澳门换算01!F113+澳门新定位结果!$P113</f>
        <v>2</v>
      </c>
      <c r="G114">
        <f>澳门换算01!G113+澳门新定位结果!$P113</f>
        <v>1</v>
      </c>
      <c r="H114">
        <f>澳门换算01!H113+澳门新定位结果!$P113</f>
        <v>1</v>
      </c>
      <c r="I114">
        <f>澳门换算01!I113+澳门新定位结果!$P113</f>
        <v>1</v>
      </c>
      <c r="J114" s="1">
        <f>澳门换算01!J113+澳门新定位结果!$P113</f>
        <v>1</v>
      </c>
      <c r="K114">
        <f>澳门换算01!K113+澳门新定位结果!$P113</f>
        <v>1</v>
      </c>
      <c r="L114">
        <f>澳门换算01!L113+澳门新定位结果!$P113</f>
        <v>1</v>
      </c>
      <c r="M114" s="1">
        <f>澳门换算01!M113+澳门新定位结果!$P113</f>
        <v>1</v>
      </c>
      <c r="N114">
        <f>澳门换算01!N113+澳门新定位结果!$P113</f>
        <v>1</v>
      </c>
      <c r="O114">
        <f>澳门换算01!O113+澳门新定位结果!$P113</f>
        <v>1</v>
      </c>
    </row>
    <row r="115" spans="1:15">
      <c r="A115" s="4" t="s">
        <v>247</v>
      </c>
      <c r="B115">
        <f>澳门换算01!B114+澳门新定位结果!$P114</f>
        <v>1</v>
      </c>
      <c r="C115">
        <f>澳门换算01!C114+澳门新定位结果!$P114</f>
        <v>0</v>
      </c>
      <c r="D115" s="1">
        <f>澳门换算01!D114+澳门新定位结果!$P114</f>
        <v>0</v>
      </c>
      <c r="E115">
        <f>澳门换算01!E114+澳门新定位结果!$P114</f>
        <v>0</v>
      </c>
      <c r="F115">
        <f>澳门换算01!F114+澳门新定位结果!$P114</f>
        <v>0</v>
      </c>
      <c r="G115">
        <f>澳门换算01!G114+澳门新定位结果!$P114</f>
        <v>0</v>
      </c>
      <c r="H115">
        <f>澳门换算01!H114+澳门新定位结果!$P114</f>
        <v>0</v>
      </c>
      <c r="I115">
        <f>澳门换算01!I114+澳门新定位结果!$P114</f>
        <v>0</v>
      </c>
      <c r="J115" s="1">
        <f>澳门换算01!J114+澳门新定位结果!$P114</f>
        <v>0</v>
      </c>
      <c r="K115">
        <f>澳门换算01!K114+澳门新定位结果!$P114</f>
        <v>0</v>
      </c>
      <c r="L115">
        <f>澳门换算01!L114+澳门新定位结果!$P114</f>
        <v>0</v>
      </c>
      <c r="M115" s="1">
        <f>澳门换算01!M114+澳门新定位结果!$P114</f>
        <v>0</v>
      </c>
      <c r="N115">
        <f>澳门换算01!N114+澳门新定位结果!$P114</f>
        <v>1</v>
      </c>
      <c r="O115">
        <f>澳门换算01!O114+澳门新定位结果!$P114</f>
        <v>1</v>
      </c>
    </row>
    <row r="116" spans="1:15">
      <c r="A116" s="4" t="s">
        <v>249</v>
      </c>
      <c r="B116">
        <f>澳门换算01!B115+澳门新定位结果!$P115</f>
        <v>0</v>
      </c>
      <c r="C116">
        <f>澳门换算01!C115+澳门新定位结果!$P115</f>
        <v>0</v>
      </c>
      <c r="D116" s="1">
        <f>澳门换算01!D115+澳门新定位结果!$P115</f>
        <v>0</v>
      </c>
      <c r="E116">
        <f>澳门换算01!E115+澳门新定位结果!$P115</f>
        <v>0</v>
      </c>
      <c r="F116">
        <f>澳门换算01!F115+澳门新定位结果!$P115</f>
        <v>0</v>
      </c>
      <c r="G116">
        <f>澳门换算01!G115+澳门新定位结果!$P115</f>
        <v>1</v>
      </c>
      <c r="H116">
        <f>澳门换算01!H115+澳门新定位结果!$P115</f>
        <v>0</v>
      </c>
      <c r="I116">
        <f>澳门换算01!I115+澳门新定位结果!$P115</f>
        <v>1</v>
      </c>
      <c r="J116" s="1">
        <f>澳门换算01!J115+澳门新定位结果!$P115</f>
        <v>0</v>
      </c>
      <c r="K116">
        <f>澳门换算01!K115+澳门新定位结果!$P115</f>
        <v>1</v>
      </c>
      <c r="L116">
        <f>澳门换算01!L115+澳门新定位结果!$P115</f>
        <v>0</v>
      </c>
      <c r="M116" s="1">
        <f>澳门换算01!M115+澳门新定位结果!$P115</f>
        <v>0</v>
      </c>
      <c r="N116">
        <f>澳门换算01!N115+澳门新定位结果!$P115</f>
        <v>0</v>
      </c>
      <c r="O116">
        <f>澳门换算01!O115+澳门新定位结果!$P115</f>
        <v>0</v>
      </c>
    </row>
    <row r="117" spans="1:15">
      <c r="A117" s="4" t="s">
        <v>251</v>
      </c>
      <c r="B117">
        <f>澳门换算01!B116+澳门新定位结果!$P116</f>
        <v>1</v>
      </c>
      <c r="C117">
        <f>澳门换算01!C116+澳门新定位结果!$P116</f>
        <v>1</v>
      </c>
      <c r="D117" s="1">
        <f>澳门换算01!D116+澳门新定位结果!$P116</f>
        <v>1</v>
      </c>
      <c r="E117">
        <f>澳门换算01!E116+澳门新定位结果!$P116</f>
        <v>1</v>
      </c>
      <c r="F117">
        <f>澳门换算01!F116+澳门新定位结果!$P116</f>
        <v>1</v>
      </c>
      <c r="G117">
        <f>澳门换算01!G116+澳门新定位结果!$P116</f>
        <v>1</v>
      </c>
      <c r="H117">
        <f>澳门换算01!H116+澳门新定位结果!$P116</f>
        <v>2</v>
      </c>
      <c r="I117">
        <f>澳门换算01!I116+澳门新定位结果!$P116</f>
        <v>2</v>
      </c>
      <c r="J117" s="1">
        <f>澳门换算01!J116+澳门新定位结果!$P116</f>
        <v>2</v>
      </c>
      <c r="K117">
        <f>澳门换算01!K116+澳门新定位结果!$P116</f>
        <v>2</v>
      </c>
      <c r="L117">
        <f>澳门换算01!L116+澳门新定位结果!$P116</f>
        <v>2</v>
      </c>
      <c r="M117" s="1">
        <f>澳门换算01!M116+澳门新定位结果!$P116</f>
        <v>2</v>
      </c>
      <c r="N117">
        <f>澳门换算01!N116+澳门新定位结果!$P116</f>
        <v>2</v>
      </c>
      <c r="O117">
        <f>澳门换算01!O116+澳门新定位结果!$P116</f>
        <v>1</v>
      </c>
    </row>
    <row r="118" spans="1:15">
      <c r="A118" s="4" t="s">
        <v>253</v>
      </c>
      <c r="B118">
        <f>澳门换算01!B117+澳门新定位结果!$P117</f>
        <v>2</v>
      </c>
      <c r="C118">
        <f>澳门换算01!C117+澳门新定位结果!$P117</f>
        <v>1</v>
      </c>
      <c r="D118" s="1">
        <f>澳门换算01!D117+澳门新定位结果!$P117</f>
        <v>1</v>
      </c>
      <c r="E118">
        <f>澳门换算01!E117+澳门新定位结果!$P117</f>
        <v>2</v>
      </c>
      <c r="F118">
        <f>澳门换算01!F117+澳门新定位结果!$P117</f>
        <v>2</v>
      </c>
      <c r="G118">
        <f>澳门换算01!G117+澳门新定位结果!$P117</f>
        <v>1</v>
      </c>
      <c r="H118">
        <f>澳门换算01!H117+澳门新定位结果!$P117</f>
        <v>1</v>
      </c>
      <c r="I118">
        <f>澳门换算01!I117+澳门新定位结果!$P117</f>
        <v>1</v>
      </c>
      <c r="J118" s="1">
        <f>澳门换算01!J117+澳门新定位结果!$P117</f>
        <v>1</v>
      </c>
      <c r="K118">
        <f>澳门换算01!K117+澳门新定位结果!$P117</f>
        <v>1</v>
      </c>
      <c r="L118">
        <f>澳门换算01!L117+澳门新定位结果!$P117</f>
        <v>2</v>
      </c>
      <c r="M118" s="1">
        <f>澳门换算01!M117+澳门新定位结果!$P117</f>
        <v>1</v>
      </c>
      <c r="N118">
        <f>澳门换算01!N117+澳门新定位结果!$P117</f>
        <v>1</v>
      </c>
      <c r="O118">
        <f>澳门换算01!O117+澳门新定位结果!$P117</f>
        <v>2</v>
      </c>
    </row>
    <row r="119" spans="1:15">
      <c r="A119" s="4" t="s">
        <v>255</v>
      </c>
      <c r="B119">
        <f>澳门换算01!B118+澳门新定位结果!$P118</f>
        <v>1</v>
      </c>
      <c r="C119">
        <f>澳门换算01!C118+澳门新定位结果!$P118</f>
        <v>2</v>
      </c>
      <c r="D119" s="1">
        <f>澳门换算01!D118+澳门新定位结果!$P118</f>
        <v>2</v>
      </c>
      <c r="E119">
        <f>澳门换算01!E118+澳门新定位结果!$P118</f>
        <v>2</v>
      </c>
      <c r="F119">
        <f>澳门换算01!F118+澳门新定位结果!$P118</f>
        <v>2</v>
      </c>
      <c r="G119">
        <f>澳门换算01!G118+澳门新定位结果!$P118</f>
        <v>1</v>
      </c>
      <c r="H119">
        <f>澳门换算01!H118+澳门新定位结果!$P118</f>
        <v>2</v>
      </c>
      <c r="I119">
        <f>澳门换算01!I118+澳门新定位结果!$P118</f>
        <v>2</v>
      </c>
      <c r="J119" s="1">
        <f>澳门换算01!J118+澳门新定位结果!$P118</f>
        <v>1</v>
      </c>
      <c r="K119">
        <f>澳门换算01!K118+澳门新定位结果!$P118</f>
        <v>2</v>
      </c>
      <c r="L119">
        <f>澳门换算01!L118+澳门新定位结果!$P118</f>
        <v>1</v>
      </c>
      <c r="M119" s="1">
        <f>澳门换算01!M118+澳门新定位结果!$P118</f>
        <v>2</v>
      </c>
      <c r="N119">
        <f>澳门换算01!N118+澳门新定位结果!$P118</f>
        <v>2</v>
      </c>
      <c r="O119">
        <f>澳门换算01!O118+澳门新定位结果!$P118</f>
        <v>2</v>
      </c>
    </row>
    <row r="120" spans="1:15">
      <c r="A120" s="4" t="s">
        <v>257</v>
      </c>
      <c r="B120">
        <f>澳门换算01!B119+澳门新定位结果!$P119</f>
        <v>1</v>
      </c>
      <c r="C120">
        <f>澳门换算01!C119+澳门新定位结果!$P119</f>
        <v>0</v>
      </c>
      <c r="D120" s="1">
        <f>澳门换算01!D119+澳门新定位结果!$P119</f>
        <v>1</v>
      </c>
      <c r="E120">
        <f>澳门换算01!E119+澳门新定位结果!$P119</f>
        <v>1</v>
      </c>
      <c r="F120">
        <f>澳门换算01!F119+澳门新定位结果!$P119</f>
        <v>0</v>
      </c>
      <c r="G120">
        <f>澳门换算01!G119+澳门新定位结果!$P119</f>
        <v>1</v>
      </c>
      <c r="H120">
        <f>澳门换算01!H119+澳门新定位结果!$P119</f>
        <v>1</v>
      </c>
      <c r="I120">
        <f>澳门换算01!I119+澳门新定位结果!$P119</f>
        <v>0</v>
      </c>
      <c r="J120" s="1">
        <f>澳门换算01!J119+澳门新定位结果!$P119</f>
        <v>0</v>
      </c>
      <c r="K120">
        <f>澳门换算01!K119+澳门新定位结果!$P119</f>
        <v>0</v>
      </c>
      <c r="L120">
        <f>澳门换算01!L119+澳门新定位结果!$P119</f>
        <v>0</v>
      </c>
      <c r="M120" s="1">
        <f>澳门换算01!M119+澳门新定位结果!$P119</f>
        <v>0</v>
      </c>
      <c r="N120">
        <f>澳门换算01!N119+澳门新定位结果!$P119</f>
        <v>0</v>
      </c>
      <c r="O120">
        <f>澳门换算01!O119+澳门新定位结果!$P119</f>
        <v>1</v>
      </c>
    </row>
    <row r="121" spans="1:15">
      <c r="A121" s="4" t="s">
        <v>259</v>
      </c>
      <c r="B121">
        <f>澳门换算01!B120+澳门新定位结果!$P120</f>
        <v>1</v>
      </c>
      <c r="C121">
        <f>澳门换算01!C120+澳门新定位结果!$P120</f>
        <v>1</v>
      </c>
      <c r="D121" s="1">
        <f>澳门换算01!D120+澳门新定位结果!$P120</f>
        <v>2</v>
      </c>
      <c r="E121">
        <f>澳门换算01!E120+澳门新定位结果!$P120</f>
        <v>1</v>
      </c>
      <c r="F121">
        <f>澳门换算01!F120+澳门新定位结果!$P120</f>
        <v>2</v>
      </c>
      <c r="G121">
        <f>澳门换算01!G120+澳门新定位结果!$P120</f>
        <v>1</v>
      </c>
      <c r="H121">
        <f>澳门换算01!H120+澳门新定位结果!$P120</f>
        <v>1</v>
      </c>
      <c r="I121">
        <f>澳门换算01!I120+澳门新定位结果!$P120</f>
        <v>1</v>
      </c>
      <c r="J121" s="1">
        <f>澳门换算01!J120+澳门新定位结果!$P120</f>
        <v>1</v>
      </c>
      <c r="K121">
        <f>澳门换算01!K120+澳门新定位结果!$P120</f>
        <v>1</v>
      </c>
      <c r="L121">
        <f>澳门换算01!L120+澳门新定位结果!$P120</f>
        <v>2</v>
      </c>
      <c r="M121" s="1">
        <f>澳门换算01!M120+澳门新定位结果!$P120</f>
        <v>1</v>
      </c>
      <c r="N121">
        <f>澳门换算01!N120+澳门新定位结果!$P120</f>
        <v>2</v>
      </c>
      <c r="O121">
        <f>澳门换算01!O120+澳门新定位结果!$P120</f>
        <v>2</v>
      </c>
    </row>
    <row r="122" spans="1:15">
      <c r="A122" s="4" t="s">
        <v>261</v>
      </c>
      <c r="B122">
        <f>澳门换算01!B121+澳门新定位结果!$P121</f>
        <v>1</v>
      </c>
      <c r="C122">
        <f>澳门换算01!C121+澳门新定位结果!$P121</f>
        <v>1</v>
      </c>
      <c r="D122" s="1">
        <f>澳门换算01!D121+澳门新定位结果!$P121</f>
        <v>0</v>
      </c>
      <c r="E122">
        <f>澳门换算01!E121+澳门新定位结果!$P121</f>
        <v>0</v>
      </c>
      <c r="F122">
        <f>澳门换算01!F121+澳门新定位结果!$P121</f>
        <v>0</v>
      </c>
      <c r="G122">
        <f>澳门换算01!G121+澳门新定位结果!$P121</f>
        <v>0</v>
      </c>
      <c r="H122">
        <f>澳门换算01!H121+澳门新定位结果!$P121</f>
        <v>1</v>
      </c>
      <c r="I122">
        <f>澳门换算01!I121+澳门新定位结果!$P121</f>
        <v>1</v>
      </c>
      <c r="J122" s="1">
        <f>澳门换算01!J121+澳门新定位结果!$P121</f>
        <v>1</v>
      </c>
      <c r="K122">
        <f>澳门换算01!K121+澳门新定位结果!$P121</f>
        <v>1</v>
      </c>
      <c r="L122">
        <f>澳门换算01!L121+澳门新定位结果!$P121</f>
        <v>1</v>
      </c>
      <c r="M122" s="1">
        <f>澳门换算01!M121+澳门新定位结果!$P121</f>
        <v>0</v>
      </c>
      <c r="N122">
        <f>澳门换算01!N121+澳门新定位结果!$P121</f>
        <v>0</v>
      </c>
      <c r="O122">
        <f>澳门换算01!O121+澳门新定位结果!$P121</f>
        <v>0</v>
      </c>
    </row>
    <row r="123" spans="1:15">
      <c r="A123" s="4" t="s">
        <v>263</v>
      </c>
      <c r="B123">
        <f>澳门换算01!B122+澳门新定位结果!$P122</f>
        <v>1</v>
      </c>
      <c r="C123">
        <f>澳门换算01!C122+澳门新定位结果!$P122</f>
        <v>1</v>
      </c>
      <c r="D123" s="1">
        <f>澳门换算01!D122+澳门新定位结果!$P122</f>
        <v>0</v>
      </c>
      <c r="E123">
        <f>澳门换算01!E122+澳门新定位结果!$P122</f>
        <v>0</v>
      </c>
      <c r="F123">
        <f>澳门换算01!F122+澳门新定位结果!$P122</f>
        <v>1</v>
      </c>
      <c r="G123">
        <f>澳门换算01!G122+澳门新定位结果!$P122</f>
        <v>0</v>
      </c>
      <c r="H123">
        <f>澳门换算01!H122+澳门新定位结果!$P122</f>
        <v>1</v>
      </c>
      <c r="I123">
        <f>澳门换算01!I122+澳门新定位结果!$P122</f>
        <v>1</v>
      </c>
      <c r="J123" s="1">
        <f>澳门换算01!J122+澳门新定位结果!$P122</f>
        <v>0</v>
      </c>
      <c r="K123">
        <f>澳门换算01!K122+澳门新定位结果!$P122</f>
        <v>1</v>
      </c>
      <c r="L123">
        <f>澳门换算01!L122+澳门新定位结果!$P122</f>
        <v>0</v>
      </c>
      <c r="M123" s="1">
        <f>澳门换算01!M122+澳门新定位结果!$P122</f>
        <v>0</v>
      </c>
      <c r="N123">
        <f>澳门换算01!N122+澳门新定位结果!$P122</f>
        <v>0</v>
      </c>
      <c r="O123">
        <f>澳门换算01!O122+澳门新定位结果!$P122</f>
        <v>1</v>
      </c>
    </row>
    <row r="124" spans="1:15">
      <c r="A124" s="4" t="s">
        <v>265</v>
      </c>
      <c r="B124">
        <f>澳门换算01!B123+澳门新定位结果!$P123</f>
        <v>2</v>
      </c>
      <c r="C124">
        <f>澳门换算01!C123+澳门新定位结果!$P123</f>
        <v>1</v>
      </c>
      <c r="D124" s="1">
        <f>澳门换算01!D123+澳门新定位结果!$P123</f>
        <v>1</v>
      </c>
      <c r="E124">
        <f>澳门换算01!E123+澳门新定位结果!$P123</f>
        <v>2</v>
      </c>
      <c r="F124">
        <f>澳门换算01!F123+澳门新定位结果!$P123</f>
        <v>1</v>
      </c>
      <c r="G124">
        <f>澳门换算01!G123+澳门新定位结果!$P123</f>
        <v>1</v>
      </c>
      <c r="H124">
        <f>澳门换算01!H123+澳门新定位结果!$P123</f>
        <v>1</v>
      </c>
      <c r="I124">
        <f>澳门换算01!I123+澳门新定位结果!$P123</f>
        <v>1</v>
      </c>
      <c r="J124" s="1">
        <f>澳门换算01!J123+澳门新定位结果!$P123</f>
        <v>2</v>
      </c>
      <c r="K124">
        <f>澳门换算01!K123+澳门新定位结果!$P123</f>
        <v>1</v>
      </c>
      <c r="L124">
        <f>澳门换算01!L123+澳门新定位结果!$P123</f>
        <v>2</v>
      </c>
      <c r="M124" s="1">
        <f>澳门换算01!M123+澳门新定位结果!$P123</f>
        <v>1</v>
      </c>
      <c r="N124">
        <f>澳门换算01!N123+澳门新定位结果!$P123</f>
        <v>2</v>
      </c>
      <c r="O124">
        <f>澳门换算01!O123+澳门新定位结果!$P123</f>
        <v>1</v>
      </c>
    </row>
    <row r="125" spans="1:15">
      <c r="A125" s="4" t="s">
        <v>267</v>
      </c>
      <c r="B125">
        <f>澳门换算01!B124+澳门新定位结果!$P124</f>
        <v>1</v>
      </c>
      <c r="C125">
        <f>澳门换算01!C124+澳门新定位结果!$P124</f>
        <v>2</v>
      </c>
      <c r="D125" s="1">
        <f>澳门换算01!D124+澳门新定位结果!$P124</f>
        <v>1</v>
      </c>
      <c r="E125">
        <f>澳门换算01!E124+澳门新定位结果!$P124</f>
        <v>2</v>
      </c>
      <c r="F125">
        <f>澳门换算01!F124+澳门新定位结果!$P124</f>
        <v>1</v>
      </c>
      <c r="G125">
        <f>澳门换算01!G124+澳门新定位结果!$P124</f>
        <v>2</v>
      </c>
      <c r="H125">
        <f>澳门换算01!H124+澳门新定位结果!$P124</f>
        <v>2</v>
      </c>
      <c r="I125">
        <f>澳门换算01!I124+澳门新定位结果!$P124</f>
        <v>2</v>
      </c>
      <c r="J125" s="1">
        <f>澳门换算01!J124+澳门新定位结果!$P124</f>
        <v>1</v>
      </c>
      <c r="K125">
        <f>澳门换算01!K124+澳门新定位结果!$P124</f>
        <v>2</v>
      </c>
      <c r="L125">
        <f>澳门换算01!L124+澳门新定位结果!$P124</f>
        <v>2</v>
      </c>
      <c r="M125" s="1">
        <f>澳门换算01!M124+澳门新定位结果!$P124</f>
        <v>1</v>
      </c>
      <c r="N125">
        <f>澳门换算01!N124+澳门新定位结果!$P124</f>
        <v>1</v>
      </c>
      <c r="O125">
        <f>澳门换算01!O124+澳门新定位结果!$P124</f>
        <v>1</v>
      </c>
    </row>
    <row r="126" spans="1:15">
      <c r="A126" s="4" t="s">
        <v>269</v>
      </c>
      <c r="B126">
        <f>澳门换算01!B125+澳门新定位结果!$P125</f>
        <v>2</v>
      </c>
      <c r="C126">
        <f>澳门换算01!C125+澳门新定位结果!$P125</f>
        <v>2</v>
      </c>
      <c r="D126" s="1">
        <f>澳门换算01!D125+澳门新定位结果!$P125</f>
        <v>1</v>
      </c>
      <c r="E126">
        <f>澳门换算01!E125+澳门新定位结果!$P125</f>
        <v>1</v>
      </c>
      <c r="F126">
        <f>澳门换算01!F125+澳门新定位结果!$P125</f>
        <v>2</v>
      </c>
      <c r="G126">
        <f>澳门换算01!G125+澳门新定位结果!$P125</f>
        <v>1</v>
      </c>
      <c r="H126">
        <f>澳门换算01!H125+澳门新定位结果!$P125</f>
        <v>1</v>
      </c>
      <c r="I126">
        <f>澳门换算01!I125+澳门新定位结果!$P125</f>
        <v>1</v>
      </c>
      <c r="J126" s="1">
        <f>澳门换算01!J125+澳门新定位结果!$P125</f>
        <v>1</v>
      </c>
      <c r="K126">
        <f>澳门换算01!K125+澳门新定位结果!$P125</f>
        <v>1</v>
      </c>
      <c r="L126">
        <f>澳门换算01!L125+澳门新定位结果!$P125</f>
        <v>1</v>
      </c>
      <c r="M126" s="1">
        <f>澳门换算01!M125+澳门新定位结果!$P125</f>
        <v>1</v>
      </c>
      <c r="N126">
        <f>澳门换算01!N125+澳门新定位结果!$P125</f>
        <v>2</v>
      </c>
      <c r="O126">
        <f>澳门换算01!O125+澳门新定位结果!$P125</f>
        <v>2</v>
      </c>
    </row>
    <row r="127" spans="1:15">
      <c r="A127" s="4" t="s">
        <v>271</v>
      </c>
      <c r="B127">
        <f>澳门换算01!B126+澳门新定位结果!$P126</f>
        <v>0</v>
      </c>
      <c r="C127">
        <f>澳门换算01!C126+澳门新定位结果!$P126</f>
        <v>1</v>
      </c>
      <c r="D127" s="1">
        <f>澳门换算01!D126+澳门新定位结果!$P126</f>
        <v>0</v>
      </c>
      <c r="E127">
        <f>澳门换算01!E126+澳门新定位结果!$P126</f>
        <v>1</v>
      </c>
      <c r="F127">
        <f>澳门换算01!F126+澳门新定位结果!$P126</f>
        <v>0</v>
      </c>
      <c r="G127">
        <f>澳门换算01!G126+澳门新定位结果!$P126</f>
        <v>1</v>
      </c>
      <c r="H127">
        <f>澳门换算01!H126+澳门新定位结果!$P126</f>
        <v>1</v>
      </c>
      <c r="I127">
        <f>澳门换算01!I126+澳门新定位结果!$P126</f>
        <v>1</v>
      </c>
      <c r="J127" s="1">
        <f>澳门换算01!J126+澳门新定位结果!$P126</f>
        <v>1</v>
      </c>
      <c r="K127">
        <f>澳门换算01!K126+澳门新定位结果!$P126</f>
        <v>0</v>
      </c>
      <c r="L127">
        <f>澳门换算01!L126+澳门新定位结果!$P126</f>
        <v>1</v>
      </c>
      <c r="M127" s="1">
        <f>澳门换算01!M126+澳门新定位结果!$P126</f>
        <v>1</v>
      </c>
      <c r="N127">
        <f>澳门换算01!N126+澳门新定位结果!$P126</f>
        <v>0</v>
      </c>
      <c r="O127">
        <f>澳门换算01!O126+澳门新定位结果!$P126</f>
        <v>0</v>
      </c>
    </row>
    <row r="128" spans="1:15">
      <c r="A128" s="4" t="s">
        <v>273</v>
      </c>
      <c r="B128">
        <f>澳门换算01!B127+澳门新定位结果!$P127</f>
        <v>0</v>
      </c>
      <c r="C128">
        <f>澳门换算01!C127+澳门新定位结果!$P127</f>
        <v>0</v>
      </c>
      <c r="D128" s="1">
        <f>澳门换算01!D127+澳门新定位结果!$P127</f>
        <v>0</v>
      </c>
      <c r="E128">
        <f>澳门换算01!E127+澳门新定位结果!$P127</f>
        <v>1</v>
      </c>
      <c r="F128">
        <f>澳门换算01!F127+澳门新定位结果!$P127</f>
        <v>1</v>
      </c>
      <c r="G128">
        <f>澳门换算01!G127+澳门新定位结果!$P127</f>
        <v>0</v>
      </c>
      <c r="H128">
        <f>澳门换算01!H127+澳门新定位结果!$P127</f>
        <v>0</v>
      </c>
      <c r="I128">
        <f>澳门换算01!I127+澳门新定位结果!$P127</f>
        <v>1</v>
      </c>
      <c r="J128" s="1">
        <f>澳门换算01!J127+澳门新定位结果!$P127</f>
        <v>1</v>
      </c>
      <c r="K128">
        <f>澳门换算01!K127+澳门新定位结果!$P127</f>
        <v>1</v>
      </c>
      <c r="L128">
        <f>澳门换算01!L127+澳门新定位结果!$P127</f>
        <v>1</v>
      </c>
      <c r="M128" s="1">
        <f>澳门换算01!M127+澳门新定位结果!$P127</f>
        <v>0</v>
      </c>
      <c r="N128">
        <f>澳门换算01!N127+澳门新定位结果!$P127</f>
        <v>0</v>
      </c>
      <c r="O128">
        <f>澳门换算01!O127+澳门新定位结果!$P127</f>
        <v>1</v>
      </c>
    </row>
    <row r="129" spans="1:15">
      <c r="A129" s="4" t="s">
        <v>275</v>
      </c>
      <c r="B129">
        <f>澳门换算01!B128+澳门新定位结果!$P128</f>
        <v>1</v>
      </c>
      <c r="C129">
        <f>澳门换算01!C128+澳门新定位结果!$P128</f>
        <v>2</v>
      </c>
      <c r="D129" s="1">
        <f>澳门换算01!D128+澳门新定位结果!$P128</f>
        <v>2</v>
      </c>
      <c r="E129">
        <f>澳门换算01!E128+澳门新定位结果!$P128</f>
        <v>1</v>
      </c>
      <c r="F129">
        <f>澳门换算01!F128+澳门新定位结果!$P128</f>
        <v>1</v>
      </c>
      <c r="G129">
        <f>澳门换算01!G128+澳门新定位结果!$P128</f>
        <v>1</v>
      </c>
      <c r="H129">
        <f>澳门换算01!H128+澳门新定位结果!$P128</f>
        <v>1</v>
      </c>
      <c r="I129">
        <f>澳门换算01!I128+澳门新定位结果!$P128</f>
        <v>2</v>
      </c>
      <c r="J129" s="1">
        <f>澳门换算01!J128+澳门新定位结果!$P128</f>
        <v>2</v>
      </c>
      <c r="K129">
        <f>澳门换算01!K128+澳门新定位结果!$P128</f>
        <v>2</v>
      </c>
      <c r="L129">
        <f>澳门换算01!L128+澳门新定位结果!$P128</f>
        <v>2</v>
      </c>
      <c r="M129" s="1">
        <f>澳门换算01!M128+澳门新定位结果!$P128</f>
        <v>2</v>
      </c>
      <c r="N129">
        <f>澳门换算01!N128+澳门新定位结果!$P128</f>
        <v>1</v>
      </c>
      <c r="O129">
        <f>澳门换算01!O128+澳门新定位结果!$P128</f>
        <v>2</v>
      </c>
    </row>
    <row r="130" spans="1:15">
      <c r="A130" s="4" t="s">
        <v>277</v>
      </c>
      <c r="B130">
        <f>澳门换算01!B129+澳门新定位结果!$P129</f>
        <v>1</v>
      </c>
      <c r="C130">
        <f>澳门换算01!C129+澳门新定位结果!$P129</f>
        <v>2</v>
      </c>
      <c r="D130" s="1">
        <f>澳门换算01!D129+澳门新定位结果!$P129</f>
        <v>2</v>
      </c>
      <c r="E130">
        <f>澳门换算01!E129+澳门新定位结果!$P129</f>
        <v>2</v>
      </c>
      <c r="F130">
        <f>澳门换算01!F129+澳门新定位结果!$P129</f>
        <v>1</v>
      </c>
      <c r="G130">
        <f>澳门换算01!G129+澳门新定位结果!$P129</f>
        <v>2</v>
      </c>
      <c r="H130">
        <f>澳门换算01!H129+澳门新定位结果!$P129</f>
        <v>1</v>
      </c>
      <c r="I130">
        <f>澳门换算01!I129+澳门新定位结果!$P129</f>
        <v>2</v>
      </c>
      <c r="J130" s="1">
        <f>澳门换算01!J129+澳门新定位结果!$P129</f>
        <v>1</v>
      </c>
      <c r="K130">
        <f>澳门换算01!K129+澳门新定位结果!$P129</f>
        <v>2</v>
      </c>
      <c r="L130">
        <f>澳门换算01!L129+澳门新定位结果!$P129</f>
        <v>2</v>
      </c>
      <c r="M130" s="1">
        <f>澳门换算01!M129+澳门新定位结果!$P129</f>
        <v>1</v>
      </c>
      <c r="N130">
        <f>澳门换算01!N129+澳门新定位结果!$P129</f>
        <v>1</v>
      </c>
      <c r="O130">
        <f>澳门换算01!O129+澳门新定位结果!$P129</f>
        <v>2</v>
      </c>
    </row>
    <row r="131" spans="1:15">
      <c r="A131" s="4" t="s">
        <v>279</v>
      </c>
      <c r="B131">
        <f>澳门换算01!B130+澳门新定位结果!$P130</f>
        <v>2</v>
      </c>
      <c r="C131">
        <f>澳门换算01!C130+澳门新定位结果!$P130</f>
        <v>1</v>
      </c>
      <c r="D131" s="1">
        <f>澳门换算01!D130+澳门新定位结果!$P130</f>
        <v>2</v>
      </c>
      <c r="E131">
        <f>澳门换算01!E130+澳门新定位结果!$P130</f>
        <v>2</v>
      </c>
      <c r="F131">
        <f>澳门换算01!F130+澳门新定位结果!$P130</f>
        <v>2</v>
      </c>
      <c r="G131">
        <f>澳门换算01!G130+澳门新定位结果!$P130</f>
        <v>2</v>
      </c>
      <c r="H131">
        <f>澳门换算01!H130+澳门新定位结果!$P130</f>
        <v>1</v>
      </c>
      <c r="I131">
        <f>澳门换算01!I130+澳门新定位结果!$P130</f>
        <v>1</v>
      </c>
      <c r="J131" s="1">
        <f>澳门换算01!J130+澳门新定位结果!$P130</f>
        <v>2</v>
      </c>
      <c r="K131">
        <f>澳门换算01!K130+澳门新定位结果!$P130</f>
        <v>1</v>
      </c>
      <c r="L131">
        <f>澳门换算01!L130+澳门新定位结果!$P130</f>
        <v>1</v>
      </c>
      <c r="M131" s="1">
        <f>澳门换算01!M130+澳门新定位结果!$P130</f>
        <v>2</v>
      </c>
      <c r="N131">
        <f>澳门换算01!N130+澳门新定位结果!$P130</f>
        <v>1</v>
      </c>
      <c r="O131">
        <f>澳门换算01!O130+澳门新定位结果!$P130</f>
        <v>2</v>
      </c>
    </row>
    <row r="132" spans="1:15">
      <c r="A132" s="4" t="s">
        <v>281</v>
      </c>
      <c r="B132">
        <f>澳门换算01!B131+澳门新定位结果!$P131</f>
        <v>2</v>
      </c>
      <c r="C132">
        <f>澳门换算01!C131+澳门新定位结果!$P131</f>
        <v>1</v>
      </c>
      <c r="D132" s="1">
        <f>澳门换算01!D131+澳门新定位结果!$P131</f>
        <v>1</v>
      </c>
      <c r="E132">
        <f>澳门换算01!E131+澳门新定位结果!$P131</f>
        <v>2</v>
      </c>
      <c r="F132">
        <f>澳门换算01!F131+澳门新定位结果!$P131</f>
        <v>1</v>
      </c>
      <c r="G132">
        <f>澳门换算01!G131+澳门新定位结果!$P131</f>
        <v>1</v>
      </c>
      <c r="H132">
        <f>澳门换算01!H131+澳门新定位结果!$P131</f>
        <v>2</v>
      </c>
      <c r="I132">
        <f>澳门换算01!I131+澳门新定位结果!$P131</f>
        <v>2</v>
      </c>
      <c r="J132" s="1">
        <f>澳门换算01!J131+澳门新定位结果!$P131</f>
        <v>1</v>
      </c>
      <c r="K132">
        <f>澳门换算01!K131+澳门新定位结果!$P131</f>
        <v>2</v>
      </c>
      <c r="L132">
        <f>澳门换算01!L131+澳门新定位结果!$P131</f>
        <v>2</v>
      </c>
      <c r="M132" s="1">
        <f>澳门换算01!M131+澳门新定位结果!$P131</f>
        <v>2</v>
      </c>
      <c r="N132">
        <f>澳门换算01!N131+澳门新定位结果!$P131</f>
        <v>1</v>
      </c>
      <c r="O132">
        <f>澳门换算01!O131+澳门新定位结果!$P131</f>
        <v>1</v>
      </c>
    </row>
    <row r="133" spans="1:15">
      <c r="A133" s="4" t="s">
        <v>283</v>
      </c>
      <c r="B133">
        <f>澳门换算01!B132+澳门新定位结果!$P132</f>
        <v>2</v>
      </c>
      <c r="C133">
        <f>澳门换算01!C132+澳门新定位结果!$P132</f>
        <v>2</v>
      </c>
      <c r="D133" s="1">
        <f>澳门换算01!D132+澳门新定位结果!$P132</f>
        <v>1</v>
      </c>
      <c r="E133">
        <f>澳门换算01!E132+澳门新定位结果!$P132</f>
        <v>2</v>
      </c>
      <c r="F133">
        <f>澳门换算01!F132+澳门新定位结果!$P132</f>
        <v>2</v>
      </c>
      <c r="G133">
        <f>澳门换算01!G132+澳门新定位结果!$P132</f>
        <v>2</v>
      </c>
      <c r="H133">
        <f>澳门换算01!H132+澳门新定位结果!$P132</f>
        <v>2</v>
      </c>
      <c r="I133">
        <f>澳门换算01!I132+澳门新定位结果!$P132</f>
        <v>2</v>
      </c>
      <c r="J133" s="1">
        <f>澳门换算01!J132+澳门新定位结果!$P132</f>
        <v>1</v>
      </c>
      <c r="K133">
        <f>澳门换算01!K132+澳门新定位结果!$P132</f>
        <v>1</v>
      </c>
      <c r="L133">
        <f>澳门换算01!L132+澳门新定位结果!$P132</f>
        <v>2</v>
      </c>
      <c r="M133" s="1">
        <f>澳门换算01!M132+澳门新定位结果!$P132</f>
        <v>1</v>
      </c>
      <c r="N133">
        <f>澳门换算01!N132+澳门新定位结果!$P132</f>
        <v>1</v>
      </c>
      <c r="O133">
        <f>澳门换算01!O132+澳门新定位结果!$P132</f>
        <v>2</v>
      </c>
    </row>
    <row r="134" spans="1:15">
      <c r="A134" s="4" t="s">
        <v>285</v>
      </c>
      <c r="B134">
        <f>澳门换算01!B133+澳门新定位结果!$P133</f>
        <v>0</v>
      </c>
      <c r="C134">
        <f>澳门换算01!C133+澳门新定位结果!$P133</f>
        <v>1</v>
      </c>
      <c r="D134" s="1">
        <f>澳门换算01!D133+澳门新定位结果!$P133</f>
        <v>1</v>
      </c>
      <c r="E134">
        <f>澳门换算01!E133+澳门新定位结果!$P133</f>
        <v>1</v>
      </c>
      <c r="F134">
        <f>澳门换算01!F133+澳门新定位结果!$P133</f>
        <v>1</v>
      </c>
      <c r="G134">
        <f>澳门换算01!G133+澳门新定位结果!$P133</f>
        <v>0</v>
      </c>
      <c r="H134">
        <f>澳门换算01!H133+澳门新定位结果!$P133</f>
        <v>1</v>
      </c>
      <c r="I134">
        <f>澳门换算01!I133+澳门新定位结果!$P133</f>
        <v>0</v>
      </c>
      <c r="J134" s="1">
        <f>澳门换算01!J133+澳门新定位结果!$P133</f>
        <v>0</v>
      </c>
      <c r="K134">
        <f>澳门换算01!K133+澳门新定位结果!$P133</f>
        <v>1</v>
      </c>
      <c r="L134">
        <f>澳门换算01!L133+澳门新定位结果!$P133</f>
        <v>0</v>
      </c>
      <c r="M134" s="1">
        <f>澳门换算01!M133+澳门新定位结果!$P133</f>
        <v>0</v>
      </c>
      <c r="N134">
        <f>澳门换算01!N133+澳门新定位结果!$P133</f>
        <v>1</v>
      </c>
      <c r="O134">
        <f>澳门换算01!O133+澳门新定位结果!$P133</f>
        <v>1</v>
      </c>
    </row>
    <row r="135" spans="1:15">
      <c r="A135" s="4" t="s">
        <v>287</v>
      </c>
      <c r="B135">
        <f>澳门换算01!B134+澳门新定位结果!$P134</f>
        <v>2</v>
      </c>
      <c r="C135">
        <f>澳门换算01!C134+澳门新定位结果!$P134</f>
        <v>1</v>
      </c>
      <c r="D135" s="1">
        <f>澳门换算01!D134+澳门新定位结果!$P134</f>
        <v>1</v>
      </c>
      <c r="E135">
        <f>澳门换算01!E134+澳门新定位结果!$P134</f>
        <v>1</v>
      </c>
      <c r="F135">
        <f>澳门换算01!F134+澳门新定位结果!$P134</f>
        <v>1</v>
      </c>
      <c r="G135">
        <f>澳门换算01!G134+澳门新定位结果!$P134</f>
        <v>1</v>
      </c>
      <c r="H135">
        <f>澳门换算01!H134+澳门新定位结果!$P134</f>
        <v>2</v>
      </c>
      <c r="I135">
        <f>澳门换算01!I134+澳门新定位结果!$P134</f>
        <v>2</v>
      </c>
      <c r="J135" s="1">
        <f>澳门换算01!J134+澳门新定位结果!$P134</f>
        <v>1</v>
      </c>
      <c r="K135">
        <f>澳门换算01!K134+澳门新定位结果!$P134</f>
        <v>2</v>
      </c>
      <c r="L135">
        <f>澳门换算01!L134+澳门新定位结果!$P134</f>
        <v>1</v>
      </c>
      <c r="M135" s="1">
        <f>澳门换算01!M134+澳门新定位结果!$P134</f>
        <v>1</v>
      </c>
      <c r="N135">
        <f>澳门换算01!N134+澳门新定位结果!$P134</f>
        <v>1</v>
      </c>
      <c r="O135">
        <f>澳门换算01!O134+澳门新定位结果!$P134</f>
        <v>2</v>
      </c>
    </row>
    <row r="136" spans="1:15">
      <c r="A136" s="4" t="s">
        <v>289</v>
      </c>
      <c r="B136">
        <f>澳门换算01!B135+澳门新定位结果!$P135</f>
        <v>1</v>
      </c>
      <c r="C136">
        <f>澳门换算01!C135+澳门新定位结果!$P135</f>
        <v>2</v>
      </c>
      <c r="D136" s="1">
        <f>澳门换算01!D135+澳门新定位结果!$P135</f>
        <v>1</v>
      </c>
      <c r="E136">
        <f>澳门换算01!E135+澳门新定位结果!$P135</f>
        <v>2</v>
      </c>
      <c r="F136">
        <f>澳门换算01!F135+澳门新定位结果!$P135</f>
        <v>2</v>
      </c>
      <c r="G136">
        <f>澳门换算01!G135+澳门新定位结果!$P135</f>
        <v>2</v>
      </c>
      <c r="H136">
        <f>澳门换算01!H135+澳门新定位结果!$P135</f>
        <v>1</v>
      </c>
      <c r="I136">
        <f>澳门换算01!I135+澳门新定位结果!$P135</f>
        <v>2</v>
      </c>
      <c r="J136" s="1">
        <f>澳门换算01!J135+澳门新定位结果!$P135</f>
        <v>2</v>
      </c>
      <c r="K136">
        <f>澳门换算01!K135+澳门新定位结果!$P135</f>
        <v>1</v>
      </c>
      <c r="L136">
        <f>澳门换算01!L135+澳门新定位结果!$P135</f>
        <v>1</v>
      </c>
      <c r="M136" s="1">
        <f>澳门换算01!M135+澳门新定位结果!$P135</f>
        <v>1</v>
      </c>
      <c r="N136">
        <f>澳门换算01!N135+澳门新定位结果!$P135</f>
        <v>1</v>
      </c>
      <c r="O136">
        <f>澳门换算01!O135+澳门新定位结果!$P135</f>
        <v>2</v>
      </c>
    </row>
    <row r="137" spans="1:15">
      <c r="A137" s="4" t="s">
        <v>291</v>
      </c>
      <c r="B137">
        <f>澳门换算01!B136+澳门新定位结果!$P136</f>
        <v>1</v>
      </c>
      <c r="C137">
        <f>澳门换算01!C136+澳门新定位结果!$P136</f>
        <v>2</v>
      </c>
      <c r="D137" s="1">
        <f>澳门换算01!D136+澳门新定位结果!$P136</f>
        <v>1</v>
      </c>
      <c r="E137">
        <f>澳门换算01!E136+澳门新定位结果!$P136</f>
        <v>2</v>
      </c>
      <c r="F137">
        <f>澳门换算01!F136+澳门新定位结果!$P136</f>
        <v>1</v>
      </c>
      <c r="G137">
        <f>澳门换算01!G136+澳门新定位结果!$P136</f>
        <v>1</v>
      </c>
      <c r="H137">
        <f>澳门换算01!H136+澳门新定位结果!$P136</f>
        <v>2</v>
      </c>
      <c r="I137">
        <f>澳门换算01!I136+澳门新定位结果!$P136</f>
        <v>2</v>
      </c>
      <c r="J137" s="1">
        <f>澳门换算01!J136+澳门新定位结果!$P136</f>
        <v>1</v>
      </c>
      <c r="K137">
        <f>澳门换算01!K136+澳门新定位结果!$P136</f>
        <v>2</v>
      </c>
      <c r="L137">
        <f>澳门换算01!L136+澳门新定位结果!$P136</f>
        <v>2</v>
      </c>
      <c r="M137" s="1">
        <f>澳门换算01!M136+澳门新定位结果!$P136</f>
        <v>1</v>
      </c>
      <c r="N137">
        <f>澳门换算01!N136+澳门新定位结果!$P136</f>
        <v>2</v>
      </c>
      <c r="O137">
        <f>澳门换算01!O136+澳门新定位结果!$P136</f>
        <v>1</v>
      </c>
    </row>
    <row r="138" spans="1:15">
      <c r="A138" s="4" t="s">
        <v>293</v>
      </c>
      <c r="B138">
        <f>澳门换算01!B137+澳门新定位结果!$P137</f>
        <v>1</v>
      </c>
      <c r="C138">
        <f>澳门换算01!C137+澳门新定位结果!$P137</f>
        <v>2</v>
      </c>
      <c r="D138" s="1">
        <f>澳门换算01!D137+澳门新定位结果!$P137</f>
        <v>1</v>
      </c>
      <c r="E138">
        <f>澳门换算01!E137+澳门新定位结果!$P137</f>
        <v>1</v>
      </c>
      <c r="F138">
        <f>澳门换算01!F137+澳门新定位结果!$P137</f>
        <v>2</v>
      </c>
      <c r="G138">
        <f>澳门换算01!G137+澳门新定位结果!$P137</f>
        <v>2</v>
      </c>
      <c r="H138">
        <f>澳门换算01!H137+澳门新定位结果!$P137</f>
        <v>2</v>
      </c>
      <c r="I138">
        <f>澳门换算01!I137+澳门新定位结果!$P137</f>
        <v>2</v>
      </c>
      <c r="J138" s="1">
        <f>澳门换算01!J137+澳门新定位结果!$P137</f>
        <v>2</v>
      </c>
      <c r="K138">
        <f>澳门换算01!K137+澳门新定位结果!$P137</f>
        <v>2</v>
      </c>
      <c r="L138">
        <f>澳门换算01!L137+澳门新定位结果!$P137</f>
        <v>2</v>
      </c>
      <c r="M138" s="1">
        <f>澳门换算01!M137+澳门新定位结果!$P137</f>
        <v>2</v>
      </c>
      <c r="N138">
        <f>澳门换算01!N137+澳门新定位结果!$P137</f>
        <v>1</v>
      </c>
      <c r="O138">
        <f>澳门换算01!O137+澳门新定位结果!$P137</f>
        <v>1</v>
      </c>
    </row>
    <row r="139" spans="1:15">
      <c r="A139" s="4" t="s">
        <v>295</v>
      </c>
      <c r="B139">
        <f>澳门换算01!B138+澳门新定位结果!$P138</f>
        <v>1</v>
      </c>
      <c r="C139">
        <f>澳门换算01!C138+澳门新定位结果!$P138</f>
        <v>2</v>
      </c>
      <c r="D139" s="1">
        <f>澳门换算01!D138+澳门新定位结果!$P138</f>
        <v>1</v>
      </c>
      <c r="E139">
        <f>澳门换算01!E138+澳门新定位结果!$P138</f>
        <v>1</v>
      </c>
      <c r="F139">
        <f>澳门换算01!F138+澳门新定位结果!$P138</f>
        <v>2</v>
      </c>
      <c r="G139">
        <f>澳门换算01!G138+澳门新定位结果!$P138</f>
        <v>1</v>
      </c>
      <c r="H139">
        <f>澳门换算01!H138+澳门新定位结果!$P138</f>
        <v>2</v>
      </c>
      <c r="I139">
        <f>澳门换算01!I138+澳门新定位结果!$P138</f>
        <v>1</v>
      </c>
      <c r="J139" s="1">
        <f>澳门换算01!J138+澳门新定位结果!$P138</f>
        <v>2</v>
      </c>
      <c r="K139">
        <f>澳门换算01!K138+澳门新定位结果!$P138</f>
        <v>1</v>
      </c>
      <c r="L139">
        <f>澳门换算01!L138+澳门新定位结果!$P138</f>
        <v>1</v>
      </c>
      <c r="M139" s="1">
        <f>澳门换算01!M138+澳门新定位结果!$P138</f>
        <v>2</v>
      </c>
      <c r="N139">
        <f>澳门换算01!N138+澳门新定位结果!$P138</f>
        <v>2</v>
      </c>
      <c r="O139">
        <f>澳门换算01!O138+澳门新定位结果!$P138</f>
        <v>1</v>
      </c>
    </row>
    <row r="140" spans="1:15">
      <c r="A140" s="4" t="s">
        <v>297</v>
      </c>
      <c r="B140">
        <f>澳门换算01!B139+澳门新定位结果!$P139</f>
        <v>0</v>
      </c>
      <c r="C140">
        <f>澳门换算01!C139+澳门新定位结果!$P139</f>
        <v>1</v>
      </c>
      <c r="D140" s="1">
        <f>澳门换算01!D139+澳门新定位结果!$P139</f>
        <v>0</v>
      </c>
      <c r="E140">
        <f>澳门换算01!E139+澳门新定位结果!$P139</f>
        <v>1</v>
      </c>
      <c r="F140">
        <f>澳门换算01!F139+澳门新定位结果!$P139</f>
        <v>0</v>
      </c>
      <c r="G140">
        <f>澳门换算01!G139+澳门新定位结果!$P139</f>
        <v>1</v>
      </c>
      <c r="H140">
        <f>澳门换算01!H139+澳门新定位结果!$P139</f>
        <v>1</v>
      </c>
      <c r="I140">
        <f>澳门换算01!I139+澳门新定位结果!$P139</f>
        <v>1</v>
      </c>
      <c r="J140" s="1">
        <f>澳门换算01!J139+澳门新定位结果!$P139</f>
        <v>0</v>
      </c>
      <c r="K140">
        <f>澳门换算01!K139+澳门新定位结果!$P139</f>
        <v>0</v>
      </c>
      <c r="L140">
        <f>澳门换算01!L139+澳门新定位结果!$P139</f>
        <v>1</v>
      </c>
      <c r="M140" s="1">
        <f>澳门换算01!M139+澳门新定位结果!$P139</f>
        <v>1</v>
      </c>
      <c r="N140">
        <f>澳门换算01!N139+澳门新定位结果!$P139</f>
        <v>1</v>
      </c>
      <c r="O140">
        <f>澳门换算01!O139+澳门新定位结果!$P139</f>
        <v>0</v>
      </c>
    </row>
    <row r="141" spans="1:15">
      <c r="A141" s="4" t="s">
        <v>299</v>
      </c>
      <c r="B141">
        <f>澳门换算01!B140+澳门新定位结果!$P140</f>
        <v>1</v>
      </c>
      <c r="C141">
        <f>澳门换算01!C140+澳门新定位结果!$P140</f>
        <v>2</v>
      </c>
      <c r="D141" s="1">
        <f>澳门换算01!D140+澳门新定位结果!$P140</f>
        <v>2</v>
      </c>
      <c r="E141">
        <f>澳门换算01!E140+澳门新定位结果!$P140</f>
        <v>1</v>
      </c>
      <c r="F141">
        <f>澳门换算01!F140+澳门新定位结果!$P140</f>
        <v>2</v>
      </c>
      <c r="G141">
        <f>澳门换算01!G140+澳门新定位结果!$P140</f>
        <v>2</v>
      </c>
      <c r="H141">
        <f>澳门换算01!H140+澳门新定位结果!$P140</f>
        <v>1</v>
      </c>
      <c r="I141">
        <f>澳门换算01!I140+澳门新定位结果!$P140</f>
        <v>2</v>
      </c>
      <c r="J141" s="1">
        <f>澳门换算01!J140+澳门新定位结果!$P140</f>
        <v>1</v>
      </c>
      <c r="K141">
        <f>澳门换算01!K140+澳门新定位结果!$P140</f>
        <v>2</v>
      </c>
      <c r="L141">
        <f>澳门换算01!L140+澳门新定位结果!$P140</f>
        <v>1</v>
      </c>
      <c r="M141" s="1">
        <f>澳门换算01!M140+澳门新定位结果!$P140</f>
        <v>2</v>
      </c>
      <c r="N141">
        <f>澳门换算01!N140+澳门新定位结果!$P140</f>
        <v>2</v>
      </c>
      <c r="O141">
        <f>澳门换算01!O140+澳门新定位结果!$P140</f>
        <v>1</v>
      </c>
    </row>
    <row r="142" spans="1:15">
      <c r="A142" s="4" t="s">
        <v>301</v>
      </c>
      <c r="B142">
        <f>澳门换算01!B141+澳门新定位结果!$P141</f>
        <v>0</v>
      </c>
      <c r="C142">
        <f>澳门换算01!C141+澳门新定位结果!$P141</f>
        <v>1</v>
      </c>
      <c r="D142" s="1">
        <f>澳门换算01!D141+澳门新定位结果!$P141</f>
        <v>1</v>
      </c>
      <c r="E142">
        <f>澳门换算01!E141+澳门新定位结果!$P141</f>
        <v>1</v>
      </c>
      <c r="F142">
        <f>澳门换算01!F141+澳门新定位结果!$P141</f>
        <v>0</v>
      </c>
      <c r="G142">
        <f>澳门换算01!G141+澳门新定位结果!$P141</f>
        <v>0</v>
      </c>
      <c r="H142">
        <f>澳门换算01!H141+澳门新定位结果!$P141</f>
        <v>1</v>
      </c>
      <c r="I142">
        <f>澳门换算01!I141+澳门新定位结果!$P141</f>
        <v>0</v>
      </c>
      <c r="J142" s="1">
        <f>澳门换算01!J141+澳门新定位结果!$P141</f>
        <v>1</v>
      </c>
      <c r="K142">
        <f>澳门换算01!K141+澳门新定位结果!$P141</f>
        <v>1</v>
      </c>
      <c r="L142">
        <f>澳门换算01!L141+澳门新定位结果!$P141</f>
        <v>0</v>
      </c>
      <c r="M142" s="1">
        <f>澳门换算01!M141+澳门新定位结果!$P141</f>
        <v>0</v>
      </c>
      <c r="N142">
        <f>澳门换算01!N141+澳门新定位结果!$P141</f>
        <v>1</v>
      </c>
      <c r="O142">
        <f>澳门换算01!O141+澳门新定位结果!$P141</f>
        <v>0</v>
      </c>
    </row>
    <row r="143" spans="1:15">
      <c r="A143" s="4" t="s">
        <v>303</v>
      </c>
      <c r="B143">
        <f>澳门换算01!B142+澳门新定位结果!$P142</f>
        <v>0</v>
      </c>
      <c r="C143">
        <f>澳门换算01!C142+澳门新定位结果!$P142</f>
        <v>1</v>
      </c>
      <c r="D143" s="1">
        <f>澳门换算01!D142+澳门新定位结果!$P142</f>
        <v>0</v>
      </c>
      <c r="E143">
        <f>澳门换算01!E142+澳门新定位结果!$P142</f>
        <v>0</v>
      </c>
      <c r="F143">
        <f>澳门换算01!F142+澳门新定位结果!$P142</f>
        <v>0</v>
      </c>
      <c r="G143">
        <f>澳门换算01!G142+澳门新定位结果!$P142</f>
        <v>0</v>
      </c>
      <c r="H143">
        <f>澳门换算01!H142+澳门新定位结果!$P142</f>
        <v>1</v>
      </c>
      <c r="I143">
        <f>澳门换算01!I142+澳门新定位结果!$P142</f>
        <v>1</v>
      </c>
      <c r="J143" s="1">
        <f>澳门换算01!J142+澳门新定位结果!$P142</f>
        <v>1</v>
      </c>
      <c r="K143">
        <f>澳门换算01!K142+澳门新定位结果!$P142</f>
        <v>1</v>
      </c>
      <c r="L143">
        <f>澳门换算01!L142+澳门新定位结果!$P142</f>
        <v>1</v>
      </c>
      <c r="M143" s="1">
        <f>澳门换算01!M142+澳门新定位结果!$P142</f>
        <v>0</v>
      </c>
      <c r="N143">
        <f>澳门换算01!N142+澳门新定位结果!$P142</f>
        <v>0</v>
      </c>
      <c r="O143">
        <f>澳门换算01!O142+澳门新定位结果!$P142</f>
        <v>1</v>
      </c>
    </row>
    <row r="144" spans="1:15">
      <c r="A144" s="4" t="s">
        <v>305</v>
      </c>
      <c r="B144">
        <f>澳门换算01!B143+澳门新定位结果!$P143</f>
        <v>2</v>
      </c>
      <c r="C144">
        <f>澳门换算01!C143+澳门新定位结果!$P143</f>
        <v>2</v>
      </c>
      <c r="D144" s="1">
        <f>澳门换算01!D143+澳门新定位结果!$P143</f>
        <v>1</v>
      </c>
      <c r="E144">
        <f>澳门换算01!E143+澳门新定位结果!$P143</f>
        <v>2</v>
      </c>
      <c r="F144">
        <f>澳门换算01!F143+澳门新定位结果!$P143</f>
        <v>2</v>
      </c>
      <c r="G144">
        <f>澳门换算01!G143+澳门新定位结果!$P143</f>
        <v>1</v>
      </c>
      <c r="H144">
        <f>澳门换算01!H143+澳门新定位结果!$P143</f>
        <v>2</v>
      </c>
      <c r="I144">
        <f>澳门换算01!I143+澳门新定位结果!$P143</f>
        <v>2</v>
      </c>
      <c r="J144" s="1">
        <f>澳门换算01!J143+澳门新定位结果!$P143</f>
        <v>2</v>
      </c>
      <c r="K144">
        <f>澳门换算01!K143+澳门新定位结果!$P143</f>
        <v>1</v>
      </c>
      <c r="L144">
        <f>澳门换算01!L143+澳门新定位结果!$P143</f>
        <v>2</v>
      </c>
      <c r="M144" s="1">
        <f>澳门换算01!M143+澳门新定位结果!$P143</f>
        <v>1</v>
      </c>
      <c r="N144">
        <f>澳门换算01!N143+澳门新定位结果!$P143</f>
        <v>2</v>
      </c>
      <c r="O144">
        <f>澳门换算01!O143+澳门新定位结果!$P143</f>
        <v>2</v>
      </c>
    </row>
    <row r="145" spans="1:15">
      <c r="A145" s="4" t="s">
        <v>307</v>
      </c>
      <c r="B145">
        <f>澳门换算01!B144+澳门新定位结果!$P144</f>
        <v>1</v>
      </c>
      <c r="C145">
        <f>澳门换算01!C144+澳门新定位结果!$P144</f>
        <v>2</v>
      </c>
      <c r="D145" s="1">
        <f>澳门换算01!D144+澳门新定位结果!$P144</f>
        <v>2</v>
      </c>
      <c r="E145">
        <f>澳门换算01!E144+澳门新定位结果!$P144</f>
        <v>2</v>
      </c>
      <c r="F145">
        <f>澳门换算01!F144+澳门新定位结果!$P144</f>
        <v>1</v>
      </c>
      <c r="G145">
        <f>澳门换算01!G144+澳门新定位结果!$P144</f>
        <v>2</v>
      </c>
      <c r="H145">
        <f>澳门换算01!H144+澳门新定位结果!$P144</f>
        <v>1</v>
      </c>
      <c r="I145">
        <f>澳门换算01!I144+澳门新定位结果!$P144</f>
        <v>1</v>
      </c>
      <c r="J145" s="1">
        <f>澳门换算01!J144+澳门新定位结果!$P144</f>
        <v>1</v>
      </c>
      <c r="K145">
        <f>澳门换算01!K144+澳门新定位结果!$P144</f>
        <v>1</v>
      </c>
      <c r="L145">
        <f>澳门换算01!L144+澳门新定位结果!$P144</f>
        <v>1</v>
      </c>
      <c r="M145" s="1">
        <f>澳门换算01!M144+澳门新定位结果!$P144</f>
        <v>1</v>
      </c>
      <c r="N145">
        <f>澳门换算01!N144+澳门新定位结果!$P144</f>
        <v>2</v>
      </c>
      <c r="O145">
        <f>澳门换算01!O144+澳门新定位结果!$P144</f>
        <v>2</v>
      </c>
    </row>
    <row r="146" spans="1:15">
      <c r="A146" s="4" t="s">
        <v>309</v>
      </c>
      <c r="B146">
        <f>澳门换算01!B145+澳门新定位结果!$P145</f>
        <v>1</v>
      </c>
      <c r="C146">
        <f>澳门换算01!C145+澳门新定位结果!$P145</f>
        <v>2</v>
      </c>
      <c r="D146" s="1">
        <f>澳门换算01!D145+澳门新定位结果!$P145</f>
        <v>2</v>
      </c>
      <c r="E146">
        <f>澳门换算01!E145+澳门新定位结果!$P145</f>
        <v>1</v>
      </c>
      <c r="F146">
        <f>澳门换算01!F145+澳门新定位结果!$P145</f>
        <v>2</v>
      </c>
      <c r="G146">
        <f>澳门换算01!G145+澳门新定位结果!$P145</f>
        <v>1</v>
      </c>
      <c r="H146">
        <f>澳门换算01!H145+澳门新定位结果!$P145</f>
        <v>1</v>
      </c>
      <c r="I146">
        <f>澳门换算01!I145+澳门新定位结果!$P145</f>
        <v>2</v>
      </c>
      <c r="J146" s="1">
        <f>澳门换算01!J145+澳门新定位结果!$P145</f>
        <v>1</v>
      </c>
      <c r="K146">
        <f>澳门换算01!K145+澳门新定位结果!$P145</f>
        <v>2</v>
      </c>
      <c r="L146">
        <f>澳门换算01!L145+澳门新定位结果!$P145</f>
        <v>1</v>
      </c>
      <c r="M146" s="1">
        <f>澳门换算01!M145+澳门新定位结果!$P145</f>
        <v>1</v>
      </c>
      <c r="N146">
        <f>澳门换算01!N145+澳门新定位结果!$P145</f>
        <v>1</v>
      </c>
      <c r="O146">
        <f>澳门换算01!O145+澳门新定位结果!$P145</f>
        <v>2</v>
      </c>
    </row>
    <row r="147" spans="1:15">
      <c r="A147" s="4" t="s">
        <v>311</v>
      </c>
      <c r="B147">
        <f>澳门换算01!B146+澳门新定位结果!$P146</f>
        <v>2</v>
      </c>
      <c r="C147">
        <f>澳门换算01!C146+澳门新定位结果!$P146</f>
        <v>2</v>
      </c>
      <c r="D147" s="1">
        <f>澳门换算01!D146+澳门新定位结果!$P146</f>
        <v>2</v>
      </c>
      <c r="E147">
        <f>澳门换算01!E146+澳门新定位结果!$P146</f>
        <v>2</v>
      </c>
      <c r="F147">
        <f>澳门换算01!F146+澳门新定位结果!$P146</f>
        <v>1</v>
      </c>
      <c r="G147">
        <f>澳门换算01!G146+澳门新定位结果!$P146</f>
        <v>1</v>
      </c>
      <c r="H147">
        <f>澳门换算01!H146+澳门新定位结果!$P146</f>
        <v>1</v>
      </c>
      <c r="I147">
        <f>澳门换算01!I146+澳门新定位结果!$P146</f>
        <v>2</v>
      </c>
      <c r="J147" s="1">
        <f>澳门换算01!J146+澳门新定位结果!$P146</f>
        <v>2</v>
      </c>
      <c r="K147">
        <f>澳门换算01!K146+澳门新定位结果!$P146</f>
        <v>2</v>
      </c>
      <c r="L147">
        <f>澳门换算01!L146+澳门新定位结果!$P146</f>
        <v>2</v>
      </c>
      <c r="M147" s="1">
        <f>澳门换算01!M146+澳门新定位结果!$P146</f>
        <v>2</v>
      </c>
      <c r="N147">
        <f>澳门换算01!N146+澳门新定位结果!$P146</f>
        <v>1</v>
      </c>
      <c r="O147">
        <f>澳门换算01!O146+澳门新定位结果!$P146</f>
        <v>1</v>
      </c>
    </row>
    <row r="148" spans="1:15">
      <c r="A148" s="4" t="s">
        <v>313</v>
      </c>
      <c r="B148">
        <f>澳门换算01!B147+澳门新定位结果!$P147</f>
        <v>1</v>
      </c>
      <c r="C148">
        <f>澳门换算01!C147+澳门新定位结果!$P147</f>
        <v>0</v>
      </c>
      <c r="D148" s="1">
        <f>澳门换算01!D147+澳门新定位结果!$P147</f>
        <v>0</v>
      </c>
      <c r="E148">
        <f>澳门换算01!E147+澳门新定位结果!$P147</f>
        <v>1</v>
      </c>
      <c r="F148">
        <f>澳门换算01!F147+澳门新定位结果!$P147</f>
        <v>1</v>
      </c>
      <c r="G148">
        <f>澳门换算01!G147+澳门新定位结果!$P147</f>
        <v>1</v>
      </c>
      <c r="H148">
        <f>澳门换算01!H147+澳门新定位结果!$P147</f>
        <v>1</v>
      </c>
      <c r="I148">
        <f>澳门换算01!I147+澳门新定位结果!$P147</f>
        <v>1</v>
      </c>
      <c r="J148" s="1">
        <f>澳门换算01!J147+澳门新定位结果!$P147</f>
        <v>0</v>
      </c>
      <c r="K148">
        <f>澳门换算01!K147+澳门新定位结果!$P147</f>
        <v>1</v>
      </c>
      <c r="L148">
        <f>澳门换算01!L147+澳门新定位结果!$P147</f>
        <v>1</v>
      </c>
      <c r="M148" s="1">
        <f>澳门换算01!M147+澳门新定位结果!$P147</f>
        <v>1</v>
      </c>
      <c r="N148">
        <f>澳门换算01!N147+澳门新定位结果!$P147</f>
        <v>0</v>
      </c>
      <c r="O148">
        <f>澳门换算01!O147+澳门新定位结果!$P147</f>
        <v>1</v>
      </c>
    </row>
    <row r="149" spans="1:15">
      <c r="A149" s="4" t="s">
        <v>315</v>
      </c>
      <c r="B149">
        <f>澳门换算01!B148+澳门新定位结果!$P148</f>
        <v>1</v>
      </c>
      <c r="C149">
        <f>澳门换算01!C148+澳门新定位结果!$P148</f>
        <v>1</v>
      </c>
      <c r="D149" s="1">
        <f>澳门换算01!D148+澳门新定位结果!$P148</f>
        <v>1</v>
      </c>
      <c r="E149">
        <f>澳门换算01!E148+澳门新定位结果!$P148</f>
        <v>0</v>
      </c>
      <c r="F149">
        <f>澳门换算01!F148+澳门新定位结果!$P148</f>
        <v>1</v>
      </c>
      <c r="G149">
        <f>澳门换算01!G148+澳门新定位结果!$P148</f>
        <v>0</v>
      </c>
      <c r="H149">
        <f>澳门换算01!H148+澳门新定位结果!$P148</f>
        <v>1</v>
      </c>
      <c r="I149">
        <f>澳门换算01!I148+澳门新定位结果!$P148</f>
        <v>1</v>
      </c>
      <c r="J149" s="1">
        <f>澳门换算01!J148+澳门新定位结果!$P148</f>
        <v>0</v>
      </c>
      <c r="K149">
        <f>澳门换算01!K148+澳门新定位结果!$P148</f>
        <v>1</v>
      </c>
      <c r="L149">
        <f>澳门换算01!L148+澳门新定位结果!$P148</f>
        <v>0</v>
      </c>
      <c r="M149" s="1">
        <f>澳门换算01!M148+澳门新定位结果!$P148</f>
        <v>1</v>
      </c>
      <c r="N149">
        <f>澳门换算01!N148+澳门新定位结果!$P148</f>
        <v>1</v>
      </c>
      <c r="O149">
        <f>澳门换算01!O148+澳门新定位结果!$P148</f>
        <v>0</v>
      </c>
    </row>
    <row r="150" spans="1:15">
      <c r="A150" s="4" t="s">
        <v>317</v>
      </c>
      <c r="B150">
        <f>澳门换算01!B149+澳门新定位结果!$P149</f>
        <v>0</v>
      </c>
      <c r="C150">
        <f>澳门换算01!C149+澳门新定位结果!$P149</f>
        <v>0</v>
      </c>
      <c r="D150" s="1">
        <f>澳门换算01!D149+澳门新定位结果!$P149</f>
        <v>1</v>
      </c>
      <c r="E150">
        <f>澳门换算01!E149+澳门新定位结果!$P149</f>
        <v>1</v>
      </c>
      <c r="F150">
        <f>澳门换算01!F149+澳门新定位结果!$P149</f>
        <v>0</v>
      </c>
      <c r="G150">
        <f>澳门换算01!G149+澳门新定位结果!$P149</f>
        <v>1</v>
      </c>
      <c r="H150">
        <f>澳门换算01!H149+澳门新定位结果!$P149</f>
        <v>0</v>
      </c>
      <c r="I150">
        <f>澳门换算01!I149+澳门新定位结果!$P149</f>
        <v>0</v>
      </c>
      <c r="J150" s="1">
        <f>澳门换算01!J149+澳门新定位结果!$P149</f>
        <v>0</v>
      </c>
      <c r="K150">
        <f>澳门换算01!K149+澳门新定位结果!$P149</f>
        <v>1</v>
      </c>
      <c r="L150">
        <f>澳门换算01!L149+澳门新定位结果!$P149</f>
        <v>0</v>
      </c>
      <c r="M150" s="1">
        <f>澳门换算01!M149+澳门新定位结果!$P149</f>
        <v>0</v>
      </c>
      <c r="N150">
        <f>澳门换算01!N149+澳门新定位结果!$P149</f>
        <v>0</v>
      </c>
      <c r="O150">
        <f>澳门换算01!O149+澳门新定位结果!$P149</f>
        <v>1</v>
      </c>
    </row>
    <row r="151" spans="1:15">
      <c r="A151" s="4" t="s">
        <v>319</v>
      </c>
      <c r="B151">
        <f>澳门换算01!B150+澳门新定位结果!$P150</f>
        <v>1</v>
      </c>
      <c r="C151">
        <f>澳门换算01!C150+澳门新定位结果!$P150</f>
        <v>1</v>
      </c>
      <c r="D151" s="1">
        <f>澳门换算01!D150+澳门新定位结果!$P150</f>
        <v>1</v>
      </c>
      <c r="E151">
        <f>澳门换算01!E150+澳门新定位结果!$P150</f>
        <v>0</v>
      </c>
      <c r="F151">
        <f>澳门换算01!F150+澳门新定位结果!$P150</f>
        <v>1</v>
      </c>
      <c r="G151">
        <f>澳门换算01!G150+澳门新定位结果!$P150</f>
        <v>0</v>
      </c>
      <c r="H151">
        <f>澳门换算01!H150+澳门新定位结果!$P150</f>
        <v>0</v>
      </c>
      <c r="I151">
        <f>澳门换算01!I150+澳门新定位结果!$P150</f>
        <v>1</v>
      </c>
      <c r="J151" s="1">
        <f>澳门换算01!J150+澳门新定位结果!$P150</f>
        <v>0</v>
      </c>
      <c r="K151">
        <f>澳门换算01!K150+澳门新定位结果!$P150</f>
        <v>1</v>
      </c>
      <c r="L151">
        <f>澳门换算01!L150+澳门新定位结果!$P150</f>
        <v>1</v>
      </c>
      <c r="M151" s="1">
        <f>澳门换算01!M150+澳门新定位结果!$P150</f>
        <v>1</v>
      </c>
      <c r="N151">
        <f>澳门换算01!N150+澳门新定位结果!$P150</f>
        <v>1</v>
      </c>
      <c r="O151">
        <f>澳门换算01!O150+澳门新定位结果!$P150</f>
        <v>1</v>
      </c>
    </row>
    <row r="152" spans="1:15">
      <c r="A152" s="4" t="s">
        <v>321</v>
      </c>
      <c r="B152">
        <f>澳门换算01!B151+澳门新定位结果!$P151</f>
        <v>1</v>
      </c>
      <c r="C152">
        <f>澳门换算01!C151+澳门新定位结果!$P151</f>
        <v>2</v>
      </c>
      <c r="D152" s="1">
        <f>澳门换算01!D151+澳门新定位结果!$P151</f>
        <v>1</v>
      </c>
      <c r="E152">
        <f>澳门换算01!E151+澳门新定位结果!$P151</f>
        <v>1</v>
      </c>
      <c r="F152">
        <f>澳门换算01!F151+澳门新定位结果!$P151</f>
        <v>1</v>
      </c>
      <c r="G152">
        <f>澳门换算01!G151+澳门新定位结果!$P151</f>
        <v>2</v>
      </c>
      <c r="H152">
        <f>澳门换算01!H151+澳门新定位结果!$P151</f>
        <v>2</v>
      </c>
      <c r="I152">
        <f>澳门换算01!I151+澳门新定位结果!$P151</f>
        <v>2</v>
      </c>
      <c r="J152" s="1">
        <f>澳门换算01!J151+澳门新定位结果!$P151</f>
        <v>2</v>
      </c>
      <c r="K152">
        <f>澳门换算01!K151+澳门新定位结果!$P151</f>
        <v>2</v>
      </c>
      <c r="L152">
        <f>澳门换算01!L151+澳门新定位结果!$P151</f>
        <v>2</v>
      </c>
      <c r="M152" s="1">
        <f>澳门换算01!M151+澳门新定位结果!$P151</f>
        <v>2</v>
      </c>
      <c r="N152">
        <f>澳门换算01!N151+澳门新定位结果!$P151</f>
        <v>1</v>
      </c>
      <c r="O152">
        <f>澳门换算01!O151+澳门新定位结果!$P151</f>
        <v>1</v>
      </c>
    </row>
    <row r="153" spans="1:15">
      <c r="A153" s="4" t="s">
        <v>323</v>
      </c>
      <c r="B153">
        <f>澳门换算01!B152+澳门新定位结果!$P152</f>
        <v>0</v>
      </c>
      <c r="C153">
        <f>澳门换算01!C152+澳门新定位结果!$P152</f>
        <v>1</v>
      </c>
      <c r="D153" s="1">
        <f>澳门换算01!D152+澳门新定位结果!$P152</f>
        <v>0</v>
      </c>
      <c r="E153">
        <f>澳门换算01!E152+澳门新定位结果!$P152</f>
        <v>0</v>
      </c>
      <c r="F153">
        <f>澳门换算01!F152+澳门新定位结果!$P152</f>
        <v>0</v>
      </c>
      <c r="G153">
        <f>澳门换算01!G152+澳门新定位结果!$P152</f>
        <v>0</v>
      </c>
      <c r="H153">
        <f>澳门换算01!H152+澳门新定位结果!$P152</f>
        <v>0</v>
      </c>
      <c r="I153">
        <f>澳门换算01!I152+澳门新定位结果!$P152</f>
        <v>1</v>
      </c>
      <c r="J153" s="1">
        <f>澳门换算01!J152+澳门新定位结果!$P152</f>
        <v>0</v>
      </c>
      <c r="K153">
        <f>澳门换算01!K152+澳门新定位结果!$P152</f>
        <v>1</v>
      </c>
      <c r="L153">
        <f>澳门换算01!L152+澳门新定位结果!$P152</f>
        <v>0</v>
      </c>
      <c r="M153" s="1">
        <f>澳门换算01!M152+澳门新定位结果!$P152</f>
        <v>0</v>
      </c>
      <c r="N153">
        <f>澳门换算01!N152+澳门新定位结果!$P152</f>
        <v>0</v>
      </c>
      <c r="O153">
        <f>澳门换算01!O152+澳门新定位结果!$P152</f>
        <v>0</v>
      </c>
    </row>
    <row r="154" spans="1:15">
      <c r="A154" s="4" t="s">
        <v>325</v>
      </c>
      <c r="B154">
        <f>澳门换算01!B153+澳门新定位结果!$P153</f>
        <v>1</v>
      </c>
      <c r="C154">
        <f>澳门换算01!C153+澳门新定位结果!$P153</f>
        <v>1</v>
      </c>
      <c r="D154" s="1">
        <f>澳门换算01!D153+澳门新定位结果!$P153</f>
        <v>1</v>
      </c>
      <c r="E154">
        <f>澳门换算01!E153+澳门新定位结果!$P153</f>
        <v>1</v>
      </c>
      <c r="F154">
        <f>澳门换算01!F153+澳门新定位结果!$P153</f>
        <v>1</v>
      </c>
      <c r="G154">
        <f>澳门换算01!G153+澳门新定位结果!$P153</f>
        <v>0</v>
      </c>
      <c r="H154">
        <f>澳门换算01!H153+澳门新定位结果!$P153</f>
        <v>1</v>
      </c>
      <c r="I154">
        <f>澳门换算01!I153+澳门新定位结果!$P153</f>
        <v>0</v>
      </c>
      <c r="J154" s="1">
        <f>澳门换算01!J153+澳门新定位结果!$P153</f>
        <v>1</v>
      </c>
      <c r="K154">
        <f>澳门换算01!K153+澳门新定位结果!$P153</f>
        <v>1</v>
      </c>
      <c r="L154">
        <f>澳门换算01!L153+澳门新定位结果!$P153</f>
        <v>1</v>
      </c>
      <c r="M154" s="1">
        <f>澳门换算01!M153+澳门新定位结果!$P153</f>
        <v>1</v>
      </c>
      <c r="N154">
        <f>澳门换算01!N153+澳门新定位结果!$P153</f>
        <v>1</v>
      </c>
      <c r="O154">
        <f>澳门换算01!O153+澳门新定位结果!$P153</f>
        <v>0</v>
      </c>
    </row>
    <row r="155" spans="1:15">
      <c r="A155" s="4" t="s">
        <v>327</v>
      </c>
      <c r="B155">
        <f>澳门换算01!B154+澳门新定位结果!$P154</f>
        <v>2</v>
      </c>
      <c r="C155">
        <f>澳门换算01!C154+澳门新定位结果!$P154</f>
        <v>2</v>
      </c>
      <c r="D155" s="1">
        <f>澳门换算01!D154+澳门新定位结果!$P154</f>
        <v>2</v>
      </c>
      <c r="E155">
        <f>澳门换算01!E154+澳门新定位结果!$P154</f>
        <v>2</v>
      </c>
      <c r="F155">
        <f>澳门换算01!F154+澳门新定位结果!$P154</f>
        <v>1</v>
      </c>
      <c r="G155">
        <f>澳门换算01!G154+澳门新定位结果!$P154</f>
        <v>2</v>
      </c>
      <c r="H155">
        <f>澳门换算01!H154+澳门新定位结果!$P154</f>
        <v>2</v>
      </c>
      <c r="I155">
        <f>澳门换算01!I154+澳门新定位结果!$P154</f>
        <v>2</v>
      </c>
      <c r="J155" s="1">
        <f>澳门换算01!J154+澳门新定位结果!$P154</f>
        <v>1</v>
      </c>
      <c r="K155">
        <f>澳门换算01!K154+澳门新定位结果!$P154</f>
        <v>2</v>
      </c>
      <c r="L155">
        <f>澳门换算01!L154+澳门新定位结果!$P154</f>
        <v>2</v>
      </c>
      <c r="M155" s="1">
        <f>澳门换算01!M154+澳门新定位结果!$P154</f>
        <v>1</v>
      </c>
      <c r="N155">
        <f>澳门换算01!N154+澳门新定位结果!$P154</f>
        <v>1</v>
      </c>
      <c r="O155">
        <f>澳门换算01!O154+澳门新定位结果!$P154</f>
        <v>1</v>
      </c>
    </row>
    <row r="156" spans="1:15">
      <c r="A156" s="4" t="s">
        <v>329</v>
      </c>
      <c r="B156">
        <f>澳门换算01!B155+澳门新定位结果!$P155</f>
        <v>0</v>
      </c>
      <c r="C156">
        <f>澳门换算01!C155+澳门新定位结果!$P155</f>
        <v>1</v>
      </c>
      <c r="D156" s="1">
        <f>澳门换算01!D155+澳门新定位结果!$P155</f>
        <v>0</v>
      </c>
      <c r="E156">
        <f>澳门换算01!E155+澳门新定位结果!$P155</f>
        <v>0</v>
      </c>
      <c r="F156">
        <f>澳门换算01!F155+澳门新定位结果!$P155</f>
        <v>1</v>
      </c>
      <c r="G156">
        <f>澳门换算01!G155+澳门新定位结果!$P155</f>
        <v>0</v>
      </c>
      <c r="H156">
        <f>澳门换算01!H155+澳门新定位结果!$P155</f>
        <v>0</v>
      </c>
      <c r="I156">
        <f>澳门换算01!I155+澳门新定位结果!$P155</f>
        <v>0</v>
      </c>
      <c r="J156" s="1">
        <f>澳门换算01!J155+澳门新定位结果!$P155</f>
        <v>1</v>
      </c>
      <c r="K156">
        <f>澳门换算01!K155+澳门新定位结果!$P155</f>
        <v>0</v>
      </c>
      <c r="L156">
        <f>澳门换算01!L155+澳门新定位结果!$P155</f>
        <v>0</v>
      </c>
      <c r="M156" s="1">
        <f>澳门换算01!M155+澳门新定位结果!$P155</f>
        <v>0</v>
      </c>
      <c r="N156">
        <f>澳门换算01!N155+澳门新定位结果!$P155</f>
        <v>1</v>
      </c>
      <c r="O156">
        <f>澳门换算01!O155+澳门新定位结果!$P155</f>
        <v>1</v>
      </c>
    </row>
    <row r="157" spans="1:15">
      <c r="A157" s="4" t="s">
        <v>331</v>
      </c>
      <c r="B157">
        <f>澳门换算01!B156+澳门新定位结果!$P156</f>
        <v>2</v>
      </c>
      <c r="C157">
        <f>澳门换算01!C156+澳门新定位结果!$P156</f>
        <v>2</v>
      </c>
      <c r="D157" s="1">
        <f>澳门换算01!D156+澳门新定位结果!$P156</f>
        <v>2</v>
      </c>
      <c r="E157">
        <f>澳门换算01!E156+澳门新定位结果!$P156</f>
        <v>2</v>
      </c>
      <c r="F157">
        <f>澳门换算01!F156+澳门新定位结果!$P156</f>
        <v>1</v>
      </c>
      <c r="G157">
        <f>澳门换算01!G156+澳门新定位结果!$P156</f>
        <v>2</v>
      </c>
      <c r="H157">
        <f>澳门换算01!H156+澳门新定位结果!$P156</f>
        <v>2</v>
      </c>
      <c r="I157">
        <f>澳门换算01!I156+澳门新定位结果!$P156</f>
        <v>2</v>
      </c>
      <c r="J157" s="1">
        <f>澳门换算01!J156+澳门新定位结果!$P156</f>
        <v>2</v>
      </c>
      <c r="K157">
        <f>澳门换算01!K156+澳门新定位结果!$P156</f>
        <v>1</v>
      </c>
      <c r="L157">
        <f>澳门换算01!L156+澳门新定位结果!$P156</f>
        <v>2</v>
      </c>
      <c r="M157" s="1">
        <f>澳门换算01!M156+澳门新定位结果!$P156</f>
        <v>2</v>
      </c>
      <c r="N157">
        <f>澳门换算01!N156+澳门新定位结果!$P156</f>
        <v>1</v>
      </c>
      <c r="O157">
        <f>澳门换算01!O156+澳门新定位结果!$P156</f>
        <v>1</v>
      </c>
    </row>
    <row r="158" spans="1:15">
      <c r="A158" s="4" t="s">
        <v>333</v>
      </c>
      <c r="B158">
        <f>澳门换算01!B157+澳门新定位结果!$P157</f>
        <v>1</v>
      </c>
      <c r="C158">
        <f>澳门换算01!C157+澳门新定位结果!$P157</f>
        <v>1</v>
      </c>
      <c r="D158" s="1">
        <f>澳门换算01!D157+澳门新定位结果!$P157</f>
        <v>0</v>
      </c>
      <c r="E158">
        <f>澳门换算01!E157+澳门新定位结果!$P157</f>
        <v>0</v>
      </c>
      <c r="F158">
        <f>澳门换算01!F157+澳门新定位结果!$P157</f>
        <v>0</v>
      </c>
      <c r="G158">
        <f>澳门换算01!G157+澳门新定位结果!$P157</f>
        <v>0</v>
      </c>
      <c r="H158">
        <f>澳门换算01!H157+澳门新定位结果!$P157</f>
        <v>1</v>
      </c>
      <c r="I158">
        <f>澳门换算01!I157+澳门新定位结果!$P157</f>
        <v>1</v>
      </c>
      <c r="J158" s="1">
        <f>澳门换算01!J157+澳门新定位结果!$P157</f>
        <v>1</v>
      </c>
      <c r="K158">
        <f>澳门换算01!K157+澳门新定位结果!$P157</f>
        <v>1</v>
      </c>
      <c r="L158">
        <f>澳门换算01!L157+澳门新定位结果!$P157</f>
        <v>1</v>
      </c>
      <c r="M158" s="1">
        <f>澳门换算01!M157+澳门新定位结果!$P157</f>
        <v>0</v>
      </c>
      <c r="N158">
        <f>澳门换算01!N157+澳门新定位结果!$P157</f>
        <v>0</v>
      </c>
      <c r="O158">
        <f>澳门换算01!O157+澳门新定位结果!$P157</f>
        <v>1</v>
      </c>
    </row>
    <row r="159" spans="1:15">
      <c r="A159" s="4" t="s">
        <v>335</v>
      </c>
      <c r="B159">
        <f>澳门换算01!B158+澳门新定位结果!$P158</f>
        <v>1</v>
      </c>
      <c r="C159">
        <f>澳门换算01!C158+澳门新定位结果!$P158</f>
        <v>2</v>
      </c>
      <c r="D159" s="1">
        <f>澳门换算01!D158+澳门新定位结果!$P158</f>
        <v>1</v>
      </c>
      <c r="E159">
        <f>澳门换算01!E158+澳门新定位结果!$P158</f>
        <v>2</v>
      </c>
      <c r="F159">
        <f>澳门换算01!F158+澳门新定位结果!$P158</f>
        <v>1</v>
      </c>
      <c r="G159">
        <f>澳门换算01!G158+澳门新定位结果!$P158</f>
        <v>1</v>
      </c>
      <c r="H159">
        <f>澳门换算01!H158+澳门新定位结果!$P158</f>
        <v>2</v>
      </c>
      <c r="I159">
        <f>澳门换算01!I158+澳门新定位结果!$P158</f>
        <v>1</v>
      </c>
      <c r="J159" s="1">
        <f>澳门换算01!J158+澳门新定位结果!$P158</f>
        <v>2</v>
      </c>
      <c r="K159">
        <f>澳门换算01!K158+澳门新定位结果!$P158</f>
        <v>1</v>
      </c>
      <c r="L159">
        <f>澳门换算01!L158+澳门新定位结果!$P158</f>
        <v>1</v>
      </c>
      <c r="M159" s="1">
        <f>澳门换算01!M158+澳门新定位结果!$P158</f>
        <v>2</v>
      </c>
      <c r="N159">
        <f>澳门换算01!N158+澳门新定位结果!$P158</f>
        <v>2</v>
      </c>
      <c r="O159">
        <f>澳门换算01!O158+澳门新定位结果!$P158</f>
        <v>2</v>
      </c>
    </row>
    <row r="160" spans="1:15">
      <c r="A160" s="4" t="s">
        <v>337</v>
      </c>
      <c r="B160">
        <f>澳门换算01!B159+澳门新定位结果!$P159</f>
        <v>0</v>
      </c>
      <c r="C160">
        <f>澳门换算01!C159+澳门新定位结果!$P159</f>
        <v>0</v>
      </c>
      <c r="D160" s="1">
        <f>澳门换算01!D159+澳门新定位结果!$P159</f>
        <v>1</v>
      </c>
      <c r="E160">
        <f>澳门换算01!E159+澳门新定位结果!$P159</f>
        <v>0</v>
      </c>
      <c r="F160">
        <f>澳门换算01!F159+澳门新定位结果!$P159</f>
        <v>0</v>
      </c>
      <c r="G160">
        <f>澳门换算01!G159+澳门新定位结果!$P159</f>
        <v>0</v>
      </c>
      <c r="H160">
        <f>澳门换算01!H159+澳门新定位结果!$P159</f>
        <v>0</v>
      </c>
      <c r="I160">
        <f>澳门换算01!I159+澳门新定位结果!$P159</f>
        <v>1</v>
      </c>
      <c r="J160" s="1">
        <f>澳门换算01!J159+澳门新定位结果!$P159</f>
        <v>0</v>
      </c>
      <c r="K160">
        <f>澳门换算01!K159+澳门新定位结果!$P159</f>
        <v>1</v>
      </c>
      <c r="L160">
        <f>澳门换算01!L159+澳门新定位结果!$P159</f>
        <v>0</v>
      </c>
      <c r="M160" s="1">
        <f>澳门换算01!M159+澳门新定位结果!$P159</f>
        <v>0</v>
      </c>
      <c r="N160">
        <f>澳门换算01!N159+澳门新定位结果!$P159</f>
        <v>1</v>
      </c>
      <c r="O160">
        <f>澳门换算01!O159+澳门新定位结果!$P159</f>
        <v>0</v>
      </c>
    </row>
    <row r="161" spans="1:15">
      <c r="A161" s="4" t="s">
        <v>339</v>
      </c>
      <c r="B161">
        <f>澳门换算01!B160+澳门新定位结果!$P160</f>
        <v>2</v>
      </c>
      <c r="C161">
        <f>澳门换算01!C160+澳门新定位结果!$P160</f>
        <v>2</v>
      </c>
      <c r="D161" s="1">
        <f>澳门换算01!D160+澳门新定位结果!$P160</f>
        <v>1</v>
      </c>
      <c r="E161">
        <f>澳门换算01!E160+澳门新定位结果!$P160</f>
        <v>1</v>
      </c>
      <c r="F161">
        <f>澳门换算01!F160+澳门新定位结果!$P160</f>
        <v>2</v>
      </c>
      <c r="G161">
        <f>澳门换算01!G160+澳门新定位结果!$P160</f>
        <v>2</v>
      </c>
      <c r="H161">
        <f>澳门换算01!H160+澳门新定位结果!$P160</f>
        <v>1</v>
      </c>
      <c r="I161">
        <f>澳门换算01!I160+澳门新定位结果!$P160</f>
        <v>2</v>
      </c>
      <c r="J161" s="1">
        <f>澳门换算01!J160+澳门新定位结果!$P160</f>
        <v>2</v>
      </c>
      <c r="K161">
        <f>澳门换算01!K160+澳门新定位结果!$P160</f>
        <v>2</v>
      </c>
      <c r="L161">
        <f>澳门换算01!L160+澳门新定位结果!$P160</f>
        <v>2</v>
      </c>
      <c r="M161" s="1">
        <f>澳门换算01!M160+澳门新定位结果!$P160</f>
        <v>2</v>
      </c>
      <c r="N161">
        <f>澳门换算01!N160+澳门新定位结果!$P160</f>
        <v>2</v>
      </c>
      <c r="O161">
        <f>澳门换算01!O160+澳门新定位结果!$P160</f>
        <v>2</v>
      </c>
    </row>
    <row r="162" spans="1:15">
      <c r="A162" s="4" t="s">
        <v>341</v>
      </c>
      <c r="B162">
        <f>澳门换算01!B161+澳门新定位结果!$P161</f>
        <v>2</v>
      </c>
      <c r="C162">
        <f>澳门换算01!C161+澳门新定位结果!$P161</f>
        <v>1</v>
      </c>
      <c r="D162" s="1">
        <f>澳门换算01!D161+澳门新定位结果!$P161</f>
        <v>2</v>
      </c>
      <c r="E162">
        <f>澳门换算01!E161+澳门新定位结果!$P161</f>
        <v>2</v>
      </c>
      <c r="F162">
        <f>澳门换算01!F161+澳门新定位结果!$P161</f>
        <v>1</v>
      </c>
      <c r="G162">
        <f>澳门换算01!G161+澳门新定位结果!$P161</f>
        <v>1</v>
      </c>
      <c r="H162">
        <f>澳门换算01!H161+澳门新定位结果!$P161</f>
        <v>2</v>
      </c>
      <c r="I162">
        <f>澳门换算01!I161+澳门新定位结果!$P161</f>
        <v>2</v>
      </c>
      <c r="J162" s="1">
        <f>澳门换算01!J161+澳门新定位结果!$P161</f>
        <v>1</v>
      </c>
      <c r="K162">
        <f>澳门换算01!K161+澳门新定位结果!$P161</f>
        <v>2</v>
      </c>
      <c r="L162">
        <f>澳门换算01!L161+澳门新定位结果!$P161</f>
        <v>2</v>
      </c>
      <c r="M162" s="1">
        <f>澳门换算01!M161+澳门新定位结果!$P161</f>
        <v>2</v>
      </c>
      <c r="N162">
        <f>澳门换算01!N161+澳门新定位结果!$P161</f>
        <v>2</v>
      </c>
      <c r="O162">
        <f>澳门换算01!O161+澳门新定位结果!$P161</f>
        <v>1</v>
      </c>
    </row>
    <row r="163" spans="1:15">
      <c r="A163" s="4" t="s">
        <v>343</v>
      </c>
      <c r="B163">
        <f>澳门换算01!B162+澳门新定位结果!$P162</f>
        <v>2</v>
      </c>
      <c r="C163">
        <f>澳门换算01!C162+澳门新定位结果!$P162</f>
        <v>2</v>
      </c>
      <c r="D163" s="1">
        <f>澳门换算01!D162+澳门新定位结果!$P162</f>
        <v>1</v>
      </c>
      <c r="E163">
        <f>澳门换算01!E162+澳门新定位结果!$P162</f>
        <v>1</v>
      </c>
      <c r="F163">
        <f>澳门换算01!F162+澳门新定位结果!$P162</f>
        <v>2</v>
      </c>
      <c r="G163">
        <f>澳门换算01!G162+澳门新定位结果!$P162</f>
        <v>2</v>
      </c>
      <c r="H163">
        <f>澳门换算01!H162+澳门新定位结果!$P162</f>
        <v>2</v>
      </c>
      <c r="I163">
        <f>澳门换算01!I162+澳门新定位结果!$P162</f>
        <v>2</v>
      </c>
      <c r="J163" s="1">
        <f>澳门换算01!J162+澳门新定位结果!$P162</f>
        <v>2</v>
      </c>
      <c r="K163">
        <f>澳门换算01!K162+澳门新定位结果!$P162</f>
        <v>1</v>
      </c>
      <c r="L163">
        <f>澳门换算01!L162+澳门新定位结果!$P162</f>
        <v>2</v>
      </c>
      <c r="M163" s="1">
        <f>澳门换算01!M162+澳门新定位结果!$P162</f>
        <v>1</v>
      </c>
      <c r="N163">
        <f>澳门换算01!N162+澳门新定位结果!$P162</f>
        <v>1</v>
      </c>
      <c r="O163">
        <f>澳门换算01!O162+澳门新定位结果!$P162</f>
        <v>2</v>
      </c>
    </row>
    <row r="164" spans="1:15">
      <c r="A164" s="4" t="s">
        <v>345</v>
      </c>
      <c r="B164">
        <f>澳门换算01!B163+澳门新定位结果!$P163</f>
        <v>1</v>
      </c>
      <c r="C164">
        <f>澳门换算01!C163+澳门新定位结果!$P163</f>
        <v>0</v>
      </c>
      <c r="D164" s="1">
        <f>澳门换算01!D163+澳门新定位结果!$P163</f>
        <v>1</v>
      </c>
      <c r="E164">
        <f>澳门换算01!E163+澳门新定位结果!$P163</f>
        <v>1</v>
      </c>
      <c r="F164">
        <f>澳门换算01!F163+澳门新定位结果!$P163</f>
        <v>0</v>
      </c>
      <c r="G164">
        <f>澳门换算01!G163+澳门新定位结果!$P163</f>
        <v>0</v>
      </c>
      <c r="H164">
        <f>澳门换算01!H163+澳门新定位结果!$P163</f>
        <v>0</v>
      </c>
      <c r="I164">
        <f>澳门换算01!I163+澳门新定位结果!$P163</f>
        <v>1</v>
      </c>
      <c r="J164" s="1">
        <f>澳门换算01!J163+澳门新定位结果!$P163</f>
        <v>1</v>
      </c>
      <c r="K164">
        <f>澳门换算01!K163+澳门新定位结果!$P163</f>
        <v>1</v>
      </c>
      <c r="L164">
        <f>澳门换算01!L163+澳门新定位结果!$P163</f>
        <v>1</v>
      </c>
      <c r="M164" s="1">
        <f>澳门换算01!M163+澳门新定位结果!$P163</f>
        <v>0</v>
      </c>
      <c r="N164">
        <f>澳门换算01!N163+澳门新定位结果!$P163</f>
        <v>0</v>
      </c>
      <c r="O164">
        <f>澳门换算01!O163+澳门新定位结果!$P163</f>
        <v>0</v>
      </c>
    </row>
    <row r="165" spans="1:15">
      <c r="A165" s="4" t="s">
        <v>347</v>
      </c>
      <c r="B165">
        <f>澳门换算01!B164+澳门新定位结果!$P164</f>
        <v>0</v>
      </c>
      <c r="C165">
        <f>澳门换算01!C164+澳门新定位结果!$P164</f>
        <v>0</v>
      </c>
      <c r="D165" s="1">
        <f>澳门换算01!D164+澳门新定位结果!$P164</f>
        <v>1</v>
      </c>
      <c r="E165">
        <f>澳门换算01!E164+澳门新定位结果!$P164</f>
        <v>0</v>
      </c>
      <c r="F165">
        <f>澳门换算01!F164+澳门新定位结果!$P164</f>
        <v>0</v>
      </c>
      <c r="G165">
        <f>澳门换算01!G164+澳门新定位结果!$P164</f>
        <v>0</v>
      </c>
      <c r="H165">
        <f>澳门换算01!H164+澳门新定位结果!$P164</f>
        <v>1</v>
      </c>
      <c r="I165">
        <f>澳门换算01!I164+澳门新定位结果!$P164</f>
        <v>1</v>
      </c>
      <c r="J165" s="1">
        <f>澳门换算01!J164+澳门新定位结果!$P164</f>
        <v>0</v>
      </c>
      <c r="K165">
        <f>澳门换算01!K164+澳门新定位结果!$P164</f>
        <v>1</v>
      </c>
      <c r="L165">
        <f>澳门换算01!L164+澳门新定位结果!$P164</f>
        <v>0</v>
      </c>
      <c r="M165" s="1">
        <f>澳门换算01!M164+澳门新定位结果!$P164</f>
        <v>1</v>
      </c>
      <c r="N165">
        <f>澳门换算01!N164+澳门新定位结果!$P164</f>
        <v>1</v>
      </c>
      <c r="O165">
        <f>澳门换算01!O164+澳门新定位结果!$P164</f>
        <v>1</v>
      </c>
    </row>
    <row r="166" spans="1:15">
      <c r="A166" s="4" t="s">
        <v>349</v>
      </c>
      <c r="B166">
        <f>澳门换算01!B165+澳门新定位结果!$P165</f>
        <v>1</v>
      </c>
      <c r="C166">
        <f>澳门换算01!C165+澳门新定位结果!$P165</f>
        <v>1</v>
      </c>
      <c r="D166" s="1">
        <f>澳门换算01!D165+澳门新定位结果!$P165</f>
        <v>0</v>
      </c>
      <c r="E166">
        <f>澳门换算01!E165+澳门新定位结果!$P165</f>
        <v>1</v>
      </c>
      <c r="F166">
        <f>澳门换算01!F165+澳门新定位结果!$P165</f>
        <v>1</v>
      </c>
      <c r="G166">
        <f>澳门换算01!G165+澳门新定位结果!$P165</f>
        <v>0</v>
      </c>
      <c r="H166">
        <f>澳门换算01!H165+澳门新定位结果!$P165</f>
        <v>0</v>
      </c>
      <c r="I166">
        <f>澳门换算01!I165+澳门新定位结果!$P165</f>
        <v>1</v>
      </c>
      <c r="J166" s="1">
        <f>澳门换算01!J165+澳门新定位结果!$P165</f>
        <v>1</v>
      </c>
      <c r="K166">
        <f>澳门换算01!K165+澳门新定位结果!$P165</f>
        <v>0</v>
      </c>
      <c r="L166">
        <f>澳门换算01!L165+澳门新定位结果!$P165</f>
        <v>1</v>
      </c>
      <c r="M166" s="1">
        <f>澳门换算01!M165+澳门新定位结果!$P165</f>
        <v>1</v>
      </c>
      <c r="N166">
        <f>澳门换算01!N165+澳门新定位结果!$P165</f>
        <v>1</v>
      </c>
      <c r="O166">
        <f>澳门换算01!O165+澳门新定位结果!$P165</f>
        <v>0</v>
      </c>
    </row>
    <row r="167" spans="1:15">
      <c r="A167" s="4" t="s">
        <v>351</v>
      </c>
      <c r="B167">
        <f>澳门换算01!B166+澳门新定位结果!$P166</f>
        <v>1</v>
      </c>
      <c r="C167">
        <f>澳门换算01!C166+澳门新定位结果!$P166</f>
        <v>2</v>
      </c>
      <c r="D167" s="1">
        <f>澳门换算01!D166+澳门新定位结果!$P166</f>
        <v>1</v>
      </c>
      <c r="E167">
        <f>澳门换算01!E166+澳门新定位结果!$P166</f>
        <v>2</v>
      </c>
      <c r="F167">
        <f>澳门换算01!F166+澳门新定位结果!$P166</f>
        <v>1</v>
      </c>
      <c r="G167">
        <f>澳门换算01!G166+澳门新定位结果!$P166</f>
        <v>1</v>
      </c>
      <c r="H167">
        <f>澳门换算01!H166+澳门新定位结果!$P166</f>
        <v>2</v>
      </c>
      <c r="I167">
        <f>澳门换算01!I166+澳门新定位结果!$P166</f>
        <v>1</v>
      </c>
      <c r="J167" s="1">
        <f>澳门换算01!J166+澳门新定位结果!$P166</f>
        <v>2</v>
      </c>
      <c r="K167">
        <f>澳门换算01!K166+澳门新定位结果!$P166</f>
        <v>2</v>
      </c>
      <c r="L167">
        <f>澳门换算01!L166+澳门新定位结果!$P166</f>
        <v>2</v>
      </c>
      <c r="M167" s="1">
        <f>澳门换算01!M166+澳门新定位结果!$P166</f>
        <v>1</v>
      </c>
      <c r="N167">
        <f>澳门换算01!N166+澳门新定位结果!$P166</f>
        <v>1</v>
      </c>
      <c r="O167">
        <f>澳门换算01!O166+澳门新定位结果!$P166</f>
        <v>1</v>
      </c>
    </row>
    <row r="168" spans="1:15">
      <c r="A168" s="4" t="s">
        <v>353</v>
      </c>
      <c r="B168">
        <f>澳门换算01!B167+澳门新定位结果!$P167</f>
        <v>1</v>
      </c>
      <c r="C168">
        <f>澳门换算01!C167+澳门新定位结果!$P167</f>
        <v>1</v>
      </c>
      <c r="D168" s="1">
        <f>澳门换算01!D167+澳门新定位结果!$P167</f>
        <v>1</v>
      </c>
      <c r="E168">
        <f>澳门换算01!E167+澳门新定位结果!$P167</f>
        <v>2</v>
      </c>
      <c r="F168">
        <f>澳门换算01!F167+澳门新定位结果!$P167</f>
        <v>2</v>
      </c>
      <c r="G168">
        <f>澳门换算01!G167+澳门新定位结果!$P167</f>
        <v>1</v>
      </c>
      <c r="H168">
        <f>澳门换算01!H167+澳门新定位结果!$P167</f>
        <v>1</v>
      </c>
      <c r="I168">
        <f>澳门换算01!I167+澳门新定位结果!$P167</f>
        <v>2</v>
      </c>
      <c r="J168" s="1">
        <f>澳门换算01!J167+澳门新定位结果!$P167</f>
        <v>1</v>
      </c>
      <c r="K168">
        <f>澳门换算01!K167+澳门新定位结果!$P167</f>
        <v>1</v>
      </c>
      <c r="L168">
        <f>澳门换算01!L167+澳门新定位结果!$P167</f>
        <v>1</v>
      </c>
      <c r="M168" s="1">
        <f>澳门换算01!M167+澳门新定位结果!$P167</f>
        <v>2</v>
      </c>
      <c r="N168">
        <f>澳门换算01!N167+澳门新定位结果!$P167</f>
        <v>1</v>
      </c>
      <c r="O168">
        <f>澳门换算01!O167+澳门新定位结果!$P167</f>
        <v>2</v>
      </c>
    </row>
    <row r="169" spans="1:15">
      <c r="A169" s="4" t="s">
        <v>355</v>
      </c>
      <c r="B169">
        <f>澳门换算01!B168+澳门新定位结果!$P168</f>
        <v>1</v>
      </c>
      <c r="C169">
        <f>澳门换算01!C168+澳门新定位结果!$P168</f>
        <v>1</v>
      </c>
      <c r="D169" s="1">
        <f>澳门换算01!D168+澳门新定位结果!$P168</f>
        <v>1</v>
      </c>
      <c r="E169">
        <f>澳门换算01!E168+澳门新定位结果!$P168</f>
        <v>1</v>
      </c>
      <c r="F169">
        <f>澳门换算01!F168+澳门新定位结果!$P168</f>
        <v>1</v>
      </c>
      <c r="G169">
        <f>澳门换算01!G168+澳门新定位结果!$P168</f>
        <v>0</v>
      </c>
      <c r="H169">
        <f>澳门换算01!H168+澳门新定位结果!$P168</f>
        <v>0</v>
      </c>
      <c r="I169">
        <f>澳门换算01!I168+澳门新定位结果!$P168</f>
        <v>1</v>
      </c>
      <c r="J169" s="1">
        <f>澳门换算01!J168+澳门新定位结果!$P168</f>
        <v>0</v>
      </c>
      <c r="K169">
        <f>澳门换算01!K168+澳门新定位结果!$P168</f>
        <v>1</v>
      </c>
      <c r="L169">
        <f>澳门换算01!L168+澳门新定位结果!$P168</f>
        <v>1</v>
      </c>
      <c r="M169" s="1">
        <f>澳门换算01!M168+澳门新定位结果!$P168</f>
        <v>1</v>
      </c>
      <c r="N169">
        <f>澳门换算01!N168+澳门新定位结果!$P168</f>
        <v>1</v>
      </c>
      <c r="O169">
        <f>澳门换算01!O168+澳门新定位结果!$P168</f>
        <v>1</v>
      </c>
    </row>
    <row r="170" spans="1:15">
      <c r="A170" s="4" t="s">
        <v>357</v>
      </c>
      <c r="B170">
        <f>澳门换算01!B169+澳门新定位结果!$P169</f>
        <v>0</v>
      </c>
      <c r="C170">
        <f>澳门换算01!C169+澳门新定位结果!$P169</f>
        <v>1</v>
      </c>
      <c r="D170" s="1">
        <f>澳门换算01!D169+澳门新定位结果!$P169</f>
        <v>0</v>
      </c>
      <c r="E170">
        <f>澳门换算01!E169+澳门新定位结果!$P169</f>
        <v>0</v>
      </c>
      <c r="F170">
        <f>澳门换算01!F169+澳门新定位结果!$P169</f>
        <v>0</v>
      </c>
      <c r="G170">
        <f>澳门换算01!G169+澳门新定位结果!$P169</f>
        <v>0</v>
      </c>
      <c r="H170">
        <f>澳门换算01!H169+澳门新定位结果!$P169</f>
        <v>1</v>
      </c>
      <c r="I170">
        <f>澳门换算01!I169+澳门新定位结果!$P169</f>
        <v>1</v>
      </c>
      <c r="J170" s="1">
        <f>澳门换算01!J169+澳门新定位结果!$P169</f>
        <v>0</v>
      </c>
      <c r="K170">
        <f>澳门换算01!K169+澳门新定位结果!$P169</f>
        <v>1</v>
      </c>
      <c r="L170">
        <f>澳门换算01!L169+澳门新定位结果!$P169</f>
        <v>1</v>
      </c>
      <c r="M170" s="1">
        <f>澳门换算01!M169+澳门新定位结果!$P169</f>
        <v>0</v>
      </c>
      <c r="N170">
        <f>澳门换算01!N169+澳门新定位结果!$P169</f>
        <v>0</v>
      </c>
      <c r="O170">
        <f>澳门换算01!O169+澳门新定位结果!$P169</f>
        <v>1</v>
      </c>
    </row>
    <row r="171" spans="1:15">
      <c r="A171" s="4" t="s">
        <v>359</v>
      </c>
      <c r="B171">
        <f>澳门换算01!B170+澳门新定位结果!$P170</f>
        <v>2</v>
      </c>
      <c r="C171">
        <f>澳门换算01!C170+澳门新定位结果!$P170</f>
        <v>2</v>
      </c>
      <c r="D171" s="1">
        <f>澳门换算01!D170+澳门新定位结果!$P170</f>
        <v>1</v>
      </c>
      <c r="E171">
        <f>澳门换算01!E170+澳门新定位结果!$P170</f>
        <v>1</v>
      </c>
      <c r="F171">
        <f>澳门换算01!F170+澳门新定位结果!$P170</f>
        <v>2</v>
      </c>
      <c r="G171">
        <f>澳门换算01!G170+澳门新定位结果!$P170</f>
        <v>1</v>
      </c>
      <c r="H171">
        <f>澳门换算01!H170+澳门新定位结果!$P170</f>
        <v>1</v>
      </c>
      <c r="I171">
        <f>澳门换算01!I170+澳门新定位结果!$P170</f>
        <v>2</v>
      </c>
      <c r="J171" s="1">
        <f>澳门换算01!J170+澳门新定位结果!$P170</f>
        <v>1</v>
      </c>
      <c r="K171">
        <f>澳门换算01!K170+澳门新定位结果!$P170</f>
        <v>2</v>
      </c>
      <c r="L171">
        <f>澳门换算01!L170+澳门新定位结果!$P170</f>
        <v>2</v>
      </c>
      <c r="M171" s="1">
        <f>澳门换算01!M170+澳门新定位结果!$P170</f>
        <v>1</v>
      </c>
      <c r="N171">
        <f>澳门换算01!N170+澳门新定位结果!$P170</f>
        <v>1</v>
      </c>
      <c r="O171">
        <f>澳门换算01!O170+澳门新定位结果!$P170</f>
        <v>2</v>
      </c>
    </row>
    <row r="172" spans="1:15">
      <c r="A172" s="4" t="s">
        <v>361</v>
      </c>
      <c r="B172">
        <f>澳门换算01!B171+澳门新定位结果!$P171</f>
        <v>1</v>
      </c>
      <c r="C172">
        <f>澳门换算01!C171+澳门新定位结果!$P171</f>
        <v>1</v>
      </c>
      <c r="D172" s="1">
        <f>澳门换算01!D171+澳门新定位结果!$P171</f>
        <v>1</v>
      </c>
      <c r="E172">
        <f>澳门换算01!E171+澳门新定位结果!$P171</f>
        <v>0</v>
      </c>
      <c r="F172">
        <f>澳门换算01!F171+澳门新定位结果!$P171</f>
        <v>0</v>
      </c>
      <c r="G172">
        <f>澳门换算01!G171+澳门新定位结果!$P171</f>
        <v>0</v>
      </c>
      <c r="H172">
        <f>澳门换算01!H171+澳门新定位结果!$P171</f>
        <v>1</v>
      </c>
      <c r="I172">
        <f>澳门换算01!I171+澳门新定位结果!$P171</f>
        <v>0</v>
      </c>
      <c r="J172" s="1">
        <f>澳门换算01!J171+澳门新定位结果!$P171</f>
        <v>1</v>
      </c>
      <c r="K172">
        <f>澳门换算01!K171+澳门新定位结果!$P171</f>
        <v>1</v>
      </c>
      <c r="L172">
        <f>澳门换算01!L171+澳门新定位结果!$P171</f>
        <v>1</v>
      </c>
      <c r="M172" s="1">
        <f>澳门换算01!M171+澳门新定位结果!$P171</f>
        <v>1</v>
      </c>
      <c r="N172">
        <f>澳门换算01!N171+澳门新定位结果!$P171</f>
        <v>1</v>
      </c>
      <c r="O172">
        <f>澳门换算01!O171+澳门新定位结果!$P171</f>
        <v>1</v>
      </c>
    </row>
    <row r="173" spans="1:15">
      <c r="A173" s="4" t="s">
        <v>363</v>
      </c>
      <c r="B173">
        <f>澳门换算01!B172+澳门新定位结果!$P172</f>
        <v>1</v>
      </c>
      <c r="C173">
        <f>澳门换算01!C172+澳门新定位结果!$P172</f>
        <v>1</v>
      </c>
      <c r="D173" s="1">
        <f>澳门换算01!D172+澳门新定位结果!$P172</f>
        <v>0</v>
      </c>
      <c r="E173">
        <f>澳门换算01!E172+澳门新定位结果!$P172</f>
        <v>1</v>
      </c>
      <c r="F173">
        <f>澳门换算01!F172+澳门新定位结果!$P172</f>
        <v>1</v>
      </c>
      <c r="G173">
        <f>澳门换算01!G172+澳门新定位结果!$P172</f>
        <v>1</v>
      </c>
      <c r="H173">
        <f>澳门换算01!H172+澳门新定位结果!$P172</f>
        <v>0</v>
      </c>
      <c r="I173">
        <f>澳门换算01!I172+澳门新定位结果!$P172</f>
        <v>1</v>
      </c>
      <c r="J173" s="1">
        <f>澳门换算01!J172+澳门新定位结果!$P172</f>
        <v>1</v>
      </c>
      <c r="K173">
        <f>澳门换算01!K172+澳门新定位结果!$P172</f>
        <v>1</v>
      </c>
      <c r="L173">
        <f>澳门换算01!L172+澳门新定位结果!$P172</f>
        <v>1</v>
      </c>
      <c r="M173" s="1">
        <f>澳门换算01!M172+澳门新定位结果!$P172</f>
        <v>1</v>
      </c>
      <c r="N173">
        <f>澳门换算01!N172+澳门新定位结果!$P172</f>
        <v>0</v>
      </c>
      <c r="O173">
        <f>澳门换算01!O172+澳门新定位结果!$P172</f>
        <v>1</v>
      </c>
    </row>
    <row r="174" spans="1:15">
      <c r="A174" s="4" t="s">
        <v>365</v>
      </c>
      <c r="B174">
        <f>澳门换算01!B173+澳门新定位结果!$P173</f>
        <v>1</v>
      </c>
      <c r="C174">
        <f>澳门换算01!C173+澳门新定位结果!$P173</f>
        <v>0</v>
      </c>
      <c r="D174" s="1">
        <f>澳门换算01!D173+澳门新定位结果!$P173</f>
        <v>0</v>
      </c>
      <c r="E174">
        <f>澳门换算01!E173+澳门新定位结果!$P173</f>
        <v>0</v>
      </c>
      <c r="F174">
        <f>澳门换算01!F173+澳门新定位结果!$P173</f>
        <v>0</v>
      </c>
      <c r="G174">
        <f>澳门换算01!G173+澳门新定位结果!$P173</f>
        <v>0</v>
      </c>
      <c r="H174">
        <f>澳门换算01!H173+澳门新定位结果!$P173</f>
        <v>0</v>
      </c>
      <c r="I174">
        <f>澳门换算01!I173+澳门新定位结果!$P173</f>
        <v>0</v>
      </c>
      <c r="J174" s="1">
        <f>澳门换算01!J173+澳门新定位结果!$P173</f>
        <v>0</v>
      </c>
      <c r="K174">
        <f>澳门换算01!K173+澳门新定位结果!$P173</f>
        <v>0</v>
      </c>
      <c r="L174">
        <f>澳门换算01!L173+澳门新定位结果!$P173</f>
        <v>1</v>
      </c>
      <c r="M174" s="1">
        <f>澳门换算01!M173+澳门新定位结果!$P173</f>
        <v>1</v>
      </c>
      <c r="N174">
        <f>澳门换算01!N173+澳门新定位结果!$P173</f>
        <v>1</v>
      </c>
      <c r="O174">
        <f>澳门换算01!O173+澳门新定位结果!$P173</f>
        <v>1</v>
      </c>
    </row>
    <row r="175" spans="1:15">
      <c r="A175" s="4" t="s">
        <v>367</v>
      </c>
      <c r="B175">
        <f>澳门换算01!B174+澳门新定位结果!$P174</f>
        <v>2</v>
      </c>
      <c r="C175">
        <f>澳门换算01!C174+澳门新定位结果!$P174</f>
        <v>2</v>
      </c>
      <c r="D175" s="1">
        <f>澳门换算01!D174+澳门新定位结果!$P174</f>
        <v>2</v>
      </c>
      <c r="E175">
        <f>澳门换算01!E174+澳门新定位结果!$P174</f>
        <v>2</v>
      </c>
      <c r="F175">
        <f>澳门换算01!F174+澳门新定位结果!$P174</f>
        <v>1</v>
      </c>
      <c r="G175">
        <f>澳门换算01!G174+澳门新定位结果!$P174</f>
        <v>2</v>
      </c>
      <c r="H175">
        <f>澳门换算01!H174+澳门新定位结果!$P174</f>
        <v>2</v>
      </c>
      <c r="I175">
        <f>澳门换算01!I174+澳门新定位结果!$P174</f>
        <v>2</v>
      </c>
      <c r="J175" s="1">
        <f>澳门换算01!J174+澳门新定位结果!$P174</f>
        <v>1</v>
      </c>
      <c r="K175">
        <f>澳门换算01!K174+澳门新定位结果!$P174</f>
        <v>1</v>
      </c>
      <c r="L175">
        <f>澳门换算01!L174+澳门新定位结果!$P174</f>
        <v>2</v>
      </c>
      <c r="M175" s="1">
        <f>澳门换算01!M174+澳门新定位结果!$P174</f>
        <v>2</v>
      </c>
      <c r="N175">
        <f>澳门换算01!N174+澳门新定位结果!$P174</f>
        <v>2</v>
      </c>
      <c r="O175">
        <f>澳门换算01!O174+澳门新定位结果!$P174</f>
        <v>2</v>
      </c>
    </row>
    <row r="176" spans="1:15">
      <c r="A176" s="4" t="s">
        <v>369</v>
      </c>
      <c r="B176">
        <f>澳门换算01!B175+澳门新定位结果!$P175</f>
        <v>2</v>
      </c>
      <c r="C176">
        <f>澳门换算01!C175+澳门新定位结果!$P175</f>
        <v>2</v>
      </c>
      <c r="D176" s="1">
        <f>澳门换算01!D175+澳门新定位结果!$P175</f>
        <v>2</v>
      </c>
      <c r="E176">
        <f>澳门换算01!E175+澳门新定位结果!$P175</f>
        <v>1</v>
      </c>
      <c r="F176">
        <f>澳门换算01!F175+澳门新定位结果!$P175</f>
        <v>2</v>
      </c>
      <c r="G176">
        <f>澳门换算01!G175+澳门新定位结果!$P175</f>
        <v>1</v>
      </c>
      <c r="H176">
        <f>澳门换算01!H175+澳门新定位结果!$P175</f>
        <v>1</v>
      </c>
      <c r="I176">
        <f>澳门换算01!I175+澳门新定位结果!$P175</f>
        <v>1</v>
      </c>
      <c r="J176" s="1">
        <f>澳门换算01!J175+澳门新定位结果!$P175</f>
        <v>1</v>
      </c>
      <c r="K176">
        <f>澳门换算01!K175+澳门新定位结果!$P175</f>
        <v>2</v>
      </c>
      <c r="L176">
        <f>澳门换算01!L175+澳门新定位结果!$P175</f>
        <v>2</v>
      </c>
      <c r="M176" s="1">
        <f>澳门换算01!M175+澳门新定位结果!$P175</f>
        <v>2</v>
      </c>
      <c r="N176">
        <f>澳门换算01!N175+澳门新定位结果!$P175</f>
        <v>2</v>
      </c>
      <c r="O176">
        <f>澳门换算01!O175+澳门新定位结果!$P175</f>
        <v>1</v>
      </c>
    </row>
    <row r="177" spans="1:15">
      <c r="A177" s="4" t="s">
        <v>371</v>
      </c>
      <c r="B177">
        <f>澳门换算01!B176+澳门新定位结果!$P176</f>
        <v>1</v>
      </c>
      <c r="C177">
        <f>澳门换算01!C176+澳门新定位结果!$P176</f>
        <v>1</v>
      </c>
      <c r="D177" s="1">
        <f>澳门换算01!D176+澳门新定位结果!$P176</f>
        <v>1</v>
      </c>
      <c r="E177">
        <f>澳门换算01!E176+澳门新定位结果!$P176</f>
        <v>1</v>
      </c>
      <c r="F177">
        <f>澳门换算01!F176+澳门新定位结果!$P176</f>
        <v>1</v>
      </c>
      <c r="G177">
        <f>澳门换算01!G176+澳门新定位结果!$P176</f>
        <v>1</v>
      </c>
      <c r="H177">
        <f>澳门换算01!H176+澳门新定位结果!$P176</f>
        <v>2</v>
      </c>
      <c r="I177">
        <f>澳门换算01!I176+澳门新定位结果!$P176</f>
        <v>2</v>
      </c>
      <c r="J177" s="1">
        <f>澳门换算01!J176+澳门新定位结果!$P176</f>
        <v>1</v>
      </c>
      <c r="K177">
        <f>澳门换算01!K176+澳门新定位结果!$P176</f>
        <v>2</v>
      </c>
      <c r="L177">
        <f>澳门换算01!L176+澳门新定位结果!$P176</f>
        <v>2</v>
      </c>
      <c r="M177" s="1">
        <f>澳门换算01!M176+澳门新定位结果!$P176</f>
        <v>1</v>
      </c>
      <c r="N177">
        <f>澳门换算01!N176+澳门新定位结果!$P176</f>
        <v>2</v>
      </c>
      <c r="O177">
        <f>澳门换算01!O176+澳门新定位结果!$P176</f>
        <v>1</v>
      </c>
    </row>
    <row r="178" spans="1:15">
      <c r="A178" s="4" t="s">
        <v>373</v>
      </c>
      <c r="B178">
        <f>澳门换算01!B177+澳门新定位结果!$P177</f>
        <v>2</v>
      </c>
      <c r="C178">
        <f>澳门换算01!C177+澳门新定位结果!$P177</f>
        <v>2</v>
      </c>
      <c r="D178" s="1">
        <f>澳门换算01!D177+澳门新定位结果!$P177</f>
        <v>1</v>
      </c>
      <c r="E178">
        <f>澳门换算01!E177+澳门新定位结果!$P177</f>
        <v>2</v>
      </c>
      <c r="F178">
        <f>澳门换算01!F177+澳门新定位结果!$P177</f>
        <v>2</v>
      </c>
      <c r="G178">
        <f>澳门换算01!G177+澳门新定位结果!$P177</f>
        <v>1</v>
      </c>
      <c r="H178">
        <f>澳门换算01!H177+澳门新定位结果!$P177</f>
        <v>2</v>
      </c>
      <c r="I178">
        <f>澳门换算01!I177+澳门新定位结果!$P177</f>
        <v>2</v>
      </c>
      <c r="J178" s="1">
        <f>澳门换算01!J177+澳门新定位结果!$P177</f>
        <v>2</v>
      </c>
      <c r="K178">
        <f>澳门换算01!K177+澳门新定位结果!$P177</f>
        <v>2</v>
      </c>
      <c r="L178">
        <f>澳门换算01!L177+澳门新定位结果!$P177</f>
        <v>2</v>
      </c>
      <c r="M178" s="1">
        <f>澳门换算01!M177+澳门新定位结果!$P177</f>
        <v>2</v>
      </c>
      <c r="N178">
        <f>澳门换算01!N177+澳门新定位结果!$P177</f>
        <v>1</v>
      </c>
      <c r="O178">
        <f>澳门换算01!O177+澳门新定位结果!$P177</f>
        <v>2</v>
      </c>
    </row>
    <row r="179" spans="1:15">
      <c r="A179" s="4" t="s">
        <v>375</v>
      </c>
      <c r="B179">
        <f>澳门换算01!B178+澳门新定位结果!$P178</f>
        <v>0</v>
      </c>
      <c r="C179">
        <f>澳门换算01!C178+澳门新定位结果!$P178</f>
        <v>1</v>
      </c>
      <c r="D179" s="1">
        <f>澳门换算01!D178+澳门新定位结果!$P178</f>
        <v>0</v>
      </c>
      <c r="E179">
        <f>澳门换算01!E178+澳门新定位结果!$P178</f>
        <v>0</v>
      </c>
      <c r="F179">
        <f>澳门换算01!F178+澳门新定位结果!$P178</f>
        <v>0</v>
      </c>
      <c r="G179">
        <f>澳门换算01!G178+澳门新定位结果!$P178</f>
        <v>0</v>
      </c>
      <c r="H179">
        <f>澳门换算01!H178+澳门新定位结果!$P178</f>
        <v>0</v>
      </c>
      <c r="I179">
        <f>澳门换算01!I178+澳门新定位结果!$P178</f>
        <v>1</v>
      </c>
      <c r="J179" s="1">
        <f>澳门换算01!J178+澳门新定位结果!$P178</f>
        <v>1</v>
      </c>
      <c r="K179">
        <f>澳门换算01!K178+澳门新定位结果!$P178</f>
        <v>0</v>
      </c>
      <c r="L179">
        <f>澳门换算01!L178+澳门新定位结果!$P178</f>
        <v>0</v>
      </c>
      <c r="M179" s="1">
        <f>澳门换算01!M178+澳门新定位结果!$P178</f>
        <v>1</v>
      </c>
      <c r="N179">
        <f>澳门换算01!N178+澳门新定位结果!$P178</f>
        <v>1</v>
      </c>
      <c r="O179">
        <f>澳门换算01!O178+澳门新定位结果!$P178</f>
        <v>1</v>
      </c>
    </row>
    <row r="180" spans="1:15">
      <c r="A180" s="4" t="s">
        <v>377</v>
      </c>
      <c r="B180">
        <f>澳门换算01!B179+澳门新定位结果!$P179</f>
        <v>2</v>
      </c>
      <c r="C180">
        <f>澳门换算01!C179+澳门新定位结果!$P179</f>
        <v>1</v>
      </c>
      <c r="D180" s="1">
        <f>澳门换算01!D179+澳门新定位结果!$P179</f>
        <v>1</v>
      </c>
      <c r="E180">
        <f>澳门换算01!E179+澳门新定位结果!$P179</f>
        <v>2</v>
      </c>
      <c r="F180">
        <f>澳门换算01!F179+澳门新定位结果!$P179</f>
        <v>1</v>
      </c>
      <c r="G180">
        <f>澳门换算01!G179+澳门新定位结果!$P179</f>
        <v>2</v>
      </c>
      <c r="H180">
        <f>澳门换算01!H179+澳门新定位结果!$P179</f>
        <v>2</v>
      </c>
      <c r="I180">
        <f>澳门换算01!I179+澳门新定位结果!$P179</f>
        <v>2</v>
      </c>
      <c r="J180" s="1">
        <f>澳门换算01!J179+澳门新定位结果!$P179</f>
        <v>1</v>
      </c>
      <c r="K180">
        <f>澳门换算01!K179+澳门新定位结果!$P179</f>
        <v>1</v>
      </c>
      <c r="L180">
        <f>澳门换算01!L179+澳门新定位结果!$P179</f>
        <v>1</v>
      </c>
      <c r="M180" s="1">
        <f>澳门换算01!M179+澳门新定位结果!$P179</f>
        <v>1</v>
      </c>
      <c r="N180">
        <f>澳门换算01!N179+澳门新定位结果!$P179</f>
        <v>1</v>
      </c>
      <c r="O180">
        <f>澳门换算01!O179+澳门新定位结果!$P179</f>
        <v>2</v>
      </c>
    </row>
    <row r="181" spans="1:15">
      <c r="A181" s="4" t="s">
        <v>379</v>
      </c>
      <c r="B181">
        <f>澳门换算01!B180+澳门新定位结果!$P180</f>
        <v>1</v>
      </c>
      <c r="C181">
        <f>澳门换算01!C180+澳门新定位结果!$P180</f>
        <v>1</v>
      </c>
      <c r="D181" s="1">
        <f>澳门换算01!D180+澳门新定位结果!$P180</f>
        <v>2</v>
      </c>
      <c r="E181">
        <f>澳门换算01!E180+澳门新定位结果!$P180</f>
        <v>1</v>
      </c>
      <c r="F181">
        <f>澳门换算01!F180+澳门新定位结果!$P180</f>
        <v>2</v>
      </c>
      <c r="G181">
        <f>澳门换算01!G180+澳门新定位结果!$P180</f>
        <v>2</v>
      </c>
      <c r="H181">
        <f>澳门换算01!H180+澳门新定位结果!$P180</f>
        <v>1</v>
      </c>
      <c r="I181">
        <f>澳门换算01!I180+澳门新定位结果!$P180</f>
        <v>1</v>
      </c>
      <c r="J181" s="1">
        <f>澳门换算01!J180+澳门新定位结果!$P180</f>
        <v>1</v>
      </c>
      <c r="K181">
        <f>澳门换算01!K180+澳门新定位结果!$P180</f>
        <v>1</v>
      </c>
      <c r="L181">
        <f>澳门换算01!L180+澳门新定位结果!$P180</f>
        <v>1</v>
      </c>
      <c r="M181" s="1">
        <f>澳门换算01!M180+澳门新定位结果!$P180</f>
        <v>2</v>
      </c>
      <c r="N181">
        <f>澳门换算01!N180+澳门新定位结果!$P180</f>
        <v>2</v>
      </c>
      <c r="O181">
        <f>澳门换算01!O180+澳门新定位结果!$P180</f>
        <v>2</v>
      </c>
    </row>
    <row r="182" spans="1:15">
      <c r="A182" s="4" t="s">
        <v>381</v>
      </c>
      <c r="B182">
        <f>澳门换算01!B181+澳门新定位结果!$P181</f>
        <v>1</v>
      </c>
      <c r="C182">
        <f>澳门换算01!C181+澳门新定位结果!$P181</f>
        <v>1</v>
      </c>
      <c r="D182" s="1">
        <f>澳门换算01!D181+澳门新定位结果!$P181</f>
        <v>0</v>
      </c>
      <c r="E182">
        <f>澳门换算01!E181+澳门新定位结果!$P181</f>
        <v>0</v>
      </c>
      <c r="F182">
        <f>澳门换算01!F181+澳门新定位结果!$P181</f>
        <v>0</v>
      </c>
      <c r="G182">
        <f>澳门换算01!G181+澳门新定位结果!$P181</f>
        <v>0</v>
      </c>
      <c r="H182">
        <f>澳门换算01!H181+澳门新定位结果!$P181</f>
        <v>1</v>
      </c>
      <c r="I182">
        <f>澳门换算01!I181+澳门新定位结果!$P181</f>
        <v>1</v>
      </c>
      <c r="J182" s="1">
        <f>澳门换算01!J181+澳门新定位结果!$P181</f>
        <v>1</v>
      </c>
      <c r="K182">
        <f>澳门换算01!K181+澳门新定位结果!$P181</f>
        <v>1</v>
      </c>
      <c r="L182">
        <f>澳门换算01!L181+澳门新定位结果!$P181</f>
        <v>1</v>
      </c>
      <c r="M182" s="1">
        <f>澳门换算01!M181+澳门新定位结果!$P181</f>
        <v>1</v>
      </c>
      <c r="N182">
        <f>澳门换算01!N181+澳门新定位结果!$P181</f>
        <v>1</v>
      </c>
      <c r="O182">
        <f>澳门换算01!O181+澳门新定位结果!$P181</f>
        <v>0</v>
      </c>
    </row>
    <row r="183" spans="1:15">
      <c r="A183" s="4" t="s">
        <v>383</v>
      </c>
      <c r="B183">
        <f>澳门换算01!B182+澳门新定位结果!$P182</f>
        <v>0</v>
      </c>
      <c r="C183">
        <f>澳门换算01!C182+澳门新定位结果!$P182</f>
        <v>1</v>
      </c>
      <c r="D183" s="1">
        <f>澳门换算01!D182+澳门新定位结果!$P182</f>
        <v>0</v>
      </c>
      <c r="E183">
        <f>澳门换算01!E182+澳门新定位结果!$P182</f>
        <v>1</v>
      </c>
      <c r="F183">
        <f>澳门换算01!F182+澳门新定位结果!$P182</f>
        <v>1</v>
      </c>
      <c r="G183">
        <f>澳门换算01!G182+澳门新定位结果!$P182</f>
        <v>1</v>
      </c>
      <c r="H183">
        <f>澳门换算01!H182+澳门新定位结果!$P182</f>
        <v>1</v>
      </c>
      <c r="I183">
        <f>澳门换算01!I182+澳门新定位结果!$P182</f>
        <v>1</v>
      </c>
      <c r="J183" s="1">
        <f>澳门换算01!J182+澳门新定位结果!$P182</f>
        <v>1</v>
      </c>
      <c r="K183">
        <f>澳门换算01!K182+澳门新定位结果!$P182</f>
        <v>0</v>
      </c>
      <c r="L183">
        <f>澳门换算01!L182+澳门新定位结果!$P182</f>
        <v>0</v>
      </c>
      <c r="M183" s="1">
        <f>澳门换算01!M182+澳门新定位结果!$P182</f>
        <v>1</v>
      </c>
      <c r="N183">
        <f>澳门换算01!N182+澳门新定位结果!$P182</f>
        <v>0</v>
      </c>
      <c r="O183">
        <f>澳门换算01!O182+澳门新定位结果!$P182</f>
        <v>1</v>
      </c>
    </row>
    <row r="184" spans="1:15">
      <c r="A184" s="4" t="s">
        <v>385</v>
      </c>
      <c r="B184">
        <f>澳门换算01!B183+澳门新定位结果!$P183</f>
        <v>1</v>
      </c>
      <c r="C184">
        <f>澳门换算01!C183+澳门新定位结果!$P183</f>
        <v>1</v>
      </c>
      <c r="D184" s="1">
        <f>澳门换算01!D183+澳门新定位结果!$P183</f>
        <v>2</v>
      </c>
      <c r="E184">
        <f>澳门换算01!E183+澳门新定位结果!$P183</f>
        <v>2</v>
      </c>
      <c r="F184">
        <f>澳门换算01!F183+澳门新定位结果!$P183</f>
        <v>2</v>
      </c>
      <c r="G184">
        <f>澳门换算01!G183+澳门新定位结果!$P183</f>
        <v>1</v>
      </c>
      <c r="H184">
        <f>澳门换算01!H183+澳门新定位结果!$P183</f>
        <v>1</v>
      </c>
      <c r="I184">
        <f>澳门换算01!I183+澳门新定位结果!$P183</f>
        <v>1</v>
      </c>
      <c r="J184" s="1">
        <f>澳门换算01!J183+澳门新定位结果!$P183</f>
        <v>1</v>
      </c>
      <c r="K184">
        <f>澳门换算01!K183+澳门新定位结果!$P183</f>
        <v>2</v>
      </c>
      <c r="L184">
        <f>澳门换算01!L183+澳门新定位结果!$P183</f>
        <v>1</v>
      </c>
      <c r="M184" s="1">
        <f>澳门换算01!M183+澳门新定位结果!$P183</f>
        <v>2</v>
      </c>
      <c r="N184">
        <f>澳门换算01!N183+澳门新定位结果!$P183</f>
        <v>2</v>
      </c>
      <c r="O184">
        <f>澳门换算01!O183+澳门新定位结果!$P183</f>
        <v>2</v>
      </c>
    </row>
    <row r="185" spans="1:15">
      <c r="A185" s="4" t="s">
        <v>387</v>
      </c>
      <c r="B185">
        <f>澳门换算01!B184+澳门新定位结果!$P184</f>
        <v>1</v>
      </c>
      <c r="C185">
        <f>澳门换算01!C184+澳门新定位结果!$P184</f>
        <v>2</v>
      </c>
      <c r="D185" s="1">
        <f>澳门换算01!D184+澳门新定位结果!$P184</f>
        <v>2</v>
      </c>
      <c r="E185">
        <f>澳门换算01!E184+澳门新定位结果!$P184</f>
        <v>1</v>
      </c>
      <c r="F185">
        <f>澳门换算01!F184+澳门新定位结果!$P184</f>
        <v>1</v>
      </c>
      <c r="G185">
        <f>澳门换算01!G184+澳门新定位结果!$P184</f>
        <v>2</v>
      </c>
      <c r="H185">
        <f>澳门换算01!H184+澳门新定位结果!$P184</f>
        <v>2</v>
      </c>
      <c r="I185">
        <f>澳门换算01!I184+澳门新定位结果!$P184</f>
        <v>1</v>
      </c>
      <c r="J185" s="1">
        <f>澳门换算01!J184+澳门新定位结果!$P184</f>
        <v>1</v>
      </c>
      <c r="K185">
        <f>澳门换算01!K184+澳门新定位结果!$P184</f>
        <v>2</v>
      </c>
      <c r="L185">
        <f>澳门换算01!L184+澳门新定位结果!$P184</f>
        <v>2</v>
      </c>
      <c r="M185" s="1">
        <f>澳门换算01!M184+澳门新定位结果!$P184</f>
        <v>1</v>
      </c>
      <c r="N185">
        <f>澳门换算01!N184+澳门新定位结果!$P184</f>
        <v>1</v>
      </c>
      <c r="O185">
        <f>澳门换算01!O184+澳门新定位结果!$P184</f>
        <v>2</v>
      </c>
    </row>
    <row r="186" spans="1:15">
      <c r="A186" s="4" t="s">
        <v>389</v>
      </c>
      <c r="B186">
        <f>澳门换算01!B185+澳门新定位结果!$P185</f>
        <v>1</v>
      </c>
      <c r="C186">
        <f>澳门换算01!C185+澳门新定位结果!$P185</f>
        <v>2</v>
      </c>
      <c r="D186" s="1">
        <f>澳门换算01!D185+澳门新定位结果!$P185</f>
        <v>2</v>
      </c>
      <c r="E186">
        <f>澳门换算01!E185+澳门新定位结果!$P185</f>
        <v>2</v>
      </c>
      <c r="F186">
        <f>澳门换算01!F185+澳门新定位结果!$P185</f>
        <v>2</v>
      </c>
      <c r="G186">
        <f>澳门换算01!G185+澳门新定位结果!$P185</f>
        <v>1</v>
      </c>
      <c r="H186">
        <f>澳门换算01!H185+澳门新定位结果!$P185</f>
        <v>1</v>
      </c>
      <c r="I186">
        <f>澳门换算01!I185+澳门新定位结果!$P185</f>
        <v>2</v>
      </c>
      <c r="J186" s="1">
        <f>澳门换算01!J185+澳门新定位结果!$P185</f>
        <v>2</v>
      </c>
      <c r="K186">
        <f>澳门换算01!K185+澳门新定位结果!$P185</f>
        <v>2</v>
      </c>
      <c r="L186">
        <f>澳门换算01!L185+澳门新定位结果!$P185</f>
        <v>1</v>
      </c>
      <c r="M186" s="1">
        <f>澳门换算01!M185+澳门新定位结果!$P185</f>
        <v>1</v>
      </c>
      <c r="N186">
        <f>澳门换算01!N185+澳门新定位结果!$P185</f>
        <v>1</v>
      </c>
      <c r="O186">
        <f>澳门换算01!O185+澳门新定位结果!$P185</f>
        <v>2</v>
      </c>
    </row>
    <row r="187" spans="1:15">
      <c r="A187" s="4" t="s">
        <v>391</v>
      </c>
      <c r="B187">
        <f>澳门换算01!B186+澳门新定位结果!$P186</f>
        <v>1</v>
      </c>
      <c r="C187">
        <f>澳门换算01!C186+澳门新定位结果!$P186</f>
        <v>2</v>
      </c>
      <c r="D187" s="1">
        <f>澳门换算01!D186+澳门新定位结果!$P186</f>
        <v>1</v>
      </c>
      <c r="E187">
        <f>澳门换算01!E186+澳门新定位结果!$P186</f>
        <v>2</v>
      </c>
      <c r="F187">
        <f>澳门换算01!F186+澳门新定位结果!$P186</f>
        <v>1</v>
      </c>
      <c r="G187">
        <f>澳门换算01!G186+澳门新定位结果!$P186</f>
        <v>1</v>
      </c>
      <c r="H187">
        <f>澳门换算01!H186+澳门新定位结果!$P186</f>
        <v>2</v>
      </c>
      <c r="I187">
        <f>澳门换算01!I186+澳门新定位结果!$P186</f>
        <v>1</v>
      </c>
      <c r="J187" s="1">
        <f>澳门换算01!J186+澳门新定位结果!$P186</f>
        <v>2</v>
      </c>
      <c r="K187">
        <f>澳门换算01!K186+澳门新定位结果!$P186</f>
        <v>2</v>
      </c>
      <c r="L187">
        <f>澳门换算01!L186+澳门新定位结果!$P186</f>
        <v>1</v>
      </c>
      <c r="M187" s="1">
        <f>澳门换算01!M186+澳门新定位结果!$P186</f>
        <v>1</v>
      </c>
      <c r="N187">
        <f>澳门换算01!N186+澳门新定位结果!$P186</f>
        <v>2</v>
      </c>
      <c r="O187">
        <f>澳门换算01!O186+澳门新定位结果!$P186</f>
        <v>1</v>
      </c>
    </row>
    <row r="188" spans="1:15">
      <c r="A188" s="4" t="s">
        <v>393</v>
      </c>
      <c r="B188">
        <f>澳门换算01!B187+澳门新定位结果!$P187</f>
        <v>0</v>
      </c>
      <c r="C188">
        <f>澳门换算01!C187+澳门新定位结果!$P187</f>
        <v>1</v>
      </c>
      <c r="D188" s="1">
        <f>澳门换算01!D187+澳门新定位结果!$P187</f>
        <v>0</v>
      </c>
      <c r="E188">
        <f>澳门换算01!E187+澳门新定位结果!$P187</f>
        <v>1</v>
      </c>
      <c r="F188">
        <f>澳门换算01!F187+澳门新定位结果!$P187</f>
        <v>1</v>
      </c>
      <c r="G188">
        <f>澳门换算01!G187+澳门新定位结果!$P187</f>
        <v>1</v>
      </c>
      <c r="H188">
        <f>澳门换算01!H187+澳门新定位结果!$P187</f>
        <v>1</v>
      </c>
      <c r="I188">
        <f>澳门换算01!I187+澳门新定位结果!$P187</f>
        <v>1</v>
      </c>
      <c r="J188" s="1">
        <f>澳门换算01!J187+澳门新定位结果!$P187</f>
        <v>0</v>
      </c>
      <c r="K188">
        <f>澳门换算01!K187+澳门新定位结果!$P187</f>
        <v>0</v>
      </c>
      <c r="L188">
        <f>澳门换算01!L187+澳门新定位结果!$P187</f>
        <v>1</v>
      </c>
      <c r="M188" s="1">
        <f>澳门换算01!M187+澳门新定位结果!$P187</f>
        <v>1</v>
      </c>
      <c r="N188">
        <f>澳门换算01!N187+澳门新定位结果!$P187</f>
        <v>0</v>
      </c>
      <c r="O188">
        <f>澳门换算01!O187+澳门新定位结果!$P187</f>
        <v>0</v>
      </c>
    </row>
    <row r="189" spans="1:15">
      <c r="A189" s="4" t="s">
        <v>395</v>
      </c>
      <c r="B189">
        <f>澳门换算01!B188+澳门新定位结果!$P188</f>
        <v>1</v>
      </c>
      <c r="C189">
        <f>澳门换算01!C188+澳门新定位结果!$P188</f>
        <v>2</v>
      </c>
      <c r="D189" s="1">
        <f>澳门换算01!D188+澳门新定位结果!$P188</f>
        <v>1</v>
      </c>
      <c r="E189">
        <f>澳门换算01!E188+澳门新定位结果!$P188</f>
        <v>1</v>
      </c>
      <c r="F189">
        <f>澳门换算01!F188+澳门新定位结果!$P188</f>
        <v>1</v>
      </c>
      <c r="G189">
        <f>澳门换算01!G188+澳门新定位结果!$P188</f>
        <v>1</v>
      </c>
      <c r="H189">
        <f>澳门换算01!H188+澳门新定位结果!$P188</f>
        <v>1</v>
      </c>
      <c r="I189">
        <f>澳门换算01!I188+澳门新定位结果!$P188</f>
        <v>1</v>
      </c>
      <c r="J189" s="1">
        <f>澳门换算01!J188+澳门新定位结果!$P188</f>
        <v>1</v>
      </c>
      <c r="K189">
        <f>澳门换算01!K188+澳门新定位结果!$P188</f>
        <v>1</v>
      </c>
      <c r="L189">
        <f>澳门换算01!L188+澳门新定位结果!$P188</f>
        <v>1</v>
      </c>
      <c r="M189" s="1">
        <f>澳门换算01!M188+澳门新定位结果!$P188</f>
        <v>2</v>
      </c>
      <c r="N189">
        <f>澳门换算01!N188+澳门新定位结果!$P188</f>
        <v>2</v>
      </c>
      <c r="O189">
        <f>澳门换算01!O188+澳门新定位结果!$P188</f>
        <v>2</v>
      </c>
    </row>
    <row r="190" spans="1:15">
      <c r="A190" s="4" t="s">
        <v>397</v>
      </c>
      <c r="B190">
        <f>澳门换算01!B189+澳门新定位结果!$P189</f>
        <v>0</v>
      </c>
      <c r="C190">
        <f>澳门换算01!C189+澳门新定位结果!$P189</f>
        <v>1</v>
      </c>
      <c r="D190" s="1">
        <f>澳门换算01!D189+澳门新定位结果!$P189</f>
        <v>0</v>
      </c>
      <c r="E190">
        <f>澳门换算01!E189+澳门新定位结果!$P189</f>
        <v>0</v>
      </c>
      <c r="F190">
        <f>澳门换算01!F189+澳门新定位结果!$P189</f>
        <v>0</v>
      </c>
      <c r="G190">
        <f>澳门换算01!G189+澳门新定位结果!$P189</f>
        <v>0</v>
      </c>
      <c r="H190">
        <f>澳门换算01!H189+澳门新定位结果!$P189</f>
        <v>0</v>
      </c>
      <c r="I190">
        <f>澳门换算01!I189+澳门新定位结果!$P189</f>
        <v>1</v>
      </c>
      <c r="J190" s="1">
        <f>澳门换算01!J189+澳门新定位结果!$P189</f>
        <v>0</v>
      </c>
      <c r="K190">
        <f>澳门换算01!K189+澳门新定位结果!$P189</f>
        <v>1</v>
      </c>
      <c r="L190">
        <f>澳门换算01!L189+澳门新定位结果!$P189</f>
        <v>1</v>
      </c>
      <c r="M190" s="1">
        <f>澳门换算01!M189+澳门新定位结果!$P189</f>
        <v>0</v>
      </c>
      <c r="N190">
        <f>澳门换算01!N189+澳门新定位结果!$P189</f>
        <v>1</v>
      </c>
      <c r="O190">
        <f>澳门换算01!O189+澳门新定位结果!$P189</f>
        <v>1</v>
      </c>
    </row>
    <row r="191" spans="1:15">
      <c r="A191" s="4" t="s">
        <v>399</v>
      </c>
      <c r="B191">
        <f>澳门换算01!B190+澳门新定位结果!$P190</f>
        <v>1</v>
      </c>
      <c r="C191">
        <f>澳门换算01!C190+澳门新定位结果!$P190</f>
        <v>2</v>
      </c>
      <c r="D191" s="1">
        <f>澳门换算01!D190+澳门新定位结果!$P190</f>
        <v>1</v>
      </c>
      <c r="E191">
        <f>澳门换算01!E190+澳门新定位结果!$P190</f>
        <v>1</v>
      </c>
      <c r="F191">
        <f>澳门换算01!F190+澳门新定位结果!$P190</f>
        <v>1</v>
      </c>
      <c r="G191">
        <f>澳门换算01!G190+澳门新定位结果!$P190</f>
        <v>1</v>
      </c>
      <c r="H191">
        <f>澳门换算01!H190+澳门新定位结果!$P190</f>
        <v>1</v>
      </c>
      <c r="I191">
        <f>澳门换算01!I190+澳门新定位结果!$P190</f>
        <v>2</v>
      </c>
      <c r="J191" s="1">
        <f>澳门换算01!J190+澳门新定位结果!$P190</f>
        <v>1</v>
      </c>
      <c r="K191">
        <f>澳门换算01!K190+澳门新定位结果!$P190</f>
        <v>2</v>
      </c>
      <c r="L191">
        <f>澳门换算01!L190+澳门新定位结果!$P190</f>
        <v>2</v>
      </c>
      <c r="M191" s="1">
        <f>澳门换算01!M190+澳门新定位结果!$P190</f>
        <v>1</v>
      </c>
      <c r="N191">
        <f>澳门换算01!N190+澳门新定位结果!$P190</f>
        <v>2</v>
      </c>
      <c r="O191">
        <f>澳门换算01!O190+澳门新定位结果!$P190</f>
        <v>1</v>
      </c>
    </row>
    <row r="192" spans="1:15">
      <c r="A192" s="4" t="s">
        <v>401</v>
      </c>
      <c r="B192">
        <f>澳门换算01!B191+澳门新定位结果!$P191</f>
        <v>1</v>
      </c>
      <c r="C192">
        <f>澳门换算01!C191+澳门新定位结果!$P191</f>
        <v>1</v>
      </c>
      <c r="D192" s="1">
        <f>澳门换算01!D191+澳门新定位结果!$P191</f>
        <v>0</v>
      </c>
      <c r="E192">
        <f>澳门换算01!E191+澳门新定位结果!$P191</f>
        <v>0</v>
      </c>
      <c r="F192">
        <f>澳门换算01!F191+澳门新定位结果!$P191</f>
        <v>0</v>
      </c>
      <c r="G192">
        <f>澳门换算01!G191+澳门新定位结果!$P191</f>
        <v>1</v>
      </c>
      <c r="H192">
        <f>澳门换算01!H191+澳门新定位结果!$P191</f>
        <v>1</v>
      </c>
      <c r="I192">
        <f>澳门换算01!I191+澳门新定位结果!$P191</f>
        <v>1</v>
      </c>
      <c r="J192" s="1">
        <f>澳门换算01!J191+澳门新定位结果!$P191</f>
        <v>1</v>
      </c>
      <c r="K192">
        <f>澳门换算01!K191+澳门新定位结果!$P191</f>
        <v>1</v>
      </c>
      <c r="L192">
        <f>澳门换算01!L191+澳门新定位结果!$P191</f>
        <v>1</v>
      </c>
      <c r="M192" s="1">
        <f>澳门换算01!M191+澳门新定位结果!$P191</f>
        <v>1</v>
      </c>
      <c r="N192">
        <f>澳门换算01!N191+澳门新定位结果!$P191</f>
        <v>0</v>
      </c>
      <c r="O192">
        <f>澳门换算01!O191+澳门新定位结果!$P191</f>
        <v>0</v>
      </c>
    </row>
    <row r="193" spans="1:15">
      <c r="A193" s="4" t="s">
        <v>403</v>
      </c>
      <c r="B193">
        <f>澳门换算01!B192+澳门新定位结果!$P192</f>
        <v>1</v>
      </c>
      <c r="C193">
        <f>澳门换算01!C192+澳门新定位结果!$P192</f>
        <v>1</v>
      </c>
      <c r="D193" s="1">
        <f>澳门换算01!D192+澳门新定位结果!$P192</f>
        <v>0</v>
      </c>
      <c r="E193">
        <f>澳门换算01!E192+澳门新定位结果!$P192</f>
        <v>0</v>
      </c>
      <c r="F193">
        <f>澳门换算01!F192+澳门新定位结果!$P192</f>
        <v>1</v>
      </c>
      <c r="G193">
        <f>澳门换算01!G192+澳门新定位结果!$P192</f>
        <v>0</v>
      </c>
      <c r="H193">
        <f>澳门换算01!H192+澳门新定位结果!$P192</f>
        <v>0</v>
      </c>
      <c r="I193">
        <f>澳门换算01!I192+澳门新定位结果!$P192</f>
        <v>1</v>
      </c>
      <c r="J193" s="1">
        <f>澳门换算01!J192+澳门新定位结果!$P192</f>
        <v>1</v>
      </c>
      <c r="K193">
        <f>澳门换算01!K192+澳门新定位结果!$P192</f>
        <v>1</v>
      </c>
      <c r="L193">
        <f>澳门换算01!L192+澳门新定位结果!$P192</f>
        <v>1</v>
      </c>
      <c r="M193" s="1">
        <f>澳门换算01!M192+澳门新定位结果!$P192</f>
        <v>0</v>
      </c>
      <c r="N193">
        <f>澳门换算01!N192+澳门新定位结果!$P192</f>
        <v>0</v>
      </c>
      <c r="O193">
        <f>澳门换算01!O192+澳门新定位结果!$P192</f>
        <v>1</v>
      </c>
    </row>
    <row r="194" spans="1:15">
      <c r="A194" s="4" t="s">
        <v>405</v>
      </c>
      <c r="B194">
        <f>澳门换算01!B193+澳门新定位结果!$P193</f>
        <v>2</v>
      </c>
      <c r="C194">
        <f>澳门换算01!C193+澳门新定位结果!$P193</f>
        <v>2</v>
      </c>
      <c r="D194" s="1">
        <f>澳门换算01!D193+澳门新定位结果!$P193</f>
        <v>1</v>
      </c>
      <c r="E194">
        <f>澳门换算01!E193+澳门新定位结果!$P193</f>
        <v>1</v>
      </c>
      <c r="F194">
        <f>澳门换算01!F193+澳门新定位结果!$P193</f>
        <v>1</v>
      </c>
      <c r="G194">
        <f>澳门换算01!G193+澳门新定位结果!$P193</f>
        <v>2</v>
      </c>
      <c r="H194">
        <f>澳门换算01!H193+澳门新定位结果!$P193</f>
        <v>2</v>
      </c>
      <c r="I194">
        <f>澳门换算01!I193+澳门新定位结果!$P193</f>
        <v>2</v>
      </c>
      <c r="J194" s="1">
        <f>澳门换算01!J193+澳门新定位结果!$P193</f>
        <v>2</v>
      </c>
      <c r="K194">
        <f>澳门换算01!K193+澳门新定位结果!$P193</f>
        <v>1</v>
      </c>
      <c r="L194">
        <f>澳门换算01!L193+澳门新定位结果!$P193</f>
        <v>1</v>
      </c>
      <c r="M194" s="1">
        <f>澳门换算01!M193+澳门新定位结果!$P193</f>
        <v>1</v>
      </c>
      <c r="N194">
        <f>澳门换算01!N193+澳门新定位结果!$P193</f>
        <v>2</v>
      </c>
      <c r="O194">
        <f>澳门换算01!O193+澳门新定位结果!$P193</f>
        <v>2</v>
      </c>
    </row>
    <row r="195" spans="1:15">
      <c r="A195" s="4" t="s">
        <v>407</v>
      </c>
      <c r="B195">
        <f>澳门换算01!B194+澳门新定位结果!$P194</f>
        <v>0</v>
      </c>
      <c r="C195">
        <f>澳门换算01!C194+澳门新定位结果!$P194</f>
        <v>0</v>
      </c>
      <c r="D195" s="1">
        <f>澳门换算01!D194+澳门新定位结果!$P194</f>
        <v>0</v>
      </c>
      <c r="E195">
        <f>澳门换算01!E194+澳门新定位结果!$P194</f>
        <v>1</v>
      </c>
      <c r="F195">
        <f>澳门换算01!F194+澳门新定位结果!$P194</f>
        <v>0</v>
      </c>
      <c r="G195">
        <f>澳门换算01!G194+澳门新定位结果!$P194</f>
        <v>0</v>
      </c>
      <c r="H195">
        <f>澳门换算01!H194+澳门新定位结果!$P194</f>
        <v>1</v>
      </c>
      <c r="I195">
        <f>澳门换算01!I194+澳门新定位结果!$P194</f>
        <v>1</v>
      </c>
      <c r="J195" s="1">
        <f>澳门换算01!J194+澳门新定位结果!$P194</f>
        <v>0</v>
      </c>
      <c r="K195">
        <f>澳门换算01!K194+澳门新定位结果!$P194</f>
        <v>0</v>
      </c>
      <c r="L195">
        <f>澳门换算01!L194+澳门新定位结果!$P194</f>
        <v>1</v>
      </c>
      <c r="M195" s="1">
        <f>澳门换算01!M194+澳门新定位结果!$P194</f>
        <v>0</v>
      </c>
      <c r="N195">
        <f>澳门换算01!N194+澳门新定位结果!$P194</f>
        <v>1</v>
      </c>
      <c r="O195">
        <f>澳门换算01!O194+澳门新定位结果!$P194</f>
        <v>0</v>
      </c>
    </row>
    <row r="196" spans="1:15">
      <c r="A196" s="4" t="s">
        <v>409</v>
      </c>
      <c r="B196">
        <f>澳门换算01!B195+澳门新定位结果!$P195</f>
        <v>1</v>
      </c>
      <c r="C196">
        <f>澳门换算01!C195+澳门新定位结果!$P195</f>
        <v>2</v>
      </c>
      <c r="D196" s="1">
        <f>澳门换算01!D195+澳门新定位结果!$P195</f>
        <v>1</v>
      </c>
      <c r="E196">
        <f>澳门换算01!E195+澳门新定位结果!$P195</f>
        <v>1</v>
      </c>
      <c r="F196">
        <f>澳门换算01!F195+澳门新定位结果!$P195</f>
        <v>2</v>
      </c>
      <c r="G196">
        <f>澳门换算01!G195+澳门新定位结果!$P195</f>
        <v>1</v>
      </c>
      <c r="H196">
        <f>澳门换算01!H195+澳门新定位结果!$P195</f>
        <v>1</v>
      </c>
      <c r="I196">
        <f>澳门换算01!I195+澳门新定位结果!$P195</f>
        <v>2</v>
      </c>
      <c r="J196" s="1">
        <f>澳门换算01!J195+澳门新定位结果!$P195</f>
        <v>1</v>
      </c>
      <c r="K196">
        <f>澳门换算01!K195+澳门新定位结果!$P195</f>
        <v>2</v>
      </c>
      <c r="L196">
        <f>澳门换算01!L195+澳门新定位结果!$P195</f>
        <v>1</v>
      </c>
      <c r="M196" s="1">
        <f>澳门换算01!M195+澳门新定位结果!$P195</f>
        <v>1</v>
      </c>
      <c r="N196">
        <f>澳门换算01!N195+澳门新定位结果!$P195</f>
        <v>1</v>
      </c>
      <c r="O196">
        <f>澳门换算01!O195+澳门新定位结果!$P195</f>
        <v>2</v>
      </c>
    </row>
    <row r="197" spans="1:15">
      <c r="A197" s="4" t="s">
        <v>411</v>
      </c>
      <c r="B197">
        <f>澳门换算01!B196+澳门新定位结果!$P196</f>
        <v>0</v>
      </c>
      <c r="C197">
        <f>澳门换算01!C196+澳门新定位结果!$P196</f>
        <v>0</v>
      </c>
      <c r="D197" s="1">
        <f>澳门换算01!D196+澳门新定位结果!$P196</f>
        <v>0</v>
      </c>
      <c r="E197">
        <f>澳门换算01!E196+澳门新定位结果!$P196</f>
        <v>0</v>
      </c>
      <c r="F197">
        <f>澳门换算01!F196+澳门新定位结果!$P196</f>
        <v>0</v>
      </c>
      <c r="G197">
        <f>澳门换算01!G196+澳门新定位结果!$P196</f>
        <v>0</v>
      </c>
      <c r="H197">
        <f>澳门换算01!H196+澳门新定位结果!$P196</f>
        <v>1</v>
      </c>
      <c r="I197">
        <f>澳门换算01!I196+澳门新定位结果!$P196</f>
        <v>0</v>
      </c>
      <c r="J197" s="1">
        <f>澳门换算01!J196+澳门新定位结果!$P196</f>
        <v>1</v>
      </c>
      <c r="K197">
        <f>澳门换算01!K196+澳门新定位结果!$P196</f>
        <v>0</v>
      </c>
      <c r="L197">
        <f>澳门换算01!L196+澳门新定位结果!$P196</f>
        <v>1</v>
      </c>
      <c r="M197" s="1">
        <f>澳门换算01!M196+澳门新定位结果!$P196</f>
        <v>0</v>
      </c>
      <c r="N197">
        <f>澳门换算01!N196+澳门新定位结果!$P196</f>
        <v>0</v>
      </c>
      <c r="O197">
        <f>澳门换算01!O196+澳门新定位结果!$P196</f>
        <v>0</v>
      </c>
    </row>
    <row r="198" spans="1:15">
      <c r="A198" s="4" t="s">
        <v>413</v>
      </c>
      <c r="B198">
        <f>澳门换算01!B197+澳门新定位结果!$P197</f>
        <v>1</v>
      </c>
      <c r="C198">
        <f>澳门换算01!C197+澳门新定位结果!$P197</f>
        <v>2</v>
      </c>
      <c r="D198" s="1">
        <f>澳门换算01!D197+澳门新定位结果!$P197</f>
        <v>1</v>
      </c>
      <c r="E198">
        <f>澳门换算01!E197+澳门新定位结果!$P197</f>
        <v>1</v>
      </c>
      <c r="F198">
        <f>澳门换算01!F197+澳门新定位结果!$P197</f>
        <v>2</v>
      </c>
      <c r="G198">
        <f>澳门换算01!G197+澳门新定位结果!$P197</f>
        <v>1</v>
      </c>
      <c r="H198">
        <f>澳门换算01!H197+澳门新定位结果!$P197</f>
        <v>2</v>
      </c>
      <c r="I198">
        <f>澳门换算01!I197+澳门新定位结果!$P197</f>
        <v>2</v>
      </c>
      <c r="J198" s="1">
        <f>澳门换算01!J197+澳门新定位结果!$P197</f>
        <v>2</v>
      </c>
      <c r="K198">
        <f>澳门换算01!K197+澳门新定位结果!$P197</f>
        <v>1</v>
      </c>
      <c r="L198">
        <f>澳门换算01!L197+澳门新定位结果!$P197</f>
        <v>2</v>
      </c>
      <c r="M198" s="1">
        <f>澳门换算01!M197+澳门新定位结果!$P197</f>
        <v>1</v>
      </c>
      <c r="N198">
        <f>澳门换算01!N197+澳门新定位结果!$P197</f>
        <v>1</v>
      </c>
      <c r="O198">
        <f>澳门换算01!O197+澳门新定位结果!$P197</f>
        <v>2</v>
      </c>
    </row>
    <row r="199" spans="1:15">
      <c r="A199" s="4" t="s">
        <v>415</v>
      </c>
      <c r="B199">
        <f>澳门换算01!B198+澳门新定位结果!$P198</f>
        <v>1</v>
      </c>
      <c r="C199">
        <f>澳门换算01!C198+澳门新定位结果!$P198</f>
        <v>1</v>
      </c>
      <c r="D199" s="1">
        <f>澳门换算01!D198+澳门新定位结果!$P198</f>
        <v>1</v>
      </c>
      <c r="E199">
        <f>澳门换算01!E198+澳门新定位结果!$P198</f>
        <v>1</v>
      </c>
      <c r="F199">
        <f>澳门换算01!F198+澳门新定位结果!$P198</f>
        <v>1</v>
      </c>
      <c r="G199">
        <f>澳门换算01!G198+澳门新定位结果!$P198</f>
        <v>0</v>
      </c>
      <c r="H199">
        <f>澳门换算01!H198+澳门新定位结果!$P198</f>
        <v>0</v>
      </c>
      <c r="I199">
        <f>澳门换算01!I198+澳门新定位结果!$P198</f>
        <v>0</v>
      </c>
      <c r="J199" s="1">
        <f>澳门换算01!J198+澳门新定位结果!$P198</f>
        <v>1</v>
      </c>
      <c r="K199">
        <f>澳门换算01!K198+澳门新定位结果!$P198</f>
        <v>1</v>
      </c>
      <c r="L199">
        <f>澳门换算01!L198+澳门新定位结果!$P198</f>
        <v>0</v>
      </c>
      <c r="M199" s="1">
        <f>澳门换算01!M198+澳门新定位结果!$P198</f>
        <v>1</v>
      </c>
      <c r="N199">
        <f>澳门换算01!N198+澳门新定位结果!$P198</f>
        <v>0</v>
      </c>
      <c r="O199">
        <f>澳门换算01!O198+澳门新定位结果!$P198</f>
        <v>1</v>
      </c>
    </row>
    <row r="200" spans="1:15">
      <c r="A200" s="4" t="s">
        <v>417</v>
      </c>
      <c r="B200">
        <f>澳门换算01!B199+澳门新定位结果!$P199</f>
        <v>0</v>
      </c>
      <c r="C200">
        <f>澳门换算01!C199+澳门新定位结果!$P199</f>
        <v>0</v>
      </c>
      <c r="D200" s="1">
        <f>澳门换算01!D199+澳门新定位结果!$P199</f>
        <v>0</v>
      </c>
      <c r="E200">
        <f>澳门换算01!E199+澳门新定位结果!$P199</f>
        <v>1</v>
      </c>
      <c r="F200">
        <f>澳门换算01!F199+澳门新定位结果!$P199</f>
        <v>1</v>
      </c>
      <c r="G200">
        <f>澳门换算01!G199+澳门新定位结果!$P199</f>
        <v>1</v>
      </c>
      <c r="H200">
        <f>澳门换算01!H199+澳门新定位结果!$P199</f>
        <v>1</v>
      </c>
      <c r="I200">
        <f>澳门换算01!I199+澳门新定位结果!$P199</f>
        <v>1</v>
      </c>
      <c r="J200" s="1">
        <f>澳门换算01!J199+澳门新定位结果!$P199</f>
        <v>0</v>
      </c>
      <c r="K200">
        <f>澳门换算01!K199+澳门新定位结果!$P199</f>
        <v>0</v>
      </c>
      <c r="L200">
        <f>澳门换算01!L199+澳门新定位结果!$P199</f>
        <v>0</v>
      </c>
      <c r="M200" s="1">
        <f>澳门换算01!M199+澳门新定位结果!$P199</f>
        <v>0</v>
      </c>
      <c r="N200">
        <f>澳门换算01!N199+澳门新定位结果!$P199</f>
        <v>0</v>
      </c>
      <c r="O200">
        <f>澳门换算01!O199+澳门新定位结果!$P199</f>
        <v>0</v>
      </c>
    </row>
    <row r="201" spans="1:15">
      <c r="A201" s="4" t="s">
        <v>419</v>
      </c>
      <c r="B201">
        <f>澳门换算01!B200+澳门新定位结果!$P200</f>
        <v>1</v>
      </c>
      <c r="C201">
        <f>澳门换算01!C200+澳门新定位结果!$P200</f>
        <v>2</v>
      </c>
      <c r="D201" s="1">
        <f>澳门换算01!D200+澳门新定位结果!$P200</f>
        <v>2</v>
      </c>
      <c r="E201">
        <f>澳门换算01!E200+澳门新定位结果!$P200</f>
        <v>1</v>
      </c>
      <c r="F201">
        <f>澳门换算01!F200+澳门新定位结果!$P200</f>
        <v>2</v>
      </c>
      <c r="G201">
        <f>澳门换算01!G200+澳门新定位结果!$P200</f>
        <v>1</v>
      </c>
      <c r="H201">
        <f>澳门换算01!H200+澳门新定位结果!$P200</f>
        <v>1</v>
      </c>
      <c r="I201">
        <f>澳门换算01!I200+澳门新定位结果!$P200</f>
        <v>2</v>
      </c>
      <c r="J201" s="1">
        <f>澳门换算01!J200+澳门新定位结果!$P200</f>
        <v>1</v>
      </c>
      <c r="K201">
        <f>澳门换算01!K200+澳门新定位结果!$P200</f>
        <v>2</v>
      </c>
      <c r="L201">
        <f>澳门换算01!L200+澳门新定位结果!$P200</f>
        <v>1</v>
      </c>
      <c r="M201" s="1">
        <f>澳门换算01!M200+澳门新定位结果!$P200</f>
        <v>2</v>
      </c>
      <c r="N201">
        <f>澳门换算01!N200+澳门新定位结果!$P200</f>
        <v>1</v>
      </c>
      <c r="O201">
        <f>澳门换算01!O200+澳门新定位结果!$P200</f>
        <v>2</v>
      </c>
    </row>
    <row r="202" spans="1:15">
      <c r="A202" s="4" t="s">
        <v>421</v>
      </c>
      <c r="B202">
        <f>澳门换算01!B201+澳门新定位结果!$P201</f>
        <v>0</v>
      </c>
      <c r="C202">
        <f>澳门换算01!C201+澳门新定位结果!$P201</f>
        <v>1</v>
      </c>
      <c r="D202" s="1">
        <f>澳门换算01!D201+澳门新定位结果!$P201</f>
        <v>1</v>
      </c>
      <c r="E202">
        <f>澳门换算01!E201+澳门新定位结果!$P201</f>
        <v>0</v>
      </c>
      <c r="F202">
        <f>澳门换算01!F201+澳门新定位结果!$P201</f>
        <v>0</v>
      </c>
      <c r="G202">
        <f>澳门换算01!G201+澳门新定位结果!$P201</f>
        <v>0</v>
      </c>
      <c r="H202">
        <f>澳门换算01!H201+澳门新定位结果!$P201</f>
        <v>1</v>
      </c>
      <c r="I202">
        <f>澳门换算01!I201+澳门新定位结果!$P201</f>
        <v>0</v>
      </c>
      <c r="J202" s="1">
        <f>澳门换算01!J201+澳门新定位结果!$P201</f>
        <v>1</v>
      </c>
      <c r="K202">
        <f>澳门换算01!K201+澳门新定位结果!$P201</f>
        <v>0</v>
      </c>
      <c r="L202">
        <f>澳门换算01!L201+澳门新定位结果!$P201</f>
        <v>1</v>
      </c>
      <c r="M202" s="1">
        <f>澳门换算01!M201+澳门新定位结果!$P201</f>
        <v>1</v>
      </c>
      <c r="N202">
        <f>澳门换算01!N201+澳门新定位结果!$P201</f>
        <v>1</v>
      </c>
      <c r="O202">
        <f>澳门换算01!O201+澳门新定位结果!$P201</f>
        <v>0</v>
      </c>
    </row>
    <row r="203" spans="1:15">
      <c r="A203" s="4" t="s">
        <v>423</v>
      </c>
      <c r="B203">
        <f>澳门换算01!B202+澳门新定位结果!$P202</f>
        <v>1</v>
      </c>
      <c r="C203">
        <f>澳门换算01!C202+澳门新定位结果!$P202</f>
        <v>1</v>
      </c>
      <c r="D203" s="1">
        <f>澳门换算01!D202+澳门新定位结果!$P202</f>
        <v>1</v>
      </c>
      <c r="E203">
        <f>澳门换算01!E202+澳门新定位结果!$P202</f>
        <v>1</v>
      </c>
      <c r="F203">
        <f>澳门换算01!F202+澳门新定位结果!$P202</f>
        <v>2</v>
      </c>
      <c r="G203">
        <f>澳门换算01!G202+澳门新定位结果!$P202</f>
        <v>1</v>
      </c>
      <c r="H203">
        <f>澳门换算01!H202+澳门新定位结果!$P202</f>
        <v>1</v>
      </c>
      <c r="I203">
        <f>澳门换算01!I202+澳门新定位结果!$P202</f>
        <v>1</v>
      </c>
      <c r="J203" s="1">
        <f>澳门换算01!J202+澳门新定位结果!$P202</f>
        <v>1</v>
      </c>
      <c r="K203">
        <f>澳门换算01!K202+澳门新定位结果!$P202</f>
        <v>1</v>
      </c>
      <c r="L203">
        <f>澳门换算01!L202+澳门新定位结果!$P202</f>
        <v>1</v>
      </c>
      <c r="M203" s="1">
        <f>澳门换算01!M202+澳门新定位结果!$P202</f>
        <v>1</v>
      </c>
      <c r="N203">
        <f>澳门换算01!N202+澳门新定位结果!$P202</f>
        <v>1</v>
      </c>
      <c r="O203">
        <f>澳门换算01!O202+澳门新定位结果!$P202</f>
        <v>2</v>
      </c>
    </row>
    <row r="204" spans="1:15">
      <c r="A204" s="4" t="s">
        <v>425</v>
      </c>
      <c r="B204">
        <f>澳门换算01!B203+澳门新定位结果!$P203</f>
        <v>0</v>
      </c>
      <c r="C204">
        <f>澳门换算01!C203+澳门新定位结果!$P203</f>
        <v>0</v>
      </c>
      <c r="D204" s="1">
        <f>澳门换算01!D203+澳门新定位结果!$P203</f>
        <v>1</v>
      </c>
      <c r="E204">
        <f>澳门换算01!E203+澳门新定位结果!$P203</f>
        <v>0</v>
      </c>
      <c r="F204">
        <f>澳门换算01!F203+澳门新定位结果!$P203</f>
        <v>1</v>
      </c>
      <c r="G204">
        <f>澳门换算01!G203+澳门新定位结果!$P203</f>
        <v>0</v>
      </c>
      <c r="H204">
        <f>澳门换算01!H203+澳门新定位结果!$P203</f>
        <v>0</v>
      </c>
      <c r="I204">
        <f>澳门换算01!I203+澳门新定位结果!$P203</f>
        <v>0</v>
      </c>
      <c r="J204" s="1">
        <f>澳门换算01!J203+澳门新定位结果!$P203</f>
        <v>0</v>
      </c>
      <c r="K204">
        <f>澳门换算01!K203+澳门新定位结果!$P203</f>
        <v>0</v>
      </c>
      <c r="L204">
        <f>澳门换算01!L203+澳门新定位结果!$P203</f>
        <v>0</v>
      </c>
      <c r="M204" s="1">
        <f>澳门换算01!M203+澳门新定位结果!$P203</f>
        <v>0</v>
      </c>
      <c r="N204">
        <f>澳门换算01!N203+澳门新定位结果!$P203</f>
        <v>0</v>
      </c>
      <c r="O204">
        <f>澳门换算01!O203+澳门新定位结果!$P203</f>
        <v>1</v>
      </c>
    </row>
    <row r="205" spans="1:15">
      <c r="A205" s="4" t="s">
        <v>427</v>
      </c>
      <c r="B205">
        <f>澳门换算01!B204+澳门新定位结果!$P204</f>
        <v>1</v>
      </c>
      <c r="C205">
        <f>澳门换算01!C204+澳门新定位结果!$P204</f>
        <v>0</v>
      </c>
      <c r="D205" s="1">
        <f>澳门换算01!D204+澳门新定位结果!$P204</f>
        <v>0</v>
      </c>
      <c r="E205">
        <f>澳门换算01!E204+澳门新定位结果!$P204</f>
        <v>0</v>
      </c>
      <c r="F205">
        <f>澳门换算01!F204+澳门新定位结果!$P204</f>
        <v>0</v>
      </c>
      <c r="G205">
        <f>澳门换算01!G204+澳门新定位结果!$P204</f>
        <v>0</v>
      </c>
      <c r="H205">
        <f>澳门换算01!H204+澳门新定位结果!$P204</f>
        <v>1</v>
      </c>
      <c r="I205">
        <f>澳门换算01!I204+澳门新定位结果!$P204</f>
        <v>1</v>
      </c>
      <c r="J205" s="1">
        <f>澳门换算01!J204+澳门新定位结果!$P204</f>
        <v>0</v>
      </c>
      <c r="K205">
        <f>澳门换算01!K204+澳门新定位结果!$P204</f>
        <v>1</v>
      </c>
      <c r="L205">
        <f>澳门换算01!L204+澳门新定位结果!$P204</f>
        <v>1</v>
      </c>
      <c r="M205" s="1">
        <f>澳门换算01!M204+澳门新定位结果!$P204</f>
        <v>0</v>
      </c>
      <c r="N205">
        <f>澳门换算01!N204+澳门新定位结果!$P204</f>
        <v>1</v>
      </c>
      <c r="O205">
        <f>澳门换算01!O204+澳门新定位结果!$P204</f>
        <v>1</v>
      </c>
    </row>
    <row r="206" spans="1:15">
      <c r="A206" s="4" t="s">
        <v>429</v>
      </c>
      <c r="B206">
        <f>澳门换算01!B205+澳门新定位结果!$P205</f>
        <v>0</v>
      </c>
      <c r="C206">
        <f>澳门换算01!C205+澳门新定位结果!$P205</f>
        <v>1</v>
      </c>
      <c r="D206" s="1">
        <f>澳门换算01!D205+澳门新定位结果!$P205</f>
        <v>0</v>
      </c>
      <c r="E206">
        <f>澳门换算01!E205+澳门新定位结果!$P205</f>
        <v>0</v>
      </c>
      <c r="F206">
        <f>澳门换算01!F205+澳门新定位结果!$P205</f>
        <v>1</v>
      </c>
      <c r="G206">
        <f>澳门换算01!G205+澳门新定位结果!$P205</f>
        <v>1</v>
      </c>
      <c r="H206">
        <f>澳门换算01!H205+澳门新定位结果!$P205</f>
        <v>0</v>
      </c>
      <c r="I206">
        <f>澳门换算01!I205+澳门新定位结果!$P205</f>
        <v>1</v>
      </c>
      <c r="J206" s="1">
        <f>澳门换算01!J205+澳门新定位结果!$P205</f>
        <v>0</v>
      </c>
      <c r="K206">
        <f>澳门换算01!K205+澳门新定位结果!$P205</f>
        <v>0</v>
      </c>
      <c r="L206">
        <f>澳门换算01!L205+澳门新定位结果!$P205</f>
        <v>1</v>
      </c>
      <c r="M206" s="1">
        <f>澳门换算01!M205+澳门新定位结果!$P205</f>
        <v>1</v>
      </c>
      <c r="N206">
        <f>澳门换算01!N205+澳门新定位结果!$P205</f>
        <v>1</v>
      </c>
      <c r="O206">
        <f>澳门换算01!O205+澳门新定位结果!$P205</f>
        <v>1</v>
      </c>
    </row>
    <row r="207" spans="1:15">
      <c r="A207" s="4" t="s">
        <v>431</v>
      </c>
      <c r="B207">
        <f>澳门换算01!B206+澳门新定位结果!$P206</f>
        <v>1</v>
      </c>
      <c r="C207">
        <f>澳门换算01!C206+澳门新定位结果!$P206</f>
        <v>2</v>
      </c>
      <c r="D207" s="1">
        <f>澳门换算01!D206+澳门新定位结果!$P206</f>
        <v>1</v>
      </c>
      <c r="E207">
        <f>澳门换算01!E206+澳门新定位结果!$P206</f>
        <v>2</v>
      </c>
      <c r="F207">
        <f>澳门换算01!F206+澳门新定位结果!$P206</f>
        <v>1</v>
      </c>
      <c r="G207">
        <f>澳门换算01!G206+澳门新定位结果!$P206</f>
        <v>2</v>
      </c>
      <c r="H207">
        <f>澳门换算01!H206+澳门新定位结果!$P206</f>
        <v>2</v>
      </c>
      <c r="I207">
        <f>澳门换算01!I206+澳门新定位结果!$P206</f>
        <v>1</v>
      </c>
      <c r="J207" s="1">
        <f>澳门换算01!J206+澳门新定位结果!$P206</f>
        <v>2</v>
      </c>
      <c r="K207">
        <f>澳门换算01!K206+澳门新定位结果!$P206</f>
        <v>1</v>
      </c>
      <c r="L207">
        <f>澳门换算01!L206+澳门新定位结果!$P206</f>
        <v>1</v>
      </c>
      <c r="M207" s="1">
        <f>澳门换算01!M206+澳门新定位结果!$P206</f>
        <v>2</v>
      </c>
      <c r="N207">
        <f>澳门换算01!N206+澳门新定位结果!$P206</f>
        <v>2</v>
      </c>
      <c r="O207">
        <f>澳门换算01!O206+澳门新定位结果!$P206</f>
        <v>1</v>
      </c>
    </row>
    <row r="208" spans="1:15">
      <c r="A208" s="4" t="s">
        <v>433</v>
      </c>
      <c r="B208">
        <f>澳门换算01!B207+澳门新定位结果!$P207</f>
        <v>1</v>
      </c>
      <c r="C208">
        <f>澳门换算01!C207+澳门新定位结果!$P207</f>
        <v>0</v>
      </c>
      <c r="D208" s="1">
        <f>澳门换算01!D207+澳门新定位结果!$P207</f>
        <v>0</v>
      </c>
      <c r="E208">
        <f>澳门换算01!E207+澳门新定位结果!$P207</f>
        <v>1</v>
      </c>
      <c r="F208">
        <f>澳门换算01!F207+澳门新定位结果!$P207</f>
        <v>1</v>
      </c>
      <c r="G208">
        <f>澳门换算01!G207+澳门新定位结果!$P207</f>
        <v>1</v>
      </c>
      <c r="H208">
        <f>澳门换算01!H207+澳门新定位结果!$P207</f>
        <v>1</v>
      </c>
      <c r="I208">
        <f>澳门换算01!I207+澳门新定位结果!$P207</f>
        <v>1</v>
      </c>
      <c r="J208" s="1">
        <f>澳门换算01!J207+澳门新定位结果!$P207</f>
        <v>0</v>
      </c>
      <c r="K208">
        <f>澳门换算01!K207+澳门新定位结果!$P207</f>
        <v>1</v>
      </c>
      <c r="L208">
        <f>澳门换算01!L207+澳门新定位结果!$P207</f>
        <v>1</v>
      </c>
      <c r="M208" s="1">
        <f>澳门换算01!M207+澳门新定位结果!$P207</f>
        <v>0</v>
      </c>
      <c r="N208">
        <f>澳门换算01!N207+澳门新定位结果!$P207</f>
        <v>0</v>
      </c>
      <c r="O208">
        <f>澳门换算01!O207+澳门新定位结果!$P207</f>
        <v>0</v>
      </c>
    </row>
    <row r="209" spans="1:15">
      <c r="A209" s="4" t="s">
        <v>435</v>
      </c>
      <c r="B209">
        <f>澳门换算01!B208+澳门新定位结果!$P208</f>
        <v>0</v>
      </c>
      <c r="C209">
        <f>澳门换算01!C208+澳门新定位结果!$P208</f>
        <v>0</v>
      </c>
      <c r="D209" s="1">
        <f>澳门换算01!D208+澳门新定位结果!$P208</f>
        <v>0</v>
      </c>
      <c r="E209">
        <f>澳门换算01!E208+澳门新定位结果!$P208</f>
        <v>0</v>
      </c>
      <c r="F209">
        <f>澳门换算01!F208+澳门新定位结果!$P208</f>
        <v>1</v>
      </c>
      <c r="G209">
        <f>澳门换算01!G208+澳门新定位结果!$P208</f>
        <v>0</v>
      </c>
      <c r="H209">
        <f>澳门换算01!H208+澳门新定位结果!$P208</f>
        <v>0</v>
      </c>
      <c r="I209">
        <f>澳门换算01!I208+澳门新定位结果!$P208</f>
        <v>0</v>
      </c>
      <c r="J209" s="1">
        <f>澳门换算01!J208+澳门新定位结果!$P208</f>
        <v>0</v>
      </c>
      <c r="K209">
        <f>澳门换算01!K208+澳门新定位结果!$P208</f>
        <v>0</v>
      </c>
      <c r="L209">
        <f>澳门换算01!L208+澳门新定位结果!$P208</f>
        <v>0</v>
      </c>
      <c r="M209" s="1">
        <f>澳门换算01!M208+澳门新定位结果!$P208</f>
        <v>0</v>
      </c>
      <c r="N209">
        <f>澳门换算01!N208+澳门新定位结果!$P208</f>
        <v>0</v>
      </c>
      <c r="O209">
        <f>澳门换算01!O208+澳门新定位结果!$P208</f>
        <v>0</v>
      </c>
    </row>
    <row r="210" spans="1:15">
      <c r="A210" s="4" t="s">
        <v>437</v>
      </c>
      <c r="B210">
        <f>澳门换算01!B209+澳门新定位结果!$P209</f>
        <v>1</v>
      </c>
      <c r="C210">
        <f>澳门换算01!C209+澳门新定位结果!$P209</f>
        <v>2</v>
      </c>
      <c r="D210" s="1">
        <f>澳门换算01!D209+澳门新定位结果!$P209</f>
        <v>1</v>
      </c>
      <c r="E210">
        <f>澳门换算01!E209+澳门新定位结果!$P209</f>
        <v>2</v>
      </c>
      <c r="F210">
        <f>澳门换算01!F209+澳门新定位结果!$P209</f>
        <v>1</v>
      </c>
      <c r="G210">
        <f>澳门换算01!G209+澳门新定位结果!$P209</f>
        <v>1</v>
      </c>
      <c r="H210">
        <f>澳门换算01!H209+澳门新定位结果!$P209</f>
        <v>1</v>
      </c>
      <c r="I210">
        <f>澳门换算01!I209+澳门新定位结果!$P209</f>
        <v>1</v>
      </c>
      <c r="J210" s="1">
        <f>澳门换算01!J209+澳门新定位结果!$P209</f>
        <v>1</v>
      </c>
      <c r="K210">
        <f>澳门换算01!K209+澳门新定位结果!$P209</f>
        <v>1</v>
      </c>
      <c r="L210">
        <f>澳门换算01!L209+澳门新定位结果!$P209</f>
        <v>2</v>
      </c>
      <c r="M210" s="1">
        <f>澳门换算01!M209+澳门新定位结果!$P209</f>
        <v>2</v>
      </c>
      <c r="N210">
        <f>澳门换算01!N209+澳门新定位结果!$P209</f>
        <v>1</v>
      </c>
      <c r="O210">
        <f>澳门换算01!O209+澳门新定位结果!$P209</f>
        <v>1</v>
      </c>
    </row>
    <row r="211" spans="1:15">
      <c r="A211" s="4" t="s">
        <v>439</v>
      </c>
      <c r="B211">
        <f>澳门换算01!B210+澳门新定位结果!$P210</f>
        <v>1</v>
      </c>
      <c r="C211">
        <f>澳门换算01!C210+澳门新定位结果!$P210</f>
        <v>1</v>
      </c>
      <c r="D211" s="1">
        <f>澳门换算01!D210+澳门新定位结果!$P210</f>
        <v>1</v>
      </c>
      <c r="E211">
        <f>澳门换算01!E210+澳门新定位结果!$P210</f>
        <v>0</v>
      </c>
      <c r="F211">
        <f>澳门换算01!F210+澳门新定位结果!$P210</f>
        <v>0</v>
      </c>
      <c r="G211">
        <f>澳门换算01!G210+澳门新定位结果!$P210</f>
        <v>0</v>
      </c>
      <c r="H211">
        <f>澳门换算01!H210+澳门新定位结果!$P210</f>
        <v>0</v>
      </c>
      <c r="I211">
        <f>澳门换算01!I210+澳门新定位结果!$P210</f>
        <v>1</v>
      </c>
      <c r="J211" s="1">
        <f>澳门换算01!J210+澳门新定位结果!$P210</f>
        <v>1</v>
      </c>
      <c r="K211">
        <f>澳门换算01!K210+澳门新定位结果!$P210</f>
        <v>1</v>
      </c>
      <c r="L211">
        <f>澳门换算01!L210+澳门新定位结果!$P210</f>
        <v>1</v>
      </c>
      <c r="M211" s="1">
        <f>澳门换算01!M210+澳门新定位结果!$P210</f>
        <v>0</v>
      </c>
      <c r="N211">
        <f>澳门换算01!N210+澳门新定位结果!$P210</f>
        <v>1</v>
      </c>
      <c r="O211">
        <f>澳门换算01!O210+澳门新定位结果!$P210</f>
        <v>1</v>
      </c>
    </row>
    <row r="212" spans="1:15">
      <c r="A212" s="4" t="s">
        <v>441</v>
      </c>
      <c r="B212">
        <f>澳门换算01!B211+澳门新定位结果!$P211</f>
        <v>1</v>
      </c>
      <c r="C212">
        <f>澳门换算01!C211+澳门新定位结果!$P211</f>
        <v>2</v>
      </c>
      <c r="D212" s="1">
        <f>澳门换算01!D211+澳门新定位结果!$P211</f>
        <v>1</v>
      </c>
      <c r="E212">
        <f>澳门换算01!E211+澳门新定位结果!$P211</f>
        <v>1</v>
      </c>
      <c r="F212">
        <f>澳门换算01!F211+澳门新定位结果!$P211</f>
        <v>1</v>
      </c>
      <c r="G212">
        <f>澳门换算01!G211+澳门新定位结果!$P211</f>
        <v>1</v>
      </c>
      <c r="H212">
        <f>澳门换算01!H211+澳门新定位结果!$P211</f>
        <v>2</v>
      </c>
      <c r="I212">
        <f>澳门换算01!I211+澳门新定位结果!$P211</f>
        <v>2</v>
      </c>
      <c r="J212" s="1">
        <f>澳门换算01!J211+澳门新定位结果!$P211</f>
        <v>2</v>
      </c>
      <c r="K212">
        <f>澳门换算01!K211+澳门新定位结果!$P211</f>
        <v>2</v>
      </c>
      <c r="L212">
        <f>澳门换算01!L211+澳门新定位结果!$P211</f>
        <v>2</v>
      </c>
      <c r="M212" s="1">
        <f>澳门换算01!M211+澳门新定位结果!$P211</f>
        <v>2</v>
      </c>
      <c r="N212">
        <f>澳门换算01!N211+澳门新定位结果!$P211</f>
        <v>1</v>
      </c>
      <c r="O212">
        <f>澳门换算01!O211+澳门新定位结果!$P211</f>
        <v>1</v>
      </c>
    </row>
    <row r="213" spans="1:15">
      <c r="A213" s="4" t="s">
        <v>443</v>
      </c>
      <c r="B213">
        <f>澳门换算01!B212+澳门新定位结果!$P212</f>
        <v>1</v>
      </c>
      <c r="C213">
        <f>澳门换算01!C212+澳门新定位结果!$P212</f>
        <v>0</v>
      </c>
      <c r="D213" s="1">
        <f>澳门换算01!D212+澳门新定位结果!$P212</f>
        <v>0</v>
      </c>
      <c r="E213">
        <f>澳门换算01!E212+澳门新定位结果!$P212</f>
        <v>1</v>
      </c>
      <c r="F213">
        <f>澳门换算01!F212+澳门新定位结果!$P212</f>
        <v>1</v>
      </c>
      <c r="G213">
        <f>澳门换算01!G212+澳门新定位结果!$P212</f>
        <v>1</v>
      </c>
      <c r="H213">
        <f>澳门换算01!H212+澳门新定位结果!$P212</f>
        <v>1</v>
      </c>
      <c r="I213">
        <f>澳门换算01!I212+澳门新定位结果!$P212</f>
        <v>0</v>
      </c>
      <c r="J213" s="1">
        <f>澳门换算01!J212+澳门新定位结果!$P212</f>
        <v>1</v>
      </c>
      <c r="K213">
        <f>澳门换算01!K212+澳门新定位结果!$P212</f>
        <v>1</v>
      </c>
      <c r="L213">
        <f>澳门换算01!L212+澳门新定位结果!$P212</f>
        <v>1</v>
      </c>
      <c r="M213" s="1">
        <f>澳门换算01!M212+澳门新定位结果!$P212</f>
        <v>1</v>
      </c>
      <c r="N213">
        <f>澳门换算01!N212+澳门新定位结果!$P212</f>
        <v>0</v>
      </c>
      <c r="O213">
        <f>澳门换算01!O212+澳门新定位结果!$P212</f>
        <v>1</v>
      </c>
    </row>
    <row r="214" spans="1:15">
      <c r="A214" s="4" t="s">
        <v>445</v>
      </c>
      <c r="B214">
        <f>澳门换算01!B213+澳门新定位结果!$P213</f>
        <v>2</v>
      </c>
      <c r="C214">
        <f>澳门换算01!C213+澳门新定位结果!$P213</f>
        <v>2</v>
      </c>
      <c r="D214" s="1">
        <f>澳门换算01!D213+澳门新定位结果!$P213</f>
        <v>2</v>
      </c>
      <c r="E214">
        <f>澳门换算01!E213+澳门新定位结果!$P213</f>
        <v>2</v>
      </c>
      <c r="F214">
        <f>澳门换算01!F213+澳门新定位结果!$P213</f>
        <v>2</v>
      </c>
      <c r="G214">
        <f>澳门换算01!G213+澳门新定位结果!$P213</f>
        <v>1</v>
      </c>
      <c r="H214">
        <f>澳门换算01!H213+澳门新定位结果!$P213</f>
        <v>2</v>
      </c>
      <c r="I214">
        <f>澳门换算01!I213+澳门新定位结果!$P213</f>
        <v>2</v>
      </c>
      <c r="J214" s="1">
        <f>澳门换算01!J213+澳门新定位结果!$P213</f>
        <v>2</v>
      </c>
      <c r="K214">
        <f>澳门换算01!K213+澳门新定位结果!$P213</f>
        <v>2</v>
      </c>
      <c r="L214">
        <f>澳门换算01!L213+澳门新定位结果!$P213</f>
        <v>1</v>
      </c>
      <c r="M214" s="1">
        <f>澳门换算01!M213+澳门新定位结果!$P213</f>
        <v>1</v>
      </c>
      <c r="N214">
        <f>澳门换算01!N213+澳门新定位结果!$P213</f>
        <v>1</v>
      </c>
      <c r="O214">
        <f>澳门换算01!O213+澳门新定位结果!$P213</f>
        <v>1</v>
      </c>
    </row>
    <row r="215" spans="1:15">
      <c r="A215" s="4" t="s">
        <v>447</v>
      </c>
      <c r="B215">
        <f>澳门换算01!B214+澳门新定位结果!$P214</f>
        <v>1</v>
      </c>
      <c r="C215">
        <f>澳门换算01!C214+澳门新定位结果!$P214</f>
        <v>1</v>
      </c>
      <c r="D215" s="1">
        <f>澳门换算01!D214+澳门新定位结果!$P214</f>
        <v>1</v>
      </c>
      <c r="E215">
        <f>澳门换算01!E214+澳门新定位结果!$P214</f>
        <v>1</v>
      </c>
      <c r="F215">
        <f>澳门换算01!F214+澳门新定位结果!$P214</f>
        <v>1</v>
      </c>
      <c r="G215">
        <f>澳门换算01!G214+澳门新定位结果!$P214</f>
        <v>1</v>
      </c>
      <c r="H215">
        <f>澳门换算01!H214+澳门新定位结果!$P214</f>
        <v>1</v>
      </c>
      <c r="I215">
        <f>澳门换算01!I214+澳门新定位结果!$P214</f>
        <v>2</v>
      </c>
      <c r="J215" s="1">
        <f>澳门换算01!J214+澳门新定位结果!$P214</f>
        <v>1</v>
      </c>
      <c r="K215">
        <f>澳门换算01!K214+澳门新定位结果!$P214</f>
        <v>2</v>
      </c>
      <c r="L215">
        <f>澳门换算01!L214+澳门新定位结果!$P214</f>
        <v>1</v>
      </c>
      <c r="M215" s="1">
        <f>澳门换算01!M214+澳门新定位结果!$P214</f>
        <v>1</v>
      </c>
      <c r="N215">
        <f>澳门换算01!N214+澳门新定位结果!$P214</f>
        <v>2</v>
      </c>
      <c r="O215">
        <f>澳门换算01!O214+澳门新定位结果!$P214</f>
        <v>2</v>
      </c>
    </row>
    <row r="216" spans="1:15">
      <c r="A216" s="4" t="s">
        <v>449</v>
      </c>
      <c r="B216">
        <f>澳门换算01!B215+澳门新定位结果!$P215</f>
        <v>0</v>
      </c>
      <c r="C216">
        <f>澳门换算01!C215+澳门新定位结果!$P215</f>
        <v>1</v>
      </c>
      <c r="D216" s="1">
        <f>澳门换算01!D215+澳门新定位结果!$P215</f>
        <v>0</v>
      </c>
      <c r="E216">
        <f>澳门换算01!E215+澳门新定位结果!$P215</f>
        <v>1</v>
      </c>
      <c r="F216">
        <f>澳门换算01!F215+澳门新定位结果!$P215</f>
        <v>1</v>
      </c>
      <c r="G216">
        <f>澳门换算01!G215+澳门新定位结果!$P215</f>
        <v>1</v>
      </c>
      <c r="H216">
        <f>澳门换算01!H215+澳门新定位结果!$P215</f>
        <v>0</v>
      </c>
      <c r="I216">
        <f>澳门换算01!I215+澳门新定位结果!$P215</f>
        <v>0</v>
      </c>
      <c r="J216" s="1">
        <f>澳门换算01!J215+澳门新定位结果!$P215</f>
        <v>1</v>
      </c>
      <c r="K216">
        <f>澳门换算01!K215+澳门新定位结果!$P215</f>
        <v>0</v>
      </c>
      <c r="L216">
        <f>澳门换算01!L215+澳门新定位结果!$P215</f>
        <v>0</v>
      </c>
      <c r="M216" s="1">
        <f>澳门换算01!M215+澳门新定位结果!$P215</f>
        <v>0</v>
      </c>
      <c r="N216">
        <f>澳门换算01!N215+澳门新定位结果!$P215</f>
        <v>1</v>
      </c>
      <c r="O216">
        <f>澳门换算01!O215+澳门新定位结果!$P215</f>
        <v>1</v>
      </c>
    </row>
    <row r="217" spans="1:15">
      <c r="A217" s="4" t="s">
        <v>451</v>
      </c>
      <c r="B217">
        <f>澳门换算01!B216+澳门新定位结果!$P216</f>
        <v>1</v>
      </c>
      <c r="C217">
        <f>澳门换算01!C216+澳门新定位结果!$P216</f>
        <v>2</v>
      </c>
      <c r="D217" s="1">
        <f>澳门换算01!D216+澳门新定位结果!$P216</f>
        <v>1</v>
      </c>
      <c r="E217">
        <f>澳门换算01!E216+澳门新定位结果!$P216</f>
        <v>2</v>
      </c>
      <c r="F217">
        <f>澳门换算01!F216+澳门新定位结果!$P216</f>
        <v>1</v>
      </c>
      <c r="G217">
        <f>澳门换算01!G216+澳门新定位结果!$P216</f>
        <v>1</v>
      </c>
      <c r="H217">
        <f>澳门换算01!H216+澳门新定位结果!$P216</f>
        <v>1</v>
      </c>
      <c r="I217">
        <f>澳门换算01!I216+澳门新定位结果!$P216</f>
        <v>1</v>
      </c>
      <c r="J217" s="1">
        <f>澳门换算01!J216+澳门新定位结果!$P216</f>
        <v>2</v>
      </c>
      <c r="K217">
        <f>澳门换算01!K216+澳门新定位结果!$P216</f>
        <v>2</v>
      </c>
      <c r="L217">
        <f>澳门换算01!L216+澳门新定位结果!$P216</f>
        <v>2</v>
      </c>
      <c r="M217" s="1">
        <f>澳门换算01!M216+澳门新定位结果!$P216</f>
        <v>1</v>
      </c>
      <c r="N217">
        <f>澳门换算01!N216+澳门新定位结果!$P216</f>
        <v>1</v>
      </c>
      <c r="O217">
        <f>澳门换算01!O216+澳门新定位结果!$P216</f>
        <v>1</v>
      </c>
    </row>
    <row r="218" spans="1:15">
      <c r="A218" s="4" t="s">
        <v>453</v>
      </c>
      <c r="B218">
        <f>澳门换算01!B217+澳门新定位结果!$P217</f>
        <v>2</v>
      </c>
      <c r="C218">
        <f>澳门换算01!C217+澳门新定位结果!$P217</f>
        <v>1</v>
      </c>
      <c r="D218" s="1">
        <f>澳门换算01!D217+澳门新定位结果!$P217</f>
        <v>1</v>
      </c>
      <c r="E218">
        <f>澳门换算01!E217+澳门新定位结果!$P217</f>
        <v>1</v>
      </c>
      <c r="F218">
        <f>澳门换算01!F217+澳门新定位结果!$P217</f>
        <v>1</v>
      </c>
      <c r="G218">
        <f>澳门换算01!G217+澳门新定位结果!$P217</f>
        <v>2</v>
      </c>
      <c r="H218">
        <f>澳门换算01!H217+澳门新定位结果!$P217</f>
        <v>1</v>
      </c>
      <c r="I218">
        <f>澳门换算01!I217+澳门新定位结果!$P217</f>
        <v>2</v>
      </c>
      <c r="J218" s="1">
        <f>澳门换算01!J217+澳门新定位结果!$P217</f>
        <v>2</v>
      </c>
      <c r="K218">
        <f>澳门换算01!K217+澳门新定位结果!$P217</f>
        <v>1</v>
      </c>
      <c r="L218">
        <f>澳门换算01!L217+澳门新定位结果!$P217</f>
        <v>1</v>
      </c>
      <c r="M218" s="1">
        <f>澳门换算01!M217+澳门新定位结果!$P217</f>
        <v>1</v>
      </c>
      <c r="N218">
        <f>澳门换算01!N217+澳门新定位结果!$P217</f>
        <v>1</v>
      </c>
      <c r="O218">
        <f>澳门换算01!O217+澳门新定位结果!$P217</f>
        <v>1</v>
      </c>
    </row>
    <row r="219" spans="1:15">
      <c r="A219" s="4" t="s">
        <v>455</v>
      </c>
      <c r="B219">
        <f>澳门换算01!B218+澳门新定位结果!$P218</f>
        <v>0</v>
      </c>
      <c r="C219">
        <f>澳门换算01!C218+澳门新定位结果!$P218</f>
        <v>1</v>
      </c>
      <c r="D219" s="1">
        <f>澳门换算01!D218+澳门新定位结果!$P218</f>
        <v>1</v>
      </c>
      <c r="E219">
        <f>澳门换算01!E218+澳门新定位结果!$P218</f>
        <v>0</v>
      </c>
      <c r="F219">
        <f>澳门换算01!F218+澳门新定位结果!$P218</f>
        <v>1</v>
      </c>
      <c r="G219">
        <f>澳门换算01!G218+澳门新定位结果!$P218</f>
        <v>0</v>
      </c>
      <c r="H219">
        <f>澳门换算01!H218+澳门新定位结果!$P218</f>
        <v>0</v>
      </c>
      <c r="I219">
        <f>澳门换算01!I218+澳门新定位结果!$P218</f>
        <v>1</v>
      </c>
      <c r="J219" s="1">
        <f>澳门换算01!J218+澳门新定位结果!$P218</f>
        <v>0</v>
      </c>
      <c r="K219">
        <f>澳门换算01!K218+澳门新定位结果!$P218</f>
        <v>0</v>
      </c>
      <c r="L219">
        <f>澳门换算01!L218+澳门新定位结果!$P218</f>
        <v>0</v>
      </c>
      <c r="M219" s="1">
        <f>澳门换算01!M218+澳门新定位结果!$P218</f>
        <v>1</v>
      </c>
      <c r="N219">
        <f>澳门换算01!N218+澳门新定位结果!$P218</f>
        <v>0</v>
      </c>
      <c r="O219">
        <f>澳门换算01!O218+澳门新定位结果!$P218</f>
        <v>1</v>
      </c>
    </row>
    <row r="220" spans="1:15">
      <c r="A220" s="4" t="s">
        <v>457</v>
      </c>
      <c r="B220">
        <f>澳门换算01!B219+澳门新定位结果!$P219</f>
        <v>1</v>
      </c>
      <c r="C220">
        <f>澳门换算01!C219+澳门新定位结果!$P219</f>
        <v>1</v>
      </c>
      <c r="D220" s="1">
        <f>澳门换算01!D219+澳门新定位结果!$P219</f>
        <v>0</v>
      </c>
      <c r="E220">
        <f>澳门换算01!E219+澳门新定位结果!$P219</f>
        <v>1</v>
      </c>
      <c r="F220">
        <f>澳门换算01!F219+澳门新定位结果!$P219</f>
        <v>0</v>
      </c>
      <c r="G220">
        <f>澳门换算01!G219+澳门新定位结果!$P219</f>
        <v>0</v>
      </c>
      <c r="H220">
        <f>澳门换算01!H219+澳门新定位结果!$P219</f>
        <v>1</v>
      </c>
      <c r="I220">
        <f>澳门换算01!I219+澳门新定位结果!$P219</f>
        <v>0</v>
      </c>
      <c r="J220" s="1">
        <f>澳门换算01!J219+澳门新定位结果!$P219</f>
        <v>1</v>
      </c>
      <c r="K220">
        <f>澳门换算01!K219+澳门新定位结果!$P219</f>
        <v>0</v>
      </c>
      <c r="L220">
        <f>澳门换算01!L219+澳门新定位结果!$P219</f>
        <v>1</v>
      </c>
      <c r="M220" s="1">
        <f>澳门换算01!M219+澳门新定位结果!$P219</f>
        <v>1</v>
      </c>
      <c r="N220">
        <f>澳门换算01!N219+澳门新定位结果!$P219</f>
        <v>1</v>
      </c>
      <c r="O220">
        <f>澳门换算01!O219+澳门新定位结果!$P219</f>
        <v>1</v>
      </c>
    </row>
    <row r="221" spans="1:15">
      <c r="A221" s="4" t="s">
        <v>459</v>
      </c>
      <c r="B221">
        <f>澳门换算01!B220+澳门新定位结果!$P220</f>
        <v>1</v>
      </c>
      <c r="C221">
        <f>澳门换算01!C220+澳门新定位结果!$P220</f>
        <v>0</v>
      </c>
      <c r="D221" s="1">
        <f>澳门换算01!D220+澳门新定位结果!$P220</f>
        <v>0</v>
      </c>
      <c r="E221">
        <f>澳门换算01!E220+澳门新定位结果!$P220</f>
        <v>0</v>
      </c>
      <c r="F221">
        <f>澳门换算01!F220+澳门新定位结果!$P220</f>
        <v>1</v>
      </c>
      <c r="G221">
        <f>澳门换算01!G220+澳门新定位结果!$P220</f>
        <v>1</v>
      </c>
      <c r="H221">
        <f>澳门换算01!H220+澳门新定位结果!$P220</f>
        <v>0</v>
      </c>
      <c r="I221">
        <f>澳门换算01!I220+澳门新定位结果!$P220</f>
        <v>1</v>
      </c>
      <c r="J221" s="1">
        <f>澳门换算01!J220+澳门新定位结果!$P220</f>
        <v>0</v>
      </c>
      <c r="K221">
        <f>澳门换算01!K220+澳门新定位结果!$P220</f>
        <v>0</v>
      </c>
      <c r="L221">
        <f>澳门换算01!L220+澳门新定位结果!$P220</f>
        <v>1</v>
      </c>
      <c r="M221" s="1">
        <f>澳门换算01!M220+澳门新定位结果!$P220</f>
        <v>1</v>
      </c>
      <c r="N221">
        <f>澳门换算01!N220+澳门新定位结果!$P220</f>
        <v>1</v>
      </c>
      <c r="O221">
        <f>澳门换算01!O220+澳门新定位结果!$P220</f>
        <v>1</v>
      </c>
    </row>
    <row r="222" spans="1:15">
      <c r="A222" s="4" t="s">
        <v>461</v>
      </c>
      <c r="B222">
        <f>澳门换算01!B221+澳门新定位结果!$P221</f>
        <v>1</v>
      </c>
      <c r="C222">
        <f>澳门换算01!C221+澳门新定位结果!$P221</f>
        <v>1</v>
      </c>
      <c r="D222" s="1">
        <f>澳门换算01!D221+澳门新定位结果!$P221</f>
        <v>1</v>
      </c>
      <c r="E222">
        <f>澳门换算01!E221+澳门新定位结果!$P221</f>
        <v>1</v>
      </c>
      <c r="F222">
        <f>澳门换算01!F221+澳门新定位结果!$P221</f>
        <v>1</v>
      </c>
      <c r="G222">
        <f>澳门换算01!G221+澳门新定位结果!$P221</f>
        <v>1</v>
      </c>
      <c r="H222">
        <f>澳门换算01!H221+澳门新定位结果!$P221</f>
        <v>2</v>
      </c>
      <c r="I222">
        <f>澳门换算01!I221+澳门新定位结果!$P221</f>
        <v>2</v>
      </c>
      <c r="J222" s="1">
        <f>澳门换算01!J221+澳门新定位结果!$P221</f>
        <v>1</v>
      </c>
      <c r="K222">
        <f>澳门换算01!K221+澳门新定位结果!$P221</f>
        <v>1</v>
      </c>
      <c r="L222">
        <f>澳门换算01!L221+澳门新定位结果!$P221</f>
        <v>1</v>
      </c>
      <c r="M222" s="1">
        <f>澳门换算01!M221+澳门新定位结果!$P221</f>
        <v>1</v>
      </c>
      <c r="N222">
        <f>澳门换算01!N221+澳门新定位结果!$P221</f>
        <v>1</v>
      </c>
      <c r="O222">
        <f>澳门换算01!O221+澳门新定位结果!$P221</f>
        <v>1</v>
      </c>
    </row>
    <row r="223" spans="1:15">
      <c r="A223" s="4" t="s">
        <v>463</v>
      </c>
      <c r="B223">
        <f>澳门换算01!B222+澳门新定位结果!$P222</f>
        <v>1</v>
      </c>
      <c r="C223">
        <f>澳门换算01!C222+澳门新定位结果!$P222</f>
        <v>1</v>
      </c>
      <c r="D223" s="1">
        <f>澳门换算01!D222+澳门新定位结果!$P222</f>
        <v>0</v>
      </c>
      <c r="E223">
        <f>澳门换算01!E222+澳门新定位结果!$P222</f>
        <v>1</v>
      </c>
      <c r="F223">
        <f>澳门换算01!F222+澳门新定位结果!$P222</f>
        <v>1</v>
      </c>
      <c r="G223">
        <f>澳门换算01!G222+澳门新定位结果!$P222</f>
        <v>0</v>
      </c>
      <c r="H223">
        <f>澳门换算01!H222+澳门新定位结果!$P222</f>
        <v>0</v>
      </c>
      <c r="I223">
        <f>澳门换算01!I222+澳门新定位结果!$P222</f>
        <v>1</v>
      </c>
      <c r="J223" s="1">
        <f>澳门换算01!J222+澳门新定位结果!$P222</f>
        <v>1</v>
      </c>
      <c r="K223">
        <f>澳门换算01!K222+澳门新定位结果!$P222</f>
        <v>1</v>
      </c>
      <c r="L223">
        <f>澳门换算01!L222+澳门新定位结果!$P222</f>
        <v>1</v>
      </c>
      <c r="M223" s="1">
        <f>澳门换算01!M222+澳门新定位结果!$P222</f>
        <v>0</v>
      </c>
      <c r="N223">
        <f>澳门换算01!N222+澳门新定位结果!$P222</f>
        <v>1</v>
      </c>
      <c r="O223">
        <f>澳门换算01!O222+澳门新定位结果!$P222</f>
        <v>1</v>
      </c>
    </row>
    <row r="224" spans="1:15">
      <c r="A224" s="4" t="s">
        <v>465</v>
      </c>
      <c r="B224">
        <f>澳门换算01!B223+澳门新定位结果!$P223</f>
        <v>2</v>
      </c>
      <c r="C224">
        <f>澳门换算01!C223+澳门新定位结果!$P223</f>
        <v>1</v>
      </c>
      <c r="D224" s="1">
        <f>澳门换算01!D223+澳门新定位结果!$P223</f>
        <v>2</v>
      </c>
      <c r="E224">
        <f>澳门换算01!E223+澳门新定位结果!$P223</f>
        <v>2</v>
      </c>
      <c r="F224">
        <f>澳门换算01!F223+澳门新定位结果!$P223</f>
        <v>2</v>
      </c>
      <c r="G224">
        <f>澳门换算01!G223+澳门新定位结果!$P223</f>
        <v>1</v>
      </c>
      <c r="H224">
        <f>澳门换算01!H223+澳门新定位结果!$P223</f>
        <v>1</v>
      </c>
      <c r="I224">
        <f>澳门换算01!I223+澳门新定位结果!$P223</f>
        <v>2</v>
      </c>
      <c r="J224" s="1">
        <f>澳门换算01!J223+澳门新定位结果!$P223</f>
        <v>2</v>
      </c>
      <c r="K224">
        <f>澳门换算01!K223+澳门新定位结果!$P223</f>
        <v>2</v>
      </c>
      <c r="L224">
        <f>澳门换算01!L223+澳门新定位结果!$P223</f>
        <v>2</v>
      </c>
      <c r="M224" s="1">
        <f>澳门换算01!M223+澳门新定位结果!$P223</f>
        <v>2</v>
      </c>
      <c r="N224">
        <f>澳门换算01!N223+澳门新定位结果!$P223</f>
        <v>1</v>
      </c>
      <c r="O224">
        <f>澳门换算01!O223+澳门新定位结果!$P223</f>
        <v>2</v>
      </c>
    </row>
    <row r="225" spans="1:15">
      <c r="A225" s="4" t="s">
        <v>467</v>
      </c>
      <c r="B225">
        <f>澳门换算01!B224+澳门新定位结果!$P224</f>
        <v>1</v>
      </c>
      <c r="C225">
        <f>澳门换算01!C224+澳门新定位结果!$P224</f>
        <v>2</v>
      </c>
      <c r="D225" s="1">
        <f>澳门换算01!D224+澳门新定位结果!$P224</f>
        <v>1</v>
      </c>
      <c r="E225">
        <f>澳门换算01!E224+澳门新定位结果!$P224</f>
        <v>1</v>
      </c>
      <c r="F225">
        <f>澳门换算01!F224+澳门新定位结果!$P224</f>
        <v>2</v>
      </c>
      <c r="G225">
        <f>澳门换算01!G224+澳门新定位结果!$P224</f>
        <v>2</v>
      </c>
      <c r="H225">
        <f>澳门换算01!H224+澳门新定位结果!$P224</f>
        <v>2</v>
      </c>
      <c r="I225">
        <f>澳门换算01!I224+澳门新定位结果!$P224</f>
        <v>1</v>
      </c>
      <c r="J225" s="1">
        <f>澳门换算01!J224+澳门新定位结果!$P224</f>
        <v>1</v>
      </c>
      <c r="K225">
        <f>澳门换算01!K224+澳门新定位结果!$P224</f>
        <v>2</v>
      </c>
      <c r="L225">
        <f>澳门换算01!L224+澳门新定位结果!$P224</f>
        <v>1</v>
      </c>
      <c r="M225" s="1">
        <f>澳门换算01!M224+澳门新定位结果!$P224</f>
        <v>1</v>
      </c>
      <c r="N225">
        <f>澳门换算01!N224+澳门新定位结果!$P224</f>
        <v>2</v>
      </c>
      <c r="O225">
        <f>澳门换算01!O224+澳门新定位结果!$P224</f>
        <v>1</v>
      </c>
    </row>
    <row r="226" spans="1:15">
      <c r="A226" s="4" t="s">
        <v>469</v>
      </c>
      <c r="B226">
        <f>澳门换算01!B225+澳门新定位结果!$P225</f>
        <v>1</v>
      </c>
      <c r="C226">
        <f>澳门换算01!C225+澳门新定位结果!$P225</f>
        <v>1</v>
      </c>
      <c r="D226" s="1">
        <f>澳门换算01!D225+澳门新定位结果!$P225</f>
        <v>1</v>
      </c>
      <c r="E226">
        <f>澳门换算01!E225+澳门新定位结果!$P225</f>
        <v>1</v>
      </c>
      <c r="F226">
        <f>澳门换算01!F225+澳门新定位结果!$P225</f>
        <v>1</v>
      </c>
      <c r="G226">
        <f>澳门换算01!G225+澳门新定位结果!$P225</f>
        <v>1</v>
      </c>
      <c r="H226">
        <f>澳门换算01!H225+澳门新定位结果!$P225</f>
        <v>0</v>
      </c>
      <c r="I226">
        <f>澳门换算01!I225+澳门新定位结果!$P225</f>
        <v>1</v>
      </c>
      <c r="J226" s="1">
        <f>澳门换算01!J225+澳门新定位结果!$P225</f>
        <v>0</v>
      </c>
      <c r="K226">
        <f>澳门换算01!K225+澳门新定位结果!$P225</f>
        <v>0</v>
      </c>
      <c r="L226">
        <f>澳门换算01!L225+澳门新定位结果!$P225</f>
        <v>0</v>
      </c>
      <c r="M226" s="1">
        <f>澳门换算01!M225+澳门新定位结果!$P225</f>
        <v>0</v>
      </c>
      <c r="N226">
        <f>澳门换算01!N225+澳门新定位结果!$P225</f>
        <v>1</v>
      </c>
      <c r="O226">
        <f>澳门换算01!O225+澳门新定位结果!$P225</f>
        <v>1</v>
      </c>
    </row>
    <row r="227" spans="1:15">
      <c r="A227" s="4" t="s">
        <v>471</v>
      </c>
      <c r="B227">
        <f>澳门换算01!B226+澳门新定位结果!$P226</f>
        <v>0</v>
      </c>
      <c r="C227">
        <f>澳门换算01!C226+澳门新定位结果!$P226</f>
        <v>0</v>
      </c>
      <c r="D227" s="1">
        <f>澳门换算01!D226+澳门新定位结果!$P226</f>
        <v>1</v>
      </c>
      <c r="E227">
        <f>澳门换算01!E226+澳门新定位结果!$P226</f>
        <v>0</v>
      </c>
      <c r="F227">
        <f>澳门换算01!F226+澳门新定位结果!$P226</f>
        <v>0</v>
      </c>
      <c r="G227">
        <f>澳门换算01!G226+澳门新定位结果!$P226</f>
        <v>0</v>
      </c>
      <c r="H227">
        <f>澳门换算01!H226+澳门新定位结果!$P226</f>
        <v>1</v>
      </c>
      <c r="I227">
        <f>澳门换算01!I226+澳门新定位结果!$P226</f>
        <v>0</v>
      </c>
      <c r="J227" s="1">
        <f>澳门换算01!J226+澳门新定位结果!$P226</f>
        <v>1</v>
      </c>
      <c r="K227">
        <f>澳门换算01!K226+澳门新定位结果!$P226</f>
        <v>1</v>
      </c>
      <c r="L227">
        <f>澳门换算01!L226+澳门新定位结果!$P226</f>
        <v>1</v>
      </c>
      <c r="M227" s="1">
        <f>澳门换算01!M226+澳门新定位结果!$P226</f>
        <v>1</v>
      </c>
      <c r="N227">
        <f>澳门换算01!N226+澳门新定位结果!$P226</f>
        <v>1</v>
      </c>
      <c r="O227">
        <f>澳门换算01!O226+澳门新定位结果!$P226</f>
        <v>0</v>
      </c>
    </row>
    <row r="228" spans="1:15">
      <c r="A228" s="4" t="s">
        <v>473</v>
      </c>
      <c r="B228">
        <f>澳门换算01!B227+澳门新定位结果!$P227</f>
        <v>0</v>
      </c>
      <c r="C228">
        <f>澳门换算01!C227+澳门新定位结果!$P227</f>
        <v>0</v>
      </c>
      <c r="D228" s="1">
        <f>澳门换算01!D227+澳门新定位结果!$P227</f>
        <v>0</v>
      </c>
      <c r="E228">
        <f>澳门换算01!E227+澳门新定位结果!$P227</f>
        <v>0</v>
      </c>
      <c r="F228">
        <f>澳门换算01!F227+澳门新定位结果!$P227</f>
        <v>1</v>
      </c>
      <c r="G228">
        <f>澳门换算01!G227+澳门新定位结果!$P227</f>
        <v>0</v>
      </c>
      <c r="H228">
        <f>澳门换算01!H227+澳门新定位结果!$P227</f>
        <v>0</v>
      </c>
      <c r="I228">
        <f>澳门换算01!I227+澳门新定位结果!$P227</f>
        <v>1</v>
      </c>
      <c r="J228" s="1">
        <f>澳门换算01!J227+澳门新定位结果!$P227</f>
        <v>0</v>
      </c>
      <c r="K228">
        <f>澳门换算01!K227+澳门新定位结果!$P227</f>
        <v>0</v>
      </c>
      <c r="L228">
        <f>澳门换算01!L227+澳门新定位结果!$P227</f>
        <v>0</v>
      </c>
      <c r="M228" s="1">
        <f>澳门换算01!M227+澳门新定位结果!$P227</f>
        <v>0</v>
      </c>
      <c r="N228">
        <f>澳门换算01!N227+澳门新定位结果!$P227</f>
        <v>0</v>
      </c>
      <c r="O228">
        <f>澳门换算01!O227+澳门新定位结果!$P227</f>
        <v>1</v>
      </c>
    </row>
    <row r="229" spans="1:15">
      <c r="A229" s="4" t="s">
        <v>475</v>
      </c>
      <c r="B229">
        <f>澳门换算01!B228+澳门新定位结果!$P228</f>
        <v>0</v>
      </c>
      <c r="C229">
        <f>澳门换算01!C228+澳门新定位结果!$P228</f>
        <v>0</v>
      </c>
      <c r="D229" s="1">
        <f>澳门换算01!D228+澳门新定位结果!$P228</f>
        <v>0</v>
      </c>
      <c r="E229">
        <f>澳门换算01!E228+澳门新定位结果!$P228</f>
        <v>1</v>
      </c>
      <c r="F229">
        <f>澳门换算01!F228+澳门新定位结果!$P228</f>
        <v>1</v>
      </c>
      <c r="G229">
        <f>澳门换算01!G228+澳门新定位结果!$P228</f>
        <v>0</v>
      </c>
      <c r="H229">
        <f>澳门换算01!H228+澳门新定位结果!$P228</f>
        <v>0</v>
      </c>
      <c r="I229">
        <f>澳门换算01!I228+澳门新定位结果!$P228</f>
        <v>0</v>
      </c>
      <c r="J229" s="1">
        <f>澳门换算01!J228+澳门新定位结果!$P228</f>
        <v>0</v>
      </c>
      <c r="K229">
        <f>澳门换算01!K228+澳门新定位结果!$P228</f>
        <v>0</v>
      </c>
      <c r="L229">
        <f>澳门换算01!L228+澳门新定位结果!$P228</f>
        <v>0</v>
      </c>
      <c r="M229" s="1">
        <f>澳门换算01!M228+澳门新定位结果!$P228</f>
        <v>0</v>
      </c>
      <c r="N229">
        <f>澳门换算01!N228+澳门新定位结果!$P228</f>
        <v>0</v>
      </c>
      <c r="O229">
        <f>澳门换算01!O228+澳门新定位结果!$P228</f>
        <v>0</v>
      </c>
    </row>
    <row r="230" spans="1:15">
      <c r="A230" s="4" t="s">
        <v>477</v>
      </c>
      <c r="B230">
        <f>澳门换算01!B229+澳门新定位结果!$P229</f>
        <v>1</v>
      </c>
      <c r="C230">
        <f>澳门换算01!C229+澳门新定位结果!$P229</f>
        <v>2</v>
      </c>
      <c r="D230" s="1">
        <f>澳门换算01!D229+澳门新定位结果!$P229</f>
        <v>1</v>
      </c>
      <c r="E230">
        <f>澳门换算01!E229+澳门新定位结果!$P229</f>
        <v>1</v>
      </c>
      <c r="F230">
        <f>澳门换算01!F229+澳门新定位结果!$P229</f>
        <v>1</v>
      </c>
      <c r="G230">
        <f>澳门换算01!G229+澳门新定位结果!$P229</f>
        <v>1</v>
      </c>
      <c r="H230">
        <f>澳门换算01!H229+澳门新定位结果!$P229</f>
        <v>1</v>
      </c>
      <c r="I230">
        <f>澳门换算01!I229+澳门新定位结果!$P229</f>
        <v>2</v>
      </c>
      <c r="J230" s="1">
        <f>澳门换算01!J229+澳门新定位结果!$P229</f>
        <v>1</v>
      </c>
      <c r="K230">
        <f>澳门换算01!K229+澳门新定位结果!$P229</f>
        <v>2</v>
      </c>
      <c r="L230">
        <f>澳门换算01!L229+澳门新定位结果!$P229</f>
        <v>2</v>
      </c>
      <c r="M230" s="1">
        <f>澳门换算01!M229+澳门新定位结果!$P229</f>
        <v>1</v>
      </c>
      <c r="N230">
        <f>澳门换算01!N229+澳门新定位结果!$P229</f>
        <v>2</v>
      </c>
      <c r="O230">
        <f>澳门换算01!O229+澳门新定位结果!$P229</f>
        <v>2</v>
      </c>
    </row>
    <row r="231" spans="1:15">
      <c r="A231" s="4" t="s">
        <v>479</v>
      </c>
      <c r="B231">
        <f>澳门换算01!B230+澳门新定位结果!$P230</f>
        <v>2</v>
      </c>
      <c r="C231">
        <f>澳门换算01!C230+澳门新定位结果!$P230</f>
        <v>2</v>
      </c>
      <c r="D231" s="1">
        <f>澳门换算01!D230+澳门新定位结果!$P230</f>
        <v>1</v>
      </c>
      <c r="E231">
        <f>澳门换算01!E230+澳门新定位结果!$P230</f>
        <v>1</v>
      </c>
      <c r="F231">
        <f>澳门换算01!F230+澳门新定位结果!$P230</f>
        <v>1</v>
      </c>
      <c r="G231">
        <f>澳门换算01!G230+澳门新定位结果!$P230</f>
        <v>2</v>
      </c>
      <c r="H231">
        <f>澳门换算01!H230+澳门新定位结果!$P230</f>
        <v>1</v>
      </c>
      <c r="I231">
        <f>澳门换算01!I230+澳门新定位结果!$P230</f>
        <v>2</v>
      </c>
      <c r="J231" s="1">
        <f>澳门换算01!J230+澳门新定位结果!$P230</f>
        <v>1</v>
      </c>
      <c r="K231">
        <f>澳门换算01!K230+澳门新定位结果!$P230</f>
        <v>2</v>
      </c>
      <c r="L231">
        <f>澳门换算01!L230+澳门新定位结果!$P230</f>
        <v>2</v>
      </c>
      <c r="M231" s="1">
        <f>澳门换算01!M230+澳门新定位结果!$P230</f>
        <v>1</v>
      </c>
      <c r="N231">
        <f>澳门换算01!N230+澳门新定位结果!$P230</f>
        <v>2</v>
      </c>
      <c r="O231">
        <f>澳门换算01!O230+澳门新定位结果!$P230</f>
        <v>1</v>
      </c>
    </row>
    <row r="232" spans="1:15">
      <c r="A232" s="4" t="s">
        <v>481</v>
      </c>
      <c r="B232">
        <f>澳门换算01!B231+澳门新定位结果!$P231</f>
        <v>2</v>
      </c>
      <c r="C232">
        <f>澳门换算01!C231+澳门新定位结果!$P231</f>
        <v>2</v>
      </c>
      <c r="D232" s="1">
        <f>澳门换算01!D231+澳门新定位结果!$P231</f>
        <v>1</v>
      </c>
      <c r="E232">
        <f>澳门换算01!E231+澳门新定位结果!$P231</f>
        <v>1</v>
      </c>
      <c r="F232">
        <f>澳门换算01!F231+澳门新定位结果!$P231</f>
        <v>1</v>
      </c>
      <c r="G232">
        <f>澳门换算01!G231+澳门新定位结果!$P231</f>
        <v>2</v>
      </c>
      <c r="H232">
        <f>澳门换算01!H231+澳门新定位结果!$P231</f>
        <v>2</v>
      </c>
      <c r="I232">
        <f>澳门换算01!I231+澳门新定位结果!$P231</f>
        <v>2</v>
      </c>
      <c r="J232" s="1">
        <f>澳门换算01!J231+澳门新定位结果!$P231</f>
        <v>2</v>
      </c>
      <c r="K232">
        <f>澳门换算01!K231+澳门新定位结果!$P231</f>
        <v>2</v>
      </c>
      <c r="L232">
        <f>澳门换算01!L231+澳门新定位结果!$P231</f>
        <v>2</v>
      </c>
      <c r="M232" s="1">
        <f>澳门换算01!M231+澳门新定位结果!$P231</f>
        <v>2</v>
      </c>
      <c r="N232">
        <f>澳门换算01!N231+澳门新定位结果!$P231</f>
        <v>1</v>
      </c>
      <c r="O232">
        <f>澳门换算01!O231+澳门新定位结果!$P231</f>
        <v>1</v>
      </c>
    </row>
    <row r="233" spans="1:15">
      <c r="A233" s="4" t="s">
        <v>483</v>
      </c>
      <c r="B233">
        <f>澳门换算01!B232+澳门新定位结果!$P232</f>
        <v>0</v>
      </c>
      <c r="C233">
        <f>澳门换算01!C232+澳门新定位结果!$P232</f>
        <v>1</v>
      </c>
      <c r="D233" s="1">
        <f>澳门换算01!D232+澳门新定位结果!$P232</f>
        <v>0</v>
      </c>
      <c r="E233">
        <f>澳门换算01!E232+澳门新定位结果!$P232</f>
        <v>1</v>
      </c>
      <c r="F233">
        <f>澳门换算01!F232+澳门新定位结果!$P232</f>
        <v>0</v>
      </c>
      <c r="G233">
        <f>澳门换算01!G232+澳门新定位结果!$P232</f>
        <v>0</v>
      </c>
      <c r="H233">
        <f>澳门换算01!H232+澳门新定位结果!$P232</f>
        <v>0</v>
      </c>
      <c r="I233">
        <f>澳门换算01!I232+澳门新定位结果!$P232</f>
        <v>1</v>
      </c>
      <c r="J233" s="1">
        <f>澳门换算01!J232+澳门新定位结果!$P232</f>
        <v>1</v>
      </c>
      <c r="K233">
        <f>澳门换算01!K232+澳门新定位结果!$P232</f>
        <v>1</v>
      </c>
      <c r="L233">
        <f>澳门换算01!L232+澳门新定位结果!$P232</f>
        <v>1</v>
      </c>
      <c r="M233" s="1">
        <f>澳门换算01!M232+澳门新定位结果!$P232</f>
        <v>0</v>
      </c>
      <c r="N233">
        <f>澳门换算01!N232+澳门新定位结果!$P232</f>
        <v>0</v>
      </c>
      <c r="O233">
        <f>澳门换算01!O232+澳门新定位结果!$P232</f>
        <v>0</v>
      </c>
    </row>
    <row r="234" spans="1:15">
      <c r="A234" s="4" t="s">
        <v>485</v>
      </c>
      <c r="B234">
        <f>澳门换算01!B233+澳门新定位结果!$P233</f>
        <v>2</v>
      </c>
      <c r="C234">
        <f>澳门换算01!C233+澳门新定位结果!$P233</f>
        <v>1</v>
      </c>
      <c r="D234" s="1">
        <f>澳门换算01!D233+澳门新定位结果!$P233</f>
        <v>1</v>
      </c>
      <c r="E234">
        <f>澳门换算01!E233+澳门新定位结果!$P233</f>
        <v>1</v>
      </c>
      <c r="F234">
        <f>澳门换算01!F233+澳门新定位结果!$P233</f>
        <v>1</v>
      </c>
      <c r="G234">
        <f>澳门换算01!G233+澳门新定位结果!$P233</f>
        <v>2</v>
      </c>
      <c r="H234">
        <f>澳门换算01!H233+澳门新定位结果!$P233</f>
        <v>1</v>
      </c>
      <c r="I234">
        <f>澳门换算01!I233+澳门新定位结果!$P233</f>
        <v>1</v>
      </c>
      <c r="J234" s="1">
        <f>澳门换算01!J233+澳门新定位结果!$P233</f>
        <v>1</v>
      </c>
      <c r="K234">
        <f>澳门换算01!K233+澳门新定位结果!$P233</f>
        <v>1</v>
      </c>
      <c r="L234">
        <f>澳门换算01!L233+澳门新定位结果!$P233</f>
        <v>2</v>
      </c>
      <c r="M234" s="1">
        <f>澳门换算01!M233+澳门新定位结果!$P233</f>
        <v>2</v>
      </c>
      <c r="N234">
        <f>澳门换算01!N233+澳门新定位结果!$P233</f>
        <v>2</v>
      </c>
      <c r="O234">
        <f>澳门换算01!O233+澳门新定位结果!$P233</f>
        <v>2</v>
      </c>
    </row>
    <row r="235" spans="1:15">
      <c r="A235" s="4" t="s">
        <v>487</v>
      </c>
      <c r="B235">
        <f>澳门换算01!B234+澳门新定位结果!$P234</f>
        <v>1</v>
      </c>
      <c r="C235">
        <f>澳门换算01!C234+澳门新定位结果!$P234</f>
        <v>1</v>
      </c>
      <c r="D235" s="1">
        <f>澳门换算01!D234+澳门新定位结果!$P234</f>
        <v>2</v>
      </c>
      <c r="E235">
        <f>澳门换算01!E234+澳门新定位结果!$P234</f>
        <v>1</v>
      </c>
      <c r="F235">
        <f>澳门换算01!F234+澳门新定位结果!$P234</f>
        <v>1</v>
      </c>
      <c r="G235">
        <f>澳门换算01!G234+澳门新定位结果!$P234</f>
        <v>1</v>
      </c>
      <c r="H235">
        <f>澳门换算01!H234+澳门新定位结果!$P234</f>
        <v>2</v>
      </c>
      <c r="I235">
        <f>澳门换算01!I234+澳门新定位结果!$P234</f>
        <v>2</v>
      </c>
      <c r="J235" s="1">
        <f>澳门换算01!J234+澳门新定位结果!$P234</f>
        <v>1</v>
      </c>
      <c r="K235">
        <f>澳门换算01!K234+澳门新定位结果!$P234</f>
        <v>1</v>
      </c>
      <c r="L235">
        <f>澳门换算01!L234+澳门新定位结果!$P234</f>
        <v>2</v>
      </c>
      <c r="M235" s="1">
        <f>澳门换算01!M234+澳门新定位结果!$P234</f>
        <v>1</v>
      </c>
      <c r="N235">
        <f>澳门换算01!N234+澳门新定位结果!$P234</f>
        <v>2</v>
      </c>
      <c r="O235">
        <f>澳门换算01!O234+澳门新定位结果!$P234</f>
        <v>1</v>
      </c>
    </row>
    <row r="236" spans="1:15">
      <c r="A236" s="4" t="s">
        <v>489</v>
      </c>
      <c r="B236">
        <f>澳门换算01!B235+澳门新定位结果!$P235</f>
        <v>0</v>
      </c>
      <c r="C236">
        <f>澳门换算01!C235+澳门新定位结果!$P235</f>
        <v>1</v>
      </c>
      <c r="D236" s="1">
        <f>澳门换算01!D235+澳门新定位结果!$P235</f>
        <v>0</v>
      </c>
      <c r="E236">
        <f>澳门换算01!E235+澳门新定位结果!$P235</f>
        <v>1</v>
      </c>
      <c r="F236">
        <f>澳门换算01!F235+澳门新定位结果!$P235</f>
        <v>1</v>
      </c>
      <c r="G236">
        <f>澳门换算01!G235+澳门新定位结果!$P235</f>
        <v>1</v>
      </c>
      <c r="H236">
        <f>澳门换算01!H235+澳门新定位结果!$P235</f>
        <v>0</v>
      </c>
      <c r="I236">
        <f>澳门换算01!I235+澳门新定位结果!$P235</f>
        <v>1</v>
      </c>
      <c r="J236" s="1">
        <f>澳门换算01!J235+澳门新定位结果!$P235</f>
        <v>0</v>
      </c>
      <c r="K236">
        <f>澳门换算01!K235+澳门新定位结果!$P235</f>
        <v>1</v>
      </c>
      <c r="L236">
        <f>澳门换算01!L235+澳门新定位结果!$P235</f>
        <v>1</v>
      </c>
      <c r="M236" s="1">
        <f>澳门换算01!M235+澳门新定位结果!$P235</f>
        <v>0</v>
      </c>
      <c r="N236">
        <f>澳门换算01!N235+澳门新定位结果!$P235</f>
        <v>0</v>
      </c>
      <c r="O236">
        <f>澳门换算01!O235+澳门新定位结果!$P235</f>
        <v>0</v>
      </c>
    </row>
    <row r="237" spans="1:15">
      <c r="A237" s="4" t="s">
        <v>491</v>
      </c>
      <c r="B237">
        <f>澳门换算01!B236+澳门新定位结果!$P236</f>
        <v>1</v>
      </c>
      <c r="C237">
        <f>澳门换算01!C236+澳门新定位结果!$P236</f>
        <v>1</v>
      </c>
      <c r="D237" s="1">
        <f>澳门换算01!D236+澳门新定位结果!$P236</f>
        <v>1</v>
      </c>
      <c r="E237">
        <f>澳门换算01!E236+澳门新定位结果!$P236</f>
        <v>1</v>
      </c>
      <c r="F237">
        <f>澳门换算01!F236+澳门新定位结果!$P236</f>
        <v>1</v>
      </c>
      <c r="G237">
        <f>澳门换算01!G236+澳门新定位结果!$P236</f>
        <v>1</v>
      </c>
      <c r="H237">
        <f>澳门换算01!H236+澳门新定位结果!$P236</f>
        <v>2</v>
      </c>
      <c r="I237">
        <f>澳门换算01!I236+澳门新定位结果!$P236</f>
        <v>2</v>
      </c>
      <c r="J237" s="1">
        <f>澳门换算01!J236+澳门新定位结果!$P236</f>
        <v>2</v>
      </c>
      <c r="K237">
        <f>澳门换算01!K236+澳门新定位结果!$P236</f>
        <v>2</v>
      </c>
      <c r="L237">
        <f>澳门换算01!L236+澳门新定位结果!$P236</f>
        <v>2</v>
      </c>
      <c r="M237" s="1">
        <f>澳门换算01!M236+澳门新定位结果!$P236</f>
        <v>1</v>
      </c>
      <c r="N237">
        <f>澳门换算01!N236+澳门新定位结果!$P236</f>
        <v>1</v>
      </c>
      <c r="O237">
        <f>澳门换算01!O236+澳门新定位结果!$P236</f>
        <v>1</v>
      </c>
    </row>
    <row r="238" spans="1:15">
      <c r="A238" s="4" t="s">
        <v>493</v>
      </c>
      <c r="B238">
        <f>澳门换算01!B237+澳门新定位结果!$P237</f>
        <v>1</v>
      </c>
      <c r="C238">
        <f>澳门换算01!C237+澳门新定位结果!$P237</f>
        <v>1</v>
      </c>
      <c r="D238" s="1">
        <f>澳门换算01!D237+澳门新定位结果!$P237</f>
        <v>0</v>
      </c>
      <c r="E238">
        <f>澳门换算01!E237+澳门新定位结果!$P237</f>
        <v>1</v>
      </c>
      <c r="F238">
        <f>澳门换算01!F237+澳门新定位结果!$P237</f>
        <v>1</v>
      </c>
      <c r="G238">
        <f>澳门换算01!G237+澳门新定位结果!$P237</f>
        <v>1</v>
      </c>
      <c r="H238">
        <f>澳门换算01!H237+澳门新定位结果!$P237</f>
        <v>0</v>
      </c>
      <c r="I238">
        <f>澳门换算01!I237+澳门新定位结果!$P237</f>
        <v>1</v>
      </c>
      <c r="J238" s="1">
        <f>澳门换算01!J237+澳门新定位结果!$P237</f>
        <v>0</v>
      </c>
      <c r="K238">
        <f>澳门换算01!K237+澳门新定位结果!$P237</f>
        <v>1</v>
      </c>
      <c r="L238">
        <f>澳门换算01!L237+澳门新定位结果!$P237</f>
        <v>1</v>
      </c>
      <c r="M238" s="1">
        <f>澳门换算01!M237+澳门新定位结果!$P237</f>
        <v>1</v>
      </c>
      <c r="N238">
        <f>澳门换算01!N237+澳门新定位结果!$P237</f>
        <v>0</v>
      </c>
      <c r="O238">
        <f>澳门换算01!O237+澳门新定位结果!$P237</f>
        <v>1</v>
      </c>
    </row>
    <row r="239" spans="1:15">
      <c r="A239" s="4" t="s">
        <v>495</v>
      </c>
      <c r="B239">
        <f>澳门换算01!B238+澳门新定位结果!$P238</f>
        <v>1</v>
      </c>
      <c r="C239">
        <f>澳门换算01!C238+澳门新定位结果!$P238</f>
        <v>1</v>
      </c>
      <c r="D239" s="1">
        <f>澳门换算01!D238+澳门新定位结果!$P238</f>
        <v>2</v>
      </c>
      <c r="E239">
        <f>澳门换算01!E238+澳门新定位结果!$P238</f>
        <v>2</v>
      </c>
      <c r="F239">
        <f>澳门换算01!F238+澳门新定位结果!$P238</f>
        <v>2</v>
      </c>
      <c r="G239">
        <f>澳门换算01!G238+澳门新定位结果!$P238</f>
        <v>1</v>
      </c>
      <c r="H239">
        <f>澳门换算01!H238+澳门新定位结果!$P238</f>
        <v>1</v>
      </c>
      <c r="I239">
        <f>澳门换算01!I238+澳门新定位结果!$P238</f>
        <v>2</v>
      </c>
      <c r="J239" s="1">
        <f>澳门换算01!J238+澳门新定位结果!$P238</f>
        <v>2</v>
      </c>
      <c r="K239">
        <f>澳门换算01!K238+澳门新定位结果!$P238</f>
        <v>2</v>
      </c>
      <c r="L239">
        <f>澳门换算01!L238+澳门新定位结果!$P238</f>
        <v>1</v>
      </c>
      <c r="M239" s="1">
        <f>澳门换算01!M238+澳门新定位结果!$P238</f>
        <v>1</v>
      </c>
      <c r="N239">
        <f>澳门换算01!N238+澳门新定位结果!$P238</f>
        <v>2</v>
      </c>
      <c r="O239">
        <f>澳门换算01!O238+澳门新定位结果!$P238</f>
        <v>1</v>
      </c>
    </row>
    <row r="240" spans="1:15">
      <c r="A240" s="4" t="s">
        <v>497</v>
      </c>
      <c r="B240">
        <f>澳门换算01!B239+澳门新定位结果!$P239</f>
        <v>1</v>
      </c>
      <c r="C240">
        <f>澳门换算01!C239+澳门新定位结果!$P239</f>
        <v>2</v>
      </c>
      <c r="D240" s="1">
        <f>澳门换算01!D239+澳门新定位结果!$P239</f>
        <v>1</v>
      </c>
      <c r="E240">
        <f>澳门换算01!E239+澳门新定位结果!$P239</f>
        <v>1</v>
      </c>
      <c r="F240">
        <f>澳门换算01!F239+澳门新定位结果!$P239</f>
        <v>2</v>
      </c>
      <c r="G240">
        <f>澳门换算01!G239+澳门新定位结果!$P239</f>
        <v>1</v>
      </c>
      <c r="H240">
        <f>澳门换算01!H239+澳门新定位结果!$P239</f>
        <v>1</v>
      </c>
      <c r="I240">
        <f>澳门换算01!I239+澳门新定位结果!$P239</f>
        <v>2</v>
      </c>
      <c r="J240" s="1">
        <f>澳门换算01!J239+澳门新定位结果!$P239</f>
        <v>1</v>
      </c>
      <c r="K240">
        <f>澳门换算01!K239+澳门新定位结果!$P239</f>
        <v>2</v>
      </c>
      <c r="L240">
        <f>澳门换算01!L239+澳门新定位结果!$P239</f>
        <v>2</v>
      </c>
      <c r="M240" s="1">
        <f>澳门换算01!M239+澳门新定位结果!$P239</f>
        <v>1</v>
      </c>
      <c r="N240">
        <f>澳门换算01!N239+澳门新定位结果!$P239</f>
        <v>1</v>
      </c>
      <c r="O240">
        <f>澳门换算01!O239+澳门新定位结果!$P239</f>
        <v>2</v>
      </c>
    </row>
    <row r="241" spans="1:15">
      <c r="A241" s="4" t="s">
        <v>499</v>
      </c>
      <c r="B241">
        <f>澳门换算01!B240+澳门新定位结果!$P240</f>
        <v>1</v>
      </c>
      <c r="C241">
        <f>澳门换算01!C240+澳门新定位结果!$P240</f>
        <v>0</v>
      </c>
      <c r="D241" s="1">
        <f>澳门换算01!D240+澳门新定位结果!$P240</f>
        <v>0</v>
      </c>
      <c r="E241">
        <f>澳门换算01!E240+澳门新定位结果!$P240</f>
        <v>1</v>
      </c>
      <c r="F241">
        <f>澳门换算01!F240+澳门新定位结果!$P240</f>
        <v>1</v>
      </c>
      <c r="G241">
        <f>澳门换算01!G240+澳门新定位结果!$P240</f>
        <v>1</v>
      </c>
      <c r="H241">
        <f>澳门换算01!H240+澳门新定位结果!$P240</f>
        <v>0</v>
      </c>
      <c r="I241">
        <f>澳门换算01!I240+澳门新定位结果!$P240</f>
        <v>1</v>
      </c>
      <c r="J241" s="1">
        <f>澳门换算01!J240+澳门新定位结果!$P240</f>
        <v>1</v>
      </c>
      <c r="K241">
        <f>澳门换算01!K240+澳门新定位结果!$P240</f>
        <v>0</v>
      </c>
      <c r="L241">
        <f>澳门换算01!L240+澳门新定位结果!$P240</f>
        <v>0</v>
      </c>
      <c r="M241" s="1">
        <f>澳门换算01!M240+澳门新定位结果!$P240</f>
        <v>1</v>
      </c>
      <c r="N241">
        <f>澳门换算01!N240+澳门新定位结果!$P240</f>
        <v>1</v>
      </c>
      <c r="O241">
        <f>澳门换算01!O240+澳门新定位结果!$P240</f>
        <v>1</v>
      </c>
    </row>
    <row r="242" spans="1:15">
      <c r="A242" s="4" t="s">
        <v>501</v>
      </c>
      <c r="B242">
        <f>澳门换算01!B241+澳门新定位结果!$P241</f>
        <v>1</v>
      </c>
      <c r="C242">
        <f>澳门换算01!C241+澳门新定位结果!$P241</f>
        <v>1</v>
      </c>
      <c r="D242" s="1">
        <f>澳门换算01!D241+澳门新定位结果!$P241</f>
        <v>2</v>
      </c>
      <c r="E242">
        <f>澳门换算01!E241+澳门新定位结果!$P241</f>
        <v>2</v>
      </c>
      <c r="F242">
        <f>澳门换算01!F241+澳门新定位结果!$P241</f>
        <v>1</v>
      </c>
      <c r="G242">
        <f>澳门换算01!G241+澳门新定位结果!$P241</f>
        <v>1</v>
      </c>
      <c r="H242">
        <f>澳门换算01!H241+澳门新定位结果!$P241</f>
        <v>1</v>
      </c>
      <c r="I242">
        <f>澳门换算01!I241+澳门新定位结果!$P241</f>
        <v>1</v>
      </c>
      <c r="J242" s="1">
        <f>澳门换算01!J241+澳门新定位结果!$P241</f>
        <v>1</v>
      </c>
      <c r="K242">
        <f>澳门换算01!K241+澳门新定位结果!$P241</f>
        <v>1</v>
      </c>
      <c r="L242">
        <f>澳门换算01!L241+澳门新定位结果!$P241</f>
        <v>1</v>
      </c>
      <c r="M242" s="1">
        <f>澳门换算01!M241+澳门新定位结果!$P241</f>
        <v>1</v>
      </c>
      <c r="N242">
        <f>澳门换算01!N241+澳门新定位结果!$P241</f>
        <v>1</v>
      </c>
      <c r="O242">
        <f>澳门换算01!O241+澳门新定位结果!$P241</f>
        <v>1</v>
      </c>
    </row>
    <row r="243" spans="1:15">
      <c r="A243" s="4" t="s">
        <v>503</v>
      </c>
      <c r="B243">
        <f>澳门换算01!B242+澳门新定位结果!$P242</f>
        <v>1</v>
      </c>
      <c r="C243">
        <f>澳门换算01!C242+澳门新定位结果!$P242</f>
        <v>2</v>
      </c>
      <c r="D243" s="1">
        <f>澳门换算01!D242+澳门新定位结果!$P242</f>
        <v>1</v>
      </c>
      <c r="E243">
        <f>澳门换算01!E242+澳门新定位结果!$P242</f>
        <v>1</v>
      </c>
      <c r="F243">
        <f>澳门换算01!F242+澳门新定位结果!$P242</f>
        <v>1</v>
      </c>
      <c r="G243">
        <f>澳门换算01!G242+澳门新定位结果!$P242</f>
        <v>1</v>
      </c>
      <c r="H243">
        <f>澳门换算01!H242+澳门新定位结果!$P242</f>
        <v>1</v>
      </c>
      <c r="I243">
        <f>澳门换算01!I242+澳门新定位结果!$P242</f>
        <v>2</v>
      </c>
      <c r="J243" s="1">
        <f>澳门换算01!J242+澳门新定位结果!$P242</f>
        <v>1</v>
      </c>
      <c r="K243">
        <f>澳门换算01!K242+澳门新定位结果!$P242</f>
        <v>1</v>
      </c>
      <c r="L243">
        <f>澳门换算01!L242+澳门新定位结果!$P242</f>
        <v>2</v>
      </c>
      <c r="M243" s="1">
        <f>澳门换算01!M242+澳门新定位结果!$P242</f>
        <v>1</v>
      </c>
      <c r="N243">
        <f>澳门换算01!N242+澳门新定位结果!$P242</f>
        <v>1</v>
      </c>
      <c r="O243">
        <f>澳门换算01!O242+澳门新定位结果!$P242</f>
        <v>1</v>
      </c>
    </row>
    <row r="244" spans="1:15">
      <c r="A244" s="4" t="s">
        <v>505</v>
      </c>
      <c r="B244">
        <f>澳门换算01!B243+澳门新定位结果!$P243</f>
        <v>2</v>
      </c>
      <c r="C244">
        <f>澳门换算01!C243+澳门新定位结果!$P243</f>
        <v>1</v>
      </c>
      <c r="D244" s="1">
        <f>澳门换算01!D243+澳门新定位结果!$P243</f>
        <v>2</v>
      </c>
      <c r="E244">
        <f>澳门换算01!E243+澳门新定位结果!$P243</f>
        <v>2</v>
      </c>
      <c r="F244">
        <f>澳门换算01!F243+澳门新定位结果!$P243</f>
        <v>2</v>
      </c>
      <c r="G244">
        <f>澳门换算01!G243+澳门新定位结果!$P243</f>
        <v>1</v>
      </c>
      <c r="H244">
        <f>澳门换算01!H243+澳门新定位结果!$P243</f>
        <v>1</v>
      </c>
      <c r="I244">
        <f>澳门换算01!I243+澳门新定位结果!$P243</f>
        <v>2</v>
      </c>
      <c r="J244" s="1">
        <f>澳门换算01!J243+澳门新定位结果!$P243</f>
        <v>1</v>
      </c>
      <c r="K244">
        <f>澳门换算01!K243+澳门新定位结果!$P243</f>
        <v>2</v>
      </c>
      <c r="L244">
        <f>澳门换算01!L243+澳门新定位结果!$P243</f>
        <v>2</v>
      </c>
      <c r="M244" s="1">
        <f>澳门换算01!M243+澳门新定位结果!$P243</f>
        <v>2</v>
      </c>
      <c r="N244">
        <f>澳门换算01!N243+澳门新定位结果!$P243</f>
        <v>2</v>
      </c>
      <c r="O244">
        <f>澳门换算01!O243+澳门新定位结果!$P243</f>
        <v>2</v>
      </c>
    </row>
    <row r="245" spans="1:15">
      <c r="A245" s="4" t="s">
        <v>507</v>
      </c>
      <c r="B245">
        <f>澳门换算01!B244+澳门新定位结果!$P244</f>
        <v>2</v>
      </c>
      <c r="C245">
        <f>澳门换算01!C244+澳门新定位结果!$P244</f>
        <v>1</v>
      </c>
      <c r="D245" s="1">
        <f>澳门换算01!D244+澳门新定位结果!$P244</f>
        <v>2</v>
      </c>
      <c r="E245">
        <f>澳门换算01!E244+澳门新定位结果!$P244</f>
        <v>2</v>
      </c>
      <c r="F245">
        <f>澳门换算01!F244+澳门新定位结果!$P244</f>
        <v>1</v>
      </c>
      <c r="G245">
        <f>澳门换算01!G244+澳门新定位结果!$P244</f>
        <v>1</v>
      </c>
      <c r="H245">
        <f>澳门换算01!H244+澳门新定位结果!$P244</f>
        <v>1</v>
      </c>
      <c r="I245">
        <f>澳门换算01!I244+澳门新定位结果!$P244</f>
        <v>2</v>
      </c>
      <c r="J245" s="1">
        <f>澳门换算01!J244+澳门新定位结果!$P244</f>
        <v>1</v>
      </c>
      <c r="K245">
        <f>澳门换算01!K244+澳门新定位结果!$P244</f>
        <v>2</v>
      </c>
      <c r="L245">
        <f>澳门换算01!L244+澳门新定位结果!$P244</f>
        <v>2</v>
      </c>
      <c r="M245" s="1">
        <f>澳门换算01!M244+澳门新定位结果!$P244</f>
        <v>2</v>
      </c>
      <c r="N245">
        <f>澳门换算01!N244+澳门新定位结果!$P244</f>
        <v>1</v>
      </c>
      <c r="O245">
        <f>澳门换算01!O244+澳门新定位结果!$P244</f>
        <v>2</v>
      </c>
    </row>
    <row r="246" spans="1:15">
      <c r="A246" s="4" t="s">
        <v>509</v>
      </c>
      <c r="B246">
        <f>澳门换算01!B245+澳门新定位结果!$P245</f>
        <v>1</v>
      </c>
      <c r="C246">
        <f>澳门换算01!C245+澳门新定位结果!$P245</f>
        <v>1</v>
      </c>
      <c r="D246" s="1">
        <f>澳门换算01!D245+澳门新定位结果!$P245</f>
        <v>0</v>
      </c>
      <c r="E246">
        <f>澳门换算01!E245+澳门新定位结果!$P245</f>
        <v>0</v>
      </c>
      <c r="F246">
        <f>澳门换算01!F245+澳门新定位结果!$P245</f>
        <v>1</v>
      </c>
      <c r="G246">
        <f>澳门换算01!G245+澳门新定位结果!$P245</f>
        <v>1</v>
      </c>
      <c r="H246">
        <f>澳门换算01!H245+澳门新定位结果!$P245</f>
        <v>0</v>
      </c>
      <c r="I246">
        <f>澳门换算01!I245+澳门新定位结果!$P245</f>
        <v>1</v>
      </c>
      <c r="J246" s="1">
        <f>澳门换算01!J245+澳门新定位结果!$P245</f>
        <v>1</v>
      </c>
      <c r="K246">
        <f>澳门换算01!K245+澳门新定位结果!$P245</f>
        <v>0</v>
      </c>
      <c r="L246">
        <f>澳门换算01!L245+澳门新定位结果!$P245</f>
        <v>1</v>
      </c>
      <c r="M246" s="1">
        <f>澳门换算01!M245+澳门新定位结果!$P245</f>
        <v>1</v>
      </c>
      <c r="N246">
        <f>澳门换算01!N245+澳门新定位结果!$P245</f>
        <v>1</v>
      </c>
      <c r="O246">
        <f>澳门换算01!O245+澳门新定位结果!$P245</f>
        <v>1</v>
      </c>
    </row>
    <row r="247" spans="1:15">
      <c r="A247" s="4" t="s">
        <v>511</v>
      </c>
      <c r="B247">
        <f>澳门换算01!B246+澳门新定位结果!$P246</f>
        <v>2</v>
      </c>
      <c r="C247">
        <f>澳门换算01!C246+澳门新定位结果!$P246</f>
        <v>2</v>
      </c>
      <c r="D247" s="1">
        <f>澳门换算01!D246+澳门新定位结果!$P246</f>
        <v>2</v>
      </c>
      <c r="E247">
        <f>澳门换算01!E246+澳门新定位结果!$P246</f>
        <v>2</v>
      </c>
      <c r="F247">
        <f>澳门换算01!F246+澳门新定位结果!$P246</f>
        <v>1</v>
      </c>
      <c r="G247">
        <f>澳门换算01!G246+澳门新定位结果!$P246</f>
        <v>2</v>
      </c>
      <c r="H247">
        <f>澳门换算01!H246+澳门新定位结果!$P246</f>
        <v>2</v>
      </c>
      <c r="I247">
        <f>澳门换算01!I246+澳门新定位结果!$P246</f>
        <v>1</v>
      </c>
      <c r="J247" s="1">
        <f>澳门换算01!J246+澳门新定位结果!$P246</f>
        <v>2</v>
      </c>
      <c r="K247">
        <f>澳门换算01!K246+澳门新定位结果!$P246</f>
        <v>1</v>
      </c>
      <c r="L247">
        <f>澳门换算01!L246+澳门新定位结果!$P246</f>
        <v>2</v>
      </c>
      <c r="M247" s="1">
        <f>澳门换算01!M246+澳门新定位结果!$P246</f>
        <v>2</v>
      </c>
      <c r="N247">
        <f>澳门换算01!N246+澳门新定位结果!$P246</f>
        <v>2</v>
      </c>
      <c r="O247">
        <f>澳门换算01!O246+澳门新定位结果!$P246</f>
        <v>2</v>
      </c>
    </row>
    <row r="248" spans="1:15">
      <c r="A248" s="4" t="s">
        <v>513</v>
      </c>
      <c r="B248">
        <f>澳门换算01!B247+澳门新定位结果!$P247</f>
        <v>1</v>
      </c>
      <c r="C248">
        <f>澳门换算01!C247+澳门新定位结果!$P247</f>
        <v>1</v>
      </c>
      <c r="D248" s="1">
        <f>澳门换算01!D247+澳门新定位结果!$P247</f>
        <v>1</v>
      </c>
      <c r="E248">
        <f>澳门换算01!E247+澳门新定位结果!$P247</f>
        <v>2</v>
      </c>
      <c r="F248">
        <f>澳门换算01!F247+澳门新定位结果!$P247</f>
        <v>1</v>
      </c>
      <c r="G248">
        <f>澳门换算01!G247+澳门新定位结果!$P247</f>
        <v>2</v>
      </c>
      <c r="H248">
        <f>澳门换算01!H247+澳门新定位结果!$P247</f>
        <v>1</v>
      </c>
      <c r="I248">
        <f>澳门换算01!I247+澳门新定位结果!$P247</f>
        <v>2</v>
      </c>
      <c r="J248" s="1">
        <f>澳门换算01!J247+澳门新定位结果!$P247</f>
        <v>1</v>
      </c>
      <c r="K248">
        <f>澳门换算01!K247+澳门新定位结果!$P247</f>
        <v>1</v>
      </c>
      <c r="L248">
        <f>澳门换算01!L247+澳门新定位结果!$P247</f>
        <v>1</v>
      </c>
      <c r="M248" s="1">
        <f>澳门换算01!M247+澳门新定位结果!$P247</f>
        <v>1</v>
      </c>
      <c r="N248">
        <f>澳门换算01!N247+澳门新定位结果!$P247</f>
        <v>1</v>
      </c>
      <c r="O248">
        <f>澳门换算01!O247+澳门新定位结果!$P247</f>
        <v>1</v>
      </c>
    </row>
    <row r="249" spans="1:15">
      <c r="A249" s="4" t="s">
        <v>515</v>
      </c>
      <c r="B249">
        <f>澳门换算01!B248+澳门新定位结果!$P248</f>
        <v>0</v>
      </c>
      <c r="C249">
        <f>澳门换算01!C248+澳门新定位结果!$P248</f>
        <v>1</v>
      </c>
      <c r="D249" s="1">
        <f>澳门换算01!D248+澳门新定位结果!$P248</f>
        <v>1</v>
      </c>
      <c r="E249">
        <f>澳门换算01!E248+澳门新定位结果!$P248</f>
        <v>0</v>
      </c>
      <c r="F249">
        <f>澳门换算01!F248+澳门新定位结果!$P248</f>
        <v>1</v>
      </c>
      <c r="G249">
        <f>澳门换算01!G248+澳门新定位结果!$P248</f>
        <v>0</v>
      </c>
      <c r="H249">
        <f>澳门换算01!H248+澳门新定位结果!$P248</f>
        <v>0</v>
      </c>
      <c r="I249">
        <f>澳门换算01!I248+澳门新定位结果!$P248</f>
        <v>1</v>
      </c>
      <c r="J249" s="1">
        <f>澳门换算01!J248+澳门新定位结果!$P248</f>
        <v>1</v>
      </c>
      <c r="K249">
        <f>澳门换算01!K248+澳门新定位结果!$P248</f>
        <v>0</v>
      </c>
      <c r="L249">
        <f>澳门换算01!L248+澳门新定位结果!$P248</f>
        <v>0</v>
      </c>
      <c r="M249" s="1">
        <f>澳门换算01!M248+澳门新定位结果!$P248</f>
        <v>1</v>
      </c>
      <c r="N249">
        <f>澳门换算01!N248+澳门新定位结果!$P248</f>
        <v>0</v>
      </c>
      <c r="O249">
        <f>澳门换算01!O248+澳门新定位结果!$P248</f>
        <v>0</v>
      </c>
    </row>
    <row r="250" spans="1:15">
      <c r="A250" s="4" t="s">
        <v>517</v>
      </c>
      <c r="B250">
        <f>澳门换算01!B249+澳门新定位结果!$P249</f>
        <v>0</v>
      </c>
      <c r="C250">
        <f>澳门换算01!C249+澳门新定位结果!$P249</f>
        <v>0</v>
      </c>
      <c r="D250" s="1">
        <f>澳门换算01!D249+澳门新定位结果!$P249</f>
        <v>0</v>
      </c>
      <c r="E250">
        <f>澳门换算01!E249+澳门新定位结果!$P249</f>
        <v>1</v>
      </c>
      <c r="F250">
        <f>澳门换算01!F249+澳门新定位结果!$P249</f>
        <v>0</v>
      </c>
      <c r="G250">
        <f>澳门换算01!G249+澳门新定位结果!$P249</f>
        <v>1</v>
      </c>
      <c r="H250">
        <f>澳门换算01!H249+澳门新定位结果!$P249</f>
        <v>0</v>
      </c>
      <c r="I250">
        <f>澳门换算01!I249+澳门新定位结果!$P249</f>
        <v>0</v>
      </c>
      <c r="J250" s="1">
        <f>澳门换算01!J249+澳门新定位结果!$P249</f>
        <v>0</v>
      </c>
      <c r="K250">
        <f>澳门换算01!K249+澳门新定位结果!$P249</f>
        <v>0</v>
      </c>
      <c r="L250">
        <f>澳门换算01!L249+澳门新定位结果!$P249</f>
        <v>0</v>
      </c>
      <c r="M250" s="1">
        <f>澳门换算01!M249+澳门新定位结果!$P249</f>
        <v>0</v>
      </c>
      <c r="N250">
        <f>澳门换算01!N249+澳门新定位结果!$P249</f>
        <v>0</v>
      </c>
      <c r="O250">
        <f>澳门换算01!O249+澳门新定位结果!$P249</f>
        <v>0</v>
      </c>
    </row>
    <row r="251" spans="1:15">
      <c r="A251" s="4" t="s">
        <v>519</v>
      </c>
      <c r="B251">
        <f>澳门换算01!B250+澳门新定位结果!$P250</f>
        <v>0</v>
      </c>
      <c r="C251">
        <f>澳门换算01!C250+澳门新定位结果!$P250</f>
        <v>1</v>
      </c>
      <c r="D251" s="1">
        <f>澳门换算01!D250+澳门新定位结果!$P250</f>
        <v>1</v>
      </c>
      <c r="E251">
        <f>澳门换算01!E250+澳门新定位结果!$P250</f>
        <v>0</v>
      </c>
      <c r="F251">
        <f>澳门换算01!F250+澳门新定位结果!$P250</f>
        <v>0</v>
      </c>
      <c r="G251">
        <f>澳门换算01!G250+澳门新定位结果!$P250</f>
        <v>0</v>
      </c>
      <c r="H251">
        <f>澳门换算01!H250+澳门新定位结果!$P250</f>
        <v>0</v>
      </c>
      <c r="I251">
        <f>澳门换算01!I250+澳门新定位结果!$P250</f>
        <v>0</v>
      </c>
      <c r="J251" s="1">
        <f>澳门换算01!J250+澳门新定位结果!$P250</f>
        <v>0</v>
      </c>
      <c r="K251">
        <f>澳门换算01!K250+澳门新定位结果!$P250</f>
        <v>1</v>
      </c>
      <c r="L251">
        <f>澳门换算01!L250+澳门新定位结果!$P250</f>
        <v>1</v>
      </c>
      <c r="M251" s="1">
        <f>澳门换算01!M250+澳门新定位结果!$P250</f>
        <v>0</v>
      </c>
      <c r="N251">
        <f>澳门换算01!N250+澳门新定位结果!$P250</f>
        <v>0</v>
      </c>
      <c r="O251">
        <f>澳门换算01!O250+澳门新定位结果!$P250</f>
        <v>1</v>
      </c>
    </row>
    <row r="252" spans="1:15">
      <c r="A252" s="4" t="s">
        <v>521</v>
      </c>
      <c r="B252">
        <f>澳门换算01!B251+澳门新定位结果!$P251</f>
        <v>1</v>
      </c>
      <c r="C252">
        <f>澳门换算01!C251+澳门新定位结果!$P251</f>
        <v>1</v>
      </c>
      <c r="D252" s="1">
        <f>澳门换算01!D251+澳门新定位结果!$P251</f>
        <v>0</v>
      </c>
      <c r="E252">
        <f>澳门换算01!E251+澳门新定位结果!$P251</f>
        <v>0</v>
      </c>
      <c r="F252">
        <f>澳门换算01!F251+澳门新定位结果!$P251</f>
        <v>0</v>
      </c>
      <c r="G252">
        <f>澳门换算01!G251+澳门新定位结果!$P251</f>
        <v>0</v>
      </c>
      <c r="H252">
        <f>澳门换算01!H251+澳门新定位结果!$P251</f>
        <v>1</v>
      </c>
      <c r="I252">
        <f>澳门换算01!I251+澳门新定位结果!$P251</f>
        <v>1</v>
      </c>
      <c r="J252" s="1">
        <f>澳门换算01!J251+澳门新定位结果!$P251</f>
        <v>1</v>
      </c>
      <c r="K252">
        <f>澳门换算01!K251+澳门新定位结果!$P251</f>
        <v>1</v>
      </c>
      <c r="L252">
        <f>澳门换算01!L251+澳门新定位结果!$P251</f>
        <v>1</v>
      </c>
      <c r="M252" s="1">
        <f>澳门换算01!M251+澳门新定位结果!$P251</f>
        <v>1</v>
      </c>
      <c r="N252">
        <f>澳门换算01!N251+澳门新定位结果!$P251</f>
        <v>1</v>
      </c>
      <c r="O252">
        <f>澳门换算01!O251+澳门新定位结果!$P251</f>
        <v>0</v>
      </c>
    </row>
    <row r="253" spans="1:15">
      <c r="A253" s="4" t="s">
        <v>523</v>
      </c>
      <c r="B253">
        <f>澳门换算01!B252+澳门新定位结果!$P252</f>
        <v>1</v>
      </c>
      <c r="C253">
        <f>澳门换算01!C252+澳门新定位结果!$P252</f>
        <v>1</v>
      </c>
      <c r="D253" s="1">
        <f>澳门换算01!D252+澳门新定位结果!$P252</f>
        <v>1</v>
      </c>
      <c r="E253">
        <f>澳门换算01!E252+澳门新定位结果!$P252</f>
        <v>2</v>
      </c>
      <c r="F253">
        <f>澳门换算01!F252+澳门新定位结果!$P252</f>
        <v>2</v>
      </c>
      <c r="G253">
        <f>澳门换算01!G252+澳门新定位结果!$P252</f>
        <v>1</v>
      </c>
      <c r="H253">
        <f>澳门换算01!H252+澳门新定位结果!$P252</f>
        <v>1</v>
      </c>
      <c r="I253">
        <f>澳门换算01!I252+澳门新定位结果!$P252</f>
        <v>1</v>
      </c>
      <c r="J253" s="1">
        <f>澳门换算01!J252+澳门新定位结果!$P252</f>
        <v>2</v>
      </c>
      <c r="K253">
        <f>澳门换算01!K252+澳门新定位结果!$P252</f>
        <v>1</v>
      </c>
      <c r="L253">
        <f>澳门换算01!L252+澳门新定位结果!$P252</f>
        <v>2</v>
      </c>
      <c r="M253" s="1">
        <f>澳门换算01!M252+澳门新定位结果!$P252</f>
        <v>1</v>
      </c>
      <c r="N253">
        <f>澳门换算01!N252+澳门新定位结果!$P252</f>
        <v>1</v>
      </c>
      <c r="O253">
        <f>澳门换算01!O252+澳门新定位结果!$P252</f>
        <v>2</v>
      </c>
    </row>
    <row r="254" spans="1:15">
      <c r="A254" s="4" t="s">
        <v>525</v>
      </c>
      <c r="B254">
        <f>澳门换算01!B253+澳门新定位结果!$P253</f>
        <v>1</v>
      </c>
      <c r="C254">
        <f>澳门换算01!C253+澳门新定位结果!$P253</f>
        <v>0</v>
      </c>
      <c r="D254" s="1">
        <f>澳门换算01!D253+澳门新定位结果!$P253</f>
        <v>0</v>
      </c>
      <c r="E254">
        <f>澳门换算01!E253+澳门新定位结果!$P253</f>
        <v>0</v>
      </c>
      <c r="F254">
        <f>澳门换算01!F253+澳门新定位结果!$P253</f>
        <v>0</v>
      </c>
      <c r="G254">
        <f>澳门换算01!G253+澳门新定位结果!$P253</f>
        <v>0</v>
      </c>
      <c r="H254">
        <f>澳门换算01!H253+澳门新定位结果!$P253</f>
        <v>0</v>
      </c>
      <c r="I254">
        <f>澳门换算01!I253+澳门新定位结果!$P253</f>
        <v>0</v>
      </c>
      <c r="J254" s="1">
        <f>澳门换算01!J253+澳门新定位结果!$P253</f>
        <v>1</v>
      </c>
      <c r="K254">
        <f>澳门换算01!K253+澳门新定位结果!$P253</f>
        <v>0</v>
      </c>
      <c r="L254">
        <f>澳门换算01!L253+澳门新定位结果!$P253</f>
        <v>0</v>
      </c>
      <c r="M254" s="1">
        <f>澳门换算01!M253+澳门新定位结果!$P253</f>
        <v>0</v>
      </c>
      <c r="N254">
        <f>澳门换算01!N253+澳门新定位结果!$P253</f>
        <v>0</v>
      </c>
      <c r="O254">
        <f>澳门换算01!O253+澳门新定位结果!$P253</f>
        <v>0</v>
      </c>
    </row>
    <row r="255" spans="1:15">
      <c r="A255" s="4" t="s">
        <v>527</v>
      </c>
      <c r="B255">
        <f>澳门换算01!B254+澳门新定位结果!$P254</f>
        <v>0</v>
      </c>
      <c r="C255">
        <f>澳门换算01!C254+澳门新定位结果!$P254</f>
        <v>0</v>
      </c>
      <c r="D255" s="1">
        <f>澳门换算01!D254+澳门新定位结果!$P254</f>
        <v>1</v>
      </c>
      <c r="E255">
        <f>澳门换算01!E254+澳门新定位结果!$P254</f>
        <v>1</v>
      </c>
      <c r="F255">
        <f>澳门换算01!F254+澳门新定位结果!$P254</f>
        <v>0</v>
      </c>
      <c r="G255">
        <f>澳门换算01!G254+澳门新定位结果!$P254</f>
        <v>0</v>
      </c>
      <c r="H255">
        <f>澳门换算01!H254+澳门新定位结果!$P254</f>
        <v>0</v>
      </c>
      <c r="I255">
        <f>澳门换算01!I254+澳门新定位结果!$P254</f>
        <v>1</v>
      </c>
      <c r="J255" s="1">
        <f>澳门换算01!J254+澳门新定位结果!$P254</f>
        <v>0</v>
      </c>
      <c r="K255">
        <f>澳门换算01!K254+澳门新定位结果!$P254</f>
        <v>0</v>
      </c>
      <c r="L255">
        <f>澳门换算01!L254+澳门新定位结果!$P254</f>
        <v>0</v>
      </c>
      <c r="M255" s="1">
        <f>澳门换算01!M254+澳门新定位结果!$P254</f>
        <v>1</v>
      </c>
      <c r="N255">
        <f>澳门换算01!N254+澳门新定位结果!$P254</f>
        <v>0</v>
      </c>
      <c r="O255">
        <f>澳门换算01!O254+澳门新定位结果!$P254</f>
        <v>1</v>
      </c>
    </row>
    <row r="256" spans="1:15">
      <c r="A256" s="4" t="s">
        <v>529</v>
      </c>
      <c r="B256">
        <f>澳门换算01!B255+澳门新定位结果!$P255</f>
        <v>1</v>
      </c>
      <c r="C256">
        <f>澳门换算01!C255+澳门新定位结果!$P255</f>
        <v>2</v>
      </c>
      <c r="D256" s="1">
        <f>澳门换算01!D255+澳门新定位结果!$P255</f>
        <v>2</v>
      </c>
      <c r="E256">
        <f>澳门换算01!E255+澳门新定位结果!$P255</f>
        <v>1</v>
      </c>
      <c r="F256">
        <f>澳门换算01!F255+澳门新定位结果!$P255</f>
        <v>2</v>
      </c>
      <c r="G256">
        <f>澳门换算01!G255+澳门新定位结果!$P255</f>
        <v>1</v>
      </c>
      <c r="H256">
        <f>澳门换算01!H255+澳门新定位结果!$P255</f>
        <v>1</v>
      </c>
      <c r="I256">
        <f>澳门换算01!I255+澳门新定位结果!$P255</f>
        <v>1</v>
      </c>
      <c r="J256" s="1">
        <f>澳门换算01!J255+澳门新定位结果!$P255</f>
        <v>1</v>
      </c>
      <c r="K256">
        <f>澳门换算01!K255+澳门新定位结果!$P255</f>
        <v>1</v>
      </c>
      <c r="L256">
        <f>澳门换算01!L255+澳门新定位结果!$P255</f>
        <v>1</v>
      </c>
      <c r="M256" s="1">
        <f>澳门换算01!M255+澳门新定位结果!$P255</f>
        <v>2</v>
      </c>
      <c r="N256">
        <f>澳门换算01!N255+澳门新定位结果!$P255</f>
        <v>2</v>
      </c>
      <c r="O256">
        <f>澳门换算01!O255+澳门新定位结果!$P255</f>
        <v>2</v>
      </c>
    </row>
    <row r="257" spans="1:15">
      <c r="A257" s="4" t="s">
        <v>531</v>
      </c>
      <c r="B257">
        <f>澳门换算01!B256+澳门新定位结果!$P256</f>
        <v>0</v>
      </c>
      <c r="C257">
        <f>澳门换算01!C256+澳门新定位结果!$P256</f>
        <v>0</v>
      </c>
      <c r="D257" s="1">
        <f>澳门换算01!D256+澳门新定位结果!$P256</f>
        <v>0</v>
      </c>
      <c r="E257">
        <f>澳门换算01!E256+澳门新定位结果!$P256</f>
        <v>0</v>
      </c>
      <c r="F257">
        <f>澳门换算01!F256+澳门新定位结果!$P256</f>
        <v>0</v>
      </c>
      <c r="G257">
        <f>澳门换算01!G256+澳门新定位结果!$P256</f>
        <v>0</v>
      </c>
      <c r="H257">
        <f>澳门换算01!H256+澳门新定位结果!$P256</f>
        <v>1</v>
      </c>
      <c r="I257">
        <f>澳门换算01!I256+澳门新定位结果!$P256</f>
        <v>1</v>
      </c>
      <c r="J257" s="1">
        <f>澳门换算01!J256+澳门新定位结果!$P256</f>
        <v>0</v>
      </c>
      <c r="K257">
        <f>澳门换算01!K256+澳门新定位结果!$P256</f>
        <v>0</v>
      </c>
      <c r="L257">
        <f>澳门换算01!L256+澳门新定位结果!$P256</f>
        <v>0</v>
      </c>
      <c r="M257" s="1">
        <f>澳门换算01!M256+澳门新定位结果!$P256</f>
        <v>0</v>
      </c>
      <c r="N257">
        <f>澳门换算01!N256+澳门新定位结果!$P256</f>
        <v>0</v>
      </c>
      <c r="O257">
        <f>澳门换算01!O256+澳门新定位结果!$P256</f>
        <v>0</v>
      </c>
    </row>
    <row r="258" spans="1:15">
      <c r="A258" s="4" t="s">
        <v>533</v>
      </c>
      <c r="B258">
        <f>澳门换算01!B257+澳门新定位结果!$P257</f>
        <v>0</v>
      </c>
      <c r="C258">
        <f>澳门换算01!C257+澳门新定位结果!$P257</f>
        <v>0</v>
      </c>
      <c r="D258" s="1">
        <f>澳门换算01!D257+澳门新定位结果!$P257</f>
        <v>0</v>
      </c>
      <c r="E258">
        <f>澳门换算01!E257+澳门新定位结果!$P257</f>
        <v>1</v>
      </c>
      <c r="F258">
        <f>澳门换算01!F257+澳门新定位结果!$P257</f>
        <v>1</v>
      </c>
      <c r="G258">
        <f>澳门换算01!G257+澳门新定位结果!$P257</f>
        <v>1</v>
      </c>
      <c r="H258">
        <f>澳门换算01!H257+澳门新定位结果!$P257</f>
        <v>0</v>
      </c>
      <c r="I258">
        <f>澳门换算01!I257+澳门新定位结果!$P257</f>
        <v>0</v>
      </c>
      <c r="J258" s="1">
        <f>澳门换算01!J257+澳门新定位结果!$P257</f>
        <v>1</v>
      </c>
      <c r="K258">
        <f>澳门换算01!K257+澳门新定位结果!$P257</f>
        <v>0</v>
      </c>
      <c r="L258">
        <f>澳门换算01!L257+澳门新定位结果!$P257</f>
        <v>0</v>
      </c>
      <c r="M258" s="1">
        <f>澳门换算01!M257+澳门新定位结果!$P257</f>
        <v>0</v>
      </c>
      <c r="N258">
        <f>澳门换算01!N257+澳门新定位结果!$P257</f>
        <v>0</v>
      </c>
      <c r="O258">
        <f>澳门换算01!O257+澳门新定位结果!$P257</f>
        <v>0</v>
      </c>
    </row>
    <row r="259" spans="1:15">
      <c r="A259" s="4" t="s">
        <v>535</v>
      </c>
      <c r="B259">
        <f>澳门换算01!B258+澳门新定位结果!$P258</f>
        <v>1</v>
      </c>
      <c r="C259">
        <f>澳门换算01!C258+澳门新定位结果!$P258</f>
        <v>1</v>
      </c>
      <c r="D259" s="1">
        <f>澳门换算01!D258+澳门新定位结果!$P258</f>
        <v>1</v>
      </c>
      <c r="E259">
        <f>澳门换算01!E258+澳门新定位结果!$P258</f>
        <v>1</v>
      </c>
      <c r="F259">
        <f>澳门换算01!F258+澳门新定位结果!$P258</f>
        <v>0</v>
      </c>
      <c r="G259">
        <f>澳门换算01!G258+澳门新定位结果!$P258</f>
        <v>0</v>
      </c>
      <c r="H259">
        <f>澳门换算01!H258+澳门新定位结果!$P258</f>
        <v>0</v>
      </c>
      <c r="I259">
        <f>澳门换算01!I258+澳门新定位结果!$P258</f>
        <v>0</v>
      </c>
      <c r="J259" s="1">
        <f>澳门换算01!J258+澳门新定位结果!$P258</f>
        <v>0</v>
      </c>
      <c r="K259">
        <f>澳门换算01!K258+澳门新定位结果!$P258</f>
        <v>1</v>
      </c>
      <c r="L259">
        <f>澳门换算01!L258+澳门新定位结果!$P258</f>
        <v>0</v>
      </c>
      <c r="M259" s="1">
        <f>澳门换算01!M258+澳门新定位结果!$P258</f>
        <v>1</v>
      </c>
      <c r="N259">
        <f>澳门换算01!N258+澳门新定位结果!$P258</f>
        <v>1</v>
      </c>
      <c r="O259">
        <f>澳门换算01!O258+澳门新定位结果!$P258</f>
        <v>1</v>
      </c>
    </row>
    <row r="260" spans="1:15">
      <c r="A260" s="4" t="s">
        <v>537</v>
      </c>
      <c r="B260">
        <f>澳门换算01!B259+澳门新定位结果!$P259</f>
        <v>2</v>
      </c>
      <c r="C260">
        <f>澳门换算01!C259+澳门新定位结果!$P259</f>
        <v>2</v>
      </c>
      <c r="D260" s="1">
        <f>澳门换算01!D259+澳门新定位结果!$P259</f>
        <v>2</v>
      </c>
      <c r="E260">
        <f>澳门换算01!E259+澳门新定位结果!$P259</f>
        <v>1</v>
      </c>
      <c r="F260">
        <f>澳门换算01!F259+澳门新定位结果!$P259</f>
        <v>1</v>
      </c>
      <c r="G260">
        <f>澳门换算01!G259+澳门新定位结果!$P259</f>
        <v>2</v>
      </c>
      <c r="H260">
        <f>澳门换算01!H259+澳门新定位结果!$P259</f>
        <v>2</v>
      </c>
      <c r="I260">
        <f>澳门换算01!I259+澳门新定位结果!$P259</f>
        <v>1</v>
      </c>
      <c r="J260" s="1">
        <f>澳门换算01!J259+澳门新定位结果!$P259</f>
        <v>1</v>
      </c>
      <c r="K260">
        <f>澳门换算01!K259+澳门新定位结果!$P259</f>
        <v>2</v>
      </c>
      <c r="L260">
        <f>澳门换算01!L259+澳门新定位结果!$P259</f>
        <v>2</v>
      </c>
      <c r="M260" s="1">
        <f>澳门换算01!M259+澳门新定位结果!$P259</f>
        <v>1</v>
      </c>
      <c r="N260">
        <f>澳门换算01!N259+澳门新定位结果!$P259</f>
        <v>1</v>
      </c>
      <c r="O260">
        <f>澳门换算01!O259+澳门新定位结果!$P259</f>
        <v>1</v>
      </c>
    </row>
    <row r="261" spans="1:15">
      <c r="A261" s="4" t="s">
        <v>539</v>
      </c>
      <c r="B261">
        <f>澳门换算01!B260+澳门新定位结果!$P260</f>
        <v>2</v>
      </c>
      <c r="C261">
        <f>澳门换算01!C260+澳门新定位结果!$P260</f>
        <v>2</v>
      </c>
      <c r="D261" s="1">
        <f>澳门换算01!D260+澳门新定位结果!$P260</f>
        <v>1</v>
      </c>
      <c r="E261">
        <f>澳门换算01!E260+澳门新定位结果!$P260</f>
        <v>2</v>
      </c>
      <c r="F261">
        <f>澳门换算01!F260+澳门新定位结果!$P260</f>
        <v>2</v>
      </c>
      <c r="G261">
        <f>澳门换算01!G260+澳门新定位结果!$P260</f>
        <v>2</v>
      </c>
      <c r="H261">
        <f>澳门换算01!H260+澳门新定位结果!$P260</f>
        <v>1</v>
      </c>
      <c r="I261">
        <f>澳门换算01!I260+澳门新定位结果!$P260</f>
        <v>2</v>
      </c>
      <c r="J261" s="1">
        <f>澳门换算01!J260+澳门新定位结果!$P260</f>
        <v>2</v>
      </c>
      <c r="K261">
        <f>澳门换算01!K260+澳门新定位结果!$P260</f>
        <v>2</v>
      </c>
      <c r="L261">
        <f>澳门换算01!L260+澳门新定位结果!$P260</f>
        <v>2</v>
      </c>
      <c r="M261" s="1">
        <f>澳门换算01!M260+澳门新定位结果!$P260</f>
        <v>1</v>
      </c>
      <c r="N261">
        <f>澳门换算01!N260+澳门新定位结果!$P260</f>
        <v>1</v>
      </c>
      <c r="O261">
        <f>澳门换算01!O260+澳门新定位结果!$P260</f>
        <v>2</v>
      </c>
    </row>
    <row r="262" spans="1:15">
      <c r="A262" s="4" t="s">
        <v>541</v>
      </c>
      <c r="B262">
        <f>澳门换算01!B261+澳门新定位结果!$P261</f>
        <v>0</v>
      </c>
      <c r="C262">
        <f>澳门换算01!C261+澳门新定位结果!$P261</f>
        <v>0</v>
      </c>
      <c r="D262" s="1">
        <f>澳门换算01!D261+澳门新定位结果!$P261</f>
        <v>1</v>
      </c>
      <c r="E262">
        <f>澳门换算01!E261+澳门新定位结果!$P261</f>
        <v>1</v>
      </c>
      <c r="F262">
        <f>澳门换算01!F261+澳门新定位结果!$P261</f>
        <v>0</v>
      </c>
      <c r="G262">
        <f>澳门换算01!G261+澳门新定位结果!$P261</f>
        <v>0</v>
      </c>
      <c r="H262">
        <f>澳门换算01!H261+澳门新定位结果!$P261</f>
        <v>1</v>
      </c>
      <c r="I262">
        <f>澳门换算01!I261+澳门新定位结果!$P261</f>
        <v>0</v>
      </c>
      <c r="J262" s="1">
        <f>澳门换算01!J261+澳门新定位结果!$P261</f>
        <v>0</v>
      </c>
      <c r="K262">
        <f>澳门换算01!K261+澳门新定位结果!$P261</f>
        <v>1</v>
      </c>
      <c r="L262">
        <f>澳门换算01!L261+澳门新定位结果!$P261</f>
        <v>0</v>
      </c>
      <c r="M262" s="1">
        <f>澳门换算01!M261+澳门新定位结果!$P261</f>
        <v>0</v>
      </c>
      <c r="N262">
        <f>澳门换算01!N261+澳门新定位结果!$P261</f>
        <v>1</v>
      </c>
      <c r="O262">
        <f>澳门换算01!O261+澳门新定位结果!$P261</f>
        <v>0</v>
      </c>
    </row>
    <row r="263" spans="1:15">
      <c r="A263" s="4" t="s">
        <v>543</v>
      </c>
      <c r="B263">
        <f>澳门换算01!B262+澳门新定位结果!$P262</f>
        <v>1</v>
      </c>
      <c r="C263">
        <f>澳门换算01!C262+澳门新定位结果!$P262</f>
        <v>1</v>
      </c>
      <c r="D263" s="1">
        <f>澳门换算01!D262+澳门新定位结果!$P262</f>
        <v>0</v>
      </c>
      <c r="E263">
        <f>澳门换算01!E262+澳门新定位结果!$P262</f>
        <v>1</v>
      </c>
      <c r="F263">
        <f>澳门换算01!F262+澳门新定位结果!$P262</f>
        <v>1</v>
      </c>
      <c r="G263">
        <f>澳门换算01!G262+澳门新定位结果!$P262</f>
        <v>1</v>
      </c>
      <c r="H263">
        <f>澳门换算01!H262+澳门新定位结果!$P262</f>
        <v>0</v>
      </c>
      <c r="I263">
        <f>澳门换算01!I262+澳门新定位结果!$P262</f>
        <v>1</v>
      </c>
      <c r="J263" s="1">
        <f>澳门换算01!J262+澳门新定位结果!$P262</f>
        <v>0</v>
      </c>
      <c r="K263">
        <f>澳门换算01!K262+澳门新定位结果!$P262</f>
        <v>0</v>
      </c>
      <c r="L263">
        <f>澳门换算01!L262+澳门新定位结果!$P262</f>
        <v>1</v>
      </c>
      <c r="M263" s="1">
        <f>澳门换算01!M262+澳门新定位结果!$P262</f>
        <v>0</v>
      </c>
      <c r="N263">
        <f>澳门换算01!N262+澳门新定位结果!$P262</f>
        <v>0</v>
      </c>
      <c r="O263">
        <f>澳门换算01!O262+澳门新定位结果!$P262</f>
        <v>0</v>
      </c>
    </row>
    <row r="264" spans="1:15">
      <c r="A264" s="4" t="s">
        <v>545</v>
      </c>
      <c r="B264">
        <f>澳门换算01!B263+澳门新定位结果!$P263</f>
        <v>2</v>
      </c>
      <c r="C264">
        <f>澳门换算01!C263+澳门新定位结果!$P263</f>
        <v>2</v>
      </c>
      <c r="D264" s="1">
        <f>澳门换算01!D263+澳门新定位结果!$P263</f>
        <v>1</v>
      </c>
      <c r="E264">
        <f>澳门换算01!E263+澳门新定位结果!$P263</f>
        <v>1</v>
      </c>
      <c r="F264">
        <f>澳门换算01!F263+澳门新定位结果!$P263</f>
        <v>1</v>
      </c>
      <c r="G264">
        <f>澳门换算01!G263+澳门新定位结果!$P263</f>
        <v>1</v>
      </c>
      <c r="H264">
        <f>澳门换算01!H263+澳门新定位结果!$P263</f>
        <v>2</v>
      </c>
      <c r="I264">
        <f>澳门换算01!I263+澳门新定位结果!$P263</f>
        <v>1</v>
      </c>
      <c r="J264" s="1">
        <f>澳门换算01!J263+澳门新定位结果!$P263</f>
        <v>1</v>
      </c>
      <c r="K264">
        <f>澳门换算01!K263+澳门新定位结果!$P263</f>
        <v>1</v>
      </c>
      <c r="L264">
        <f>澳门换算01!L263+澳门新定位结果!$P263</f>
        <v>1</v>
      </c>
      <c r="M264" s="1">
        <f>澳门换算01!M263+澳门新定位结果!$P263</f>
        <v>2</v>
      </c>
      <c r="N264">
        <f>澳门换算01!N263+澳门新定位结果!$P263</f>
        <v>2</v>
      </c>
      <c r="O264">
        <f>澳门换算01!O263+澳门新定位结果!$P263</f>
        <v>1</v>
      </c>
    </row>
    <row r="265" spans="1:15">
      <c r="A265" s="4" t="s">
        <v>547</v>
      </c>
      <c r="B265">
        <f>澳门换算01!B264+澳门新定位结果!$P264</f>
        <v>1</v>
      </c>
      <c r="C265">
        <f>澳门换算01!C264+澳门新定位结果!$P264</f>
        <v>1</v>
      </c>
      <c r="D265" s="1">
        <f>澳门换算01!D264+澳门新定位结果!$P264</f>
        <v>0</v>
      </c>
      <c r="E265">
        <f>澳门换算01!E264+澳门新定位结果!$P264</f>
        <v>1</v>
      </c>
      <c r="F265">
        <f>澳门换算01!F264+澳门新定位结果!$P264</f>
        <v>0</v>
      </c>
      <c r="G265">
        <f>澳门换算01!G264+澳门新定位结果!$P264</f>
        <v>1</v>
      </c>
      <c r="H265">
        <f>澳门换算01!H264+澳门新定位结果!$P264</f>
        <v>1</v>
      </c>
      <c r="I265">
        <f>澳门换算01!I264+澳门新定位结果!$P264</f>
        <v>1</v>
      </c>
      <c r="J265" s="1">
        <f>澳门换算01!J264+澳门新定位结果!$P264</f>
        <v>0</v>
      </c>
      <c r="K265">
        <f>澳门换算01!K264+澳门新定位结果!$P264</f>
        <v>0</v>
      </c>
      <c r="L265">
        <f>澳门换算01!L264+澳门新定位结果!$P264</f>
        <v>1</v>
      </c>
      <c r="M265" s="1">
        <f>澳门换算01!M264+澳门新定位结果!$P264</f>
        <v>0</v>
      </c>
      <c r="N265">
        <f>澳门换算01!N264+澳门新定位结果!$P264</f>
        <v>0</v>
      </c>
      <c r="O265">
        <f>澳门换算01!O264+澳门新定位结果!$P264</f>
        <v>0</v>
      </c>
    </row>
    <row r="266" spans="1:15">
      <c r="A266" s="4" t="s">
        <v>549</v>
      </c>
      <c r="B266">
        <f>澳门换算01!B265+澳门新定位结果!$P265</f>
        <v>0</v>
      </c>
      <c r="C266">
        <f>澳门换算01!C265+澳门新定位结果!$P265</f>
        <v>0</v>
      </c>
      <c r="D266" s="1">
        <f>澳门换算01!D265+澳门新定位结果!$P265</f>
        <v>0</v>
      </c>
      <c r="E266">
        <f>澳门换算01!E265+澳门新定位结果!$P265</f>
        <v>0</v>
      </c>
      <c r="F266">
        <f>澳门换算01!F265+澳门新定位结果!$P265</f>
        <v>0</v>
      </c>
      <c r="G266">
        <f>澳门换算01!G265+澳门新定位结果!$P265</f>
        <v>0</v>
      </c>
      <c r="H266">
        <f>澳门换算01!H265+澳门新定位结果!$P265</f>
        <v>0</v>
      </c>
      <c r="I266">
        <f>澳门换算01!I265+澳门新定位结果!$P265</f>
        <v>0</v>
      </c>
      <c r="J266" s="1">
        <f>澳门换算01!J265+澳门新定位结果!$P265</f>
        <v>0</v>
      </c>
      <c r="K266">
        <f>澳门换算01!K265+澳门新定位结果!$P265</f>
        <v>1</v>
      </c>
      <c r="L266">
        <f>澳门换算01!L265+澳门新定位结果!$P265</f>
        <v>0</v>
      </c>
      <c r="M266" s="1">
        <f>澳门换算01!M265+澳门新定位结果!$P265</f>
        <v>1</v>
      </c>
      <c r="N266">
        <f>澳门换算01!N265+澳门新定位结果!$P265</f>
        <v>1</v>
      </c>
      <c r="O266">
        <f>澳门换算01!O265+澳门新定位结果!$P265</f>
        <v>1</v>
      </c>
    </row>
    <row r="267" spans="1:15">
      <c r="A267" s="4" t="s">
        <v>551</v>
      </c>
      <c r="B267">
        <f>澳门换算01!B266+澳门新定位结果!$P266</f>
        <v>1</v>
      </c>
      <c r="C267">
        <f>澳门换算01!C266+澳门新定位结果!$P266</f>
        <v>1</v>
      </c>
      <c r="D267" s="1">
        <f>澳门换算01!D266+澳门新定位结果!$P266</f>
        <v>0</v>
      </c>
      <c r="E267">
        <f>澳门换算01!E266+澳门新定位结果!$P266</f>
        <v>1</v>
      </c>
      <c r="F267">
        <f>澳门换算01!F266+澳门新定位结果!$P266</f>
        <v>0</v>
      </c>
      <c r="G267">
        <f>澳门换算01!G266+澳门新定位结果!$P266</f>
        <v>0</v>
      </c>
      <c r="H267">
        <f>澳门换算01!H266+澳门新定位结果!$P266</f>
        <v>1</v>
      </c>
      <c r="I267">
        <f>澳门换算01!I266+澳门新定位结果!$P266</f>
        <v>1</v>
      </c>
      <c r="J267" s="1">
        <f>澳门换算01!J266+澳门新定位结果!$P266</f>
        <v>0</v>
      </c>
      <c r="K267">
        <f>澳门换算01!K266+澳门新定位结果!$P266</f>
        <v>1</v>
      </c>
      <c r="L267">
        <f>澳门换算01!L266+澳门新定位结果!$P266</f>
        <v>1</v>
      </c>
      <c r="M267" s="1">
        <f>澳门换算01!M266+澳门新定位结果!$P266</f>
        <v>1</v>
      </c>
      <c r="N267">
        <f>澳门换算01!N266+澳门新定位结果!$P266</f>
        <v>1</v>
      </c>
      <c r="O267">
        <f>澳门换算01!O266+澳门新定位结果!$P266</f>
        <v>0</v>
      </c>
    </row>
    <row r="268" spans="1:15">
      <c r="A268" s="4" t="s">
        <v>553</v>
      </c>
      <c r="B268">
        <f>澳门换算01!B267+澳门新定位结果!$P267</f>
        <v>0</v>
      </c>
      <c r="C268">
        <f>澳门换算01!C267+澳门新定位结果!$P267</f>
        <v>0</v>
      </c>
      <c r="D268" s="1">
        <f>澳门换算01!D267+澳门新定位结果!$P267</f>
        <v>0</v>
      </c>
      <c r="E268">
        <f>澳门换算01!E267+澳门新定位结果!$P267</f>
        <v>1</v>
      </c>
      <c r="F268">
        <f>澳门换算01!F267+澳门新定位结果!$P267</f>
        <v>0</v>
      </c>
      <c r="G268">
        <f>澳门换算01!G267+澳门新定位结果!$P267</f>
        <v>1</v>
      </c>
      <c r="H268">
        <f>澳门换算01!H267+澳门新定位结果!$P267</f>
        <v>0</v>
      </c>
      <c r="I268">
        <f>澳门换算01!I267+澳门新定位结果!$P267</f>
        <v>1</v>
      </c>
      <c r="J268" s="1">
        <f>澳门换算01!J267+澳门新定位结果!$P267</f>
        <v>0</v>
      </c>
      <c r="K268">
        <f>澳门换算01!K267+澳门新定位结果!$P267</f>
        <v>0</v>
      </c>
      <c r="L268">
        <f>澳门换算01!L267+澳门新定位结果!$P267</f>
        <v>0</v>
      </c>
      <c r="M268" s="1">
        <f>澳门换算01!M267+澳门新定位结果!$P267</f>
        <v>0</v>
      </c>
      <c r="N268">
        <f>澳门换算01!N267+澳门新定位结果!$P267</f>
        <v>0</v>
      </c>
      <c r="O268">
        <f>澳门换算01!O267+澳门新定位结果!$P267</f>
        <v>0</v>
      </c>
    </row>
    <row r="269" spans="1:15">
      <c r="A269" s="4" t="s">
        <v>555</v>
      </c>
      <c r="B269">
        <f>澳门换算01!B268+澳门新定位结果!$P268</f>
        <v>2</v>
      </c>
      <c r="C269">
        <f>澳门换算01!C268+澳门新定位结果!$P268</f>
        <v>2</v>
      </c>
      <c r="D269" s="1">
        <f>澳门换算01!D268+澳门新定位结果!$P268</f>
        <v>2</v>
      </c>
      <c r="E269">
        <f>澳门换算01!E268+澳门新定位结果!$P268</f>
        <v>1</v>
      </c>
      <c r="F269">
        <f>澳门换算01!F268+澳门新定位结果!$P268</f>
        <v>2</v>
      </c>
      <c r="G269">
        <f>澳门换算01!G268+澳门新定位结果!$P268</f>
        <v>1</v>
      </c>
      <c r="H269">
        <f>澳门换算01!H268+澳门新定位结果!$P268</f>
        <v>1</v>
      </c>
      <c r="I269">
        <f>澳门换算01!I268+澳门新定位结果!$P268</f>
        <v>2</v>
      </c>
      <c r="J269" s="1">
        <f>澳门换算01!J268+澳门新定位结果!$P268</f>
        <v>2</v>
      </c>
      <c r="K269">
        <f>澳门换算01!K268+澳门新定位结果!$P268</f>
        <v>1</v>
      </c>
      <c r="L269">
        <f>澳门换算01!L268+澳门新定位结果!$P268</f>
        <v>1</v>
      </c>
      <c r="M269" s="1">
        <f>澳门换算01!M268+澳门新定位结果!$P268</f>
        <v>2</v>
      </c>
      <c r="N269">
        <f>澳门换算01!N268+澳门新定位结果!$P268</f>
        <v>1</v>
      </c>
      <c r="O269">
        <f>澳门换算01!O268+澳门新定位结果!$P268</f>
        <v>1</v>
      </c>
    </row>
    <row r="270" spans="1:15">
      <c r="A270" s="4" t="s">
        <v>557</v>
      </c>
      <c r="B270">
        <f>澳门换算01!B269+澳门新定位结果!$P269</f>
        <v>1</v>
      </c>
      <c r="C270">
        <f>澳门换算01!C269+澳门新定位结果!$P269</f>
        <v>1</v>
      </c>
      <c r="D270" s="1">
        <f>澳门换算01!D269+澳门新定位结果!$P269</f>
        <v>1</v>
      </c>
      <c r="E270">
        <f>澳门换算01!E269+澳门新定位结果!$P269</f>
        <v>2</v>
      </c>
      <c r="F270">
        <f>澳门换算01!F269+澳门新定位结果!$P269</f>
        <v>1</v>
      </c>
      <c r="G270">
        <f>澳门换算01!G269+澳门新定位结果!$P269</f>
        <v>2</v>
      </c>
      <c r="H270">
        <f>澳门换算01!H269+澳门新定位结果!$P269</f>
        <v>1</v>
      </c>
      <c r="I270">
        <f>澳门换算01!I269+澳门新定位结果!$P269</f>
        <v>1</v>
      </c>
      <c r="J270" s="1">
        <f>澳门换算01!J269+澳门新定位结果!$P269</f>
        <v>1</v>
      </c>
      <c r="K270">
        <f>澳门换算01!K269+澳门新定位结果!$P269</f>
        <v>1</v>
      </c>
      <c r="L270">
        <f>澳门换算01!L269+澳门新定位结果!$P269</f>
        <v>1</v>
      </c>
      <c r="M270" s="1">
        <f>澳门换算01!M269+澳门新定位结果!$P269</f>
        <v>1</v>
      </c>
      <c r="N270">
        <f>澳门换算01!N269+澳门新定位结果!$P269</f>
        <v>1</v>
      </c>
      <c r="O270">
        <f>澳门换算01!O269+澳门新定位结果!$P269</f>
        <v>1</v>
      </c>
    </row>
    <row r="271" spans="1:15">
      <c r="A271" s="4" t="s">
        <v>559</v>
      </c>
      <c r="B271">
        <f>澳门换算01!B270+澳门新定位结果!$P270</f>
        <v>2</v>
      </c>
      <c r="C271">
        <f>澳门换算01!C270+澳门新定位结果!$P270</f>
        <v>2</v>
      </c>
      <c r="D271" s="1">
        <f>澳门换算01!D270+澳门新定位结果!$P270</f>
        <v>2</v>
      </c>
      <c r="E271">
        <f>澳门换算01!E270+澳门新定位结果!$P270</f>
        <v>1</v>
      </c>
      <c r="F271">
        <f>澳门换算01!F270+澳门新定位结果!$P270</f>
        <v>1</v>
      </c>
      <c r="G271">
        <f>澳门换算01!G270+澳门新定位结果!$P270</f>
        <v>1</v>
      </c>
      <c r="H271">
        <f>澳门换算01!H270+澳门新定位结果!$P270</f>
        <v>1</v>
      </c>
      <c r="I271">
        <f>澳门换算01!I270+澳门新定位结果!$P270</f>
        <v>2</v>
      </c>
      <c r="J271" s="1">
        <f>澳门换算01!J270+澳门新定位结果!$P270</f>
        <v>1</v>
      </c>
      <c r="K271">
        <f>澳门换算01!K270+澳门新定位结果!$P270</f>
        <v>2</v>
      </c>
      <c r="L271">
        <f>澳门换算01!L270+澳门新定位结果!$P270</f>
        <v>2</v>
      </c>
      <c r="M271" s="1">
        <f>澳门换算01!M270+澳门新定位结果!$P270</f>
        <v>1</v>
      </c>
      <c r="N271">
        <f>澳门换算01!N270+澳门新定位结果!$P270</f>
        <v>2</v>
      </c>
      <c r="O271">
        <f>澳门换算01!O270+澳门新定位结果!$P270</f>
        <v>2</v>
      </c>
    </row>
    <row r="272" spans="1:15">
      <c r="A272" s="4" t="s">
        <v>561</v>
      </c>
      <c r="B272">
        <f>澳门换算01!B271+澳门新定位结果!$P271</f>
        <v>1</v>
      </c>
      <c r="C272">
        <f>澳门换算01!C271+澳门新定位结果!$P271</f>
        <v>2</v>
      </c>
      <c r="D272" s="1">
        <f>澳门换算01!D271+澳门新定位结果!$P271</f>
        <v>1</v>
      </c>
      <c r="E272">
        <f>澳门换算01!E271+澳门新定位结果!$P271</f>
        <v>1</v>
      </c>
      <c r="F272">
        <f>澳门换算01!F271+澳门新定位结果!$P271</f>
        <v>1</v>
      </c>
      <c r="G272">
        <f>澳门换算01!G271+澳门新定位结果!$P271</f>
        <v>1</v>
      </c>
      <c r="H272">
        <f>澳门换算01!H271+澳门新定位结果!$P271</f>
        <v>2</v>
      </c>
      <c r="I272">
        <f>澳门换算01!I271+澳门新定位结果!$P271</f>
        <v>2</v>
      </c>
      <c r="J272" s="1">
        <f>澳门换算01!J271+澳门新定位结果!$P271</f>
        <v>2</v>
      </c>
      <c r="K272">
        <f>澳门换算01!K271+澳门新定位结果!$P271</f>
        <v>2</v>
      </c>
      <c r="L272">
        <f>澳门换算01!L271+澳门新定位结果!$P271</f>
        <v>2</v>
      </c>
      <c r="M272" s="1">
        <f>澳门换算01!M271+澳门新定位结果!$P271</f>
        <v>2</v>
      </c>
      <c r="N272">
        <f>澳门换算01!N271+澳门新定位结果!$P271</f>
        <v>1</v>
      </c>
      <c r="O272">
        <f>澳门换算01!O271+澳门新定位结果!$P271</f>
        <v>1</v>
      </c>
    </row>
    <row r="273" spans="1:15">
      <c r="A273" s="4" t="s">
        <v>563</v>
      </c>
      <c r="B273">
        <f>澳门换算01!B272+澳门新定位结果!$P272</f>
        <v>1</v>
      </c>
      <c r="C273">
        <f>澳门换算01!C272+澳门新定位结果!$P272</f>
        <v>0</v>
      </c>
      <c r="D273" s="1">
        <f>澳门换算01!D272+澳门新定位结果!$P272</f>
        <v>0</v>
      </c>
      <c r="E273">
        <f>澳门换算01!E272+澳门新定位结果!$P272</f>
        <v>1</v>
      </c>
      <c r="F273">
        <f>澳门换算01!F272+澳门新定位结果!$P272</f>
        <v>1</v>
      </c>
      <c r="G273">
        <f>澳门换算01!G272+澳门新定位结果!$P272</f>
        <v>1</v>
      </c>
      <c r="H273">
        <f>澳门换算01!H272+澳门新定位结果!$P272</f>
        <v>0</v>
      </c>
      <c r="I273">
        <f>澳门换算01!I272+澳门新定位结果!$P272</f>
        <v>0</v>
      </c>
      <c r="J273" s="1">
        <f>澳门换算01!J272+澳门新定位结果!$P272</f>
        <v>0</v>
      </c>
      <c r="K273">
        <f>澳门换算01!K272+澳门新定位结果!$P272</f>
        <v>1</v>
      </c>
      <c r="L273">
        <f>澳门换算01!L272+澳门新定位结果!$P272</f>
        <v>1</v>
      </c>
      <c r="M273" s="1">
        <f>澳门换算01!M272+澳门新定位结果!$P272</f>
        <v>1</v>
      </c>
      <c r="N273">
        <f>澳门换算01!N272+澳门新定位结果!$P272</f>
        <v>0</v>
      </c>
      <c r="O273">
        <f>澳门换算01!O272+澳门新定位结果!$P272</f>
        <v>1</v>
      </c>
    </row>
    <row r="274" spans="1:15">
      <c r="A274" s="4" t="s">
        <v>565</v>
      </c>
      <c r="B274">
        <f>澳门换算01!B273+澳门新定位结果!$P273</f>
        <v>0</v>
      </c>
      <c r="C274">
        <f>澳门换算01!C273+澳门新定位结果!$P273</f>
        <v>0</v>
      </c>
      <c r="D274" s="1">
        <f>澳门换算01!D273+澳门新定位结果!$P273</f>
        <v>0</v>
      </c>
      <c r="E274">
        <f>澳门换算01!E273+澳门新定位结果!$P273</f>
        <v>1</v>
      </c>
      <c r="F274">
        <f>澳门换算01!F273+澳门新定位结果!$P273</f>
        <v>0</v>
      </c>
      <c r="G274">
        <f>澳门换算01!G273+澳门新定位结果!$P273</f>
        <v>0</v>
      </c>
      <c r="H274">
        <f>澳门换算01!H273+澳门新定位结果!$P273</f>
        <v>0</v>
      </c>
      <c r="I274">
        <f>澳门换算01!I273+澳门新定位结果!$P273</f>
        <v>1</v>
      </c>
      <c r="J274" s="1">
        <f>澳门换算01!J273+澳门新定位结果!$P273</f>
        <v>1</v>
      </c>
      <c r="K274">
        <f>澳门换算01!K273+澳门新定位结果!$P273</f>
        <v>1</v>
      </c>
      <c r="L274">
        <f>澳门换算01!L273+澳门新定位结果!$P273</f>
        <v>1</v>
      </c>
      <c r="M274" s="1">
        <f>澳门换算01!M273+澳门新定位结果!$P273</f>
        <v>0</v>
      </c>
      <c r="N274">
        <f>澳门换算01!N273+澳门新定位结果!$P273</f>
        <v>1</v>
      </c>
      <c r="O274">
        <f>澳门换算01!O273+澳门新定位结果!$P273</f>
        <v>0</v>
      </c>
    </row>
    <row r="275" spans="1:15">
      <c r="A275" s="4" t="s">
        <v>567</v>
      </c>
      <c r="B275">
        <f>澳门换算01!B274+澳门新定位结果!$P274</f>
        <v>1</v>
      </c>
      <c r="C275">
        <f>澳门换算01!C274+澳门新定位结果!$P274</f>
        <v>1</v>
      </c>
      <c r="D275" s="1">
        <f>澳门换算01!D274+澳门新定位结果!$P274</f>
        <v>1</v>
      </c>
      <c r="E275">
        <f>澳门换算01!E274+澳门新定位结果!$P274</f>
        <v>1</v>
      </c>
      <c r="F275">
        <f>澳门换算01!F274+澳门新定位结果!$P274</f>
        <v>2</v>
      </c>
      <c r="G275">
        <f>澳门换算01!G274+澳门新定位结果!$P274</f>
        <v>1</v>
      </c>
      <c r="H275">
        <f>澳门换算01!H274+澳门新定位结果!$P274</f>
        <v>1</v>
      </c>
      <c r="I275">
        <f>澳门换算01!I274+澳门新定位结果!$P274</f>
        <v>2</v>
      </c>
      <c r="J275" s="1">
        <f>澳门换算01!J274+澳门新定位结果!$P274</f>
        <v>1</v>
      </c>
      <c r="K275">
        <f>澳门换算01!K274+澳门新定位结果!$P274</f>
        <v>2</v>
      </c>
      <c r="L275">
        <f>澳门换算01!L274+澳门新定位结果!$P274</f>
        <v>2</v>
      </c>
      <c r="M275" s="1">
        <f>澳门换算01!M274+澳门新定位结果!$P274</f>
        <v>1</v>
      </c>
      <c r="N275">
        <f>澳门换算01!N274+澳门新定位结果!$P274</f>
        <v>1</v>
      </c>
      <c r="O275">
        <f>澳门换算01!O274+澳门新定位结果!$P274</f>
        <v>2</v>
      </c>
    </row>
    <row r="276" spans="1:15">
      <c r="A276" s="4" t="s">
        <v>569</v>
      </c>
      <c r="B276">
        <f>澳门换算01!B275+澳门新定位结果!$P275</f>
        <v>1</v>
      </c>
      <c r="C276">
        <f>澳门换算01!C275+澳门新定位结果!$P275</f>
        <v>2</v>
      </c>
      <c r="D276" s="1">
        <f>澳门换算01!D275+澳门新定位结果!$P275</f>
        <v>1</v>
      </c>
      <c r="E276">
        <f>澳门换算01!E275+澳门新定位结果!$P275</f>
        <v>2</v>
      </c>
      <c r="F276">
        <f>澳门换算01!F275+澳门新定位结果!$P275</f>
        <v>2</v>
      </c>
      <c r="G276">
        <f>澳门换算01!G275+澳门新定位结果!$P275</f>
        <v>2</v>
      </c>
      <c r="H276">
        <f>澳门换算01!H275+澳门新定位结果!$P275</f>
        <v>1</v>
      </c>
      <c r="I276">
        <f>澳门换算01!I275+澳门新定位结果!$P275</f>
        <v>2</v>
      </c>
      <c r="J276" s="1">
        <f>澳门换算01!J275+澳门新定位结果!$P275</f>
        <v>2</v>
      </c>
      <c r="K276">
        <f>澳门换算01!K275+澳门新定位结果!$P275</f>
        <v>1</v>
      </c>
      <c r="L276">
        <f>澳门换算01!L275+澳门新定位结果!$P275</f>
        <v>1</v>
      </c>
      <c r="M276" s="1">
        <f>澳门换算01!M275+澳门新定位结果!$P275</f>
        <v>2</v>
      </c>
      <c r="N276">
        <f>澳门换算01!N275+澳门新定位结果!$P275</f>
        <v>2</v>
      </c>
      <c r="O276">
        <f>澳门换算01!O275+澳门新定位结果!$P275</f>
        <v>2</v>
      </c>
    </row>
    <row r="277" spans="1:15">
      <c r="A277" s="4" t="s">
        <v>571</v>
      </c>
      <c r="B277">
        <f>澳门换算01!B276+澳门新定位结果!$P276</f>
        <v>0</v>
      </c>
      <c r="C277">
        <f>澳门换算01!C276+澳门新定位结果!$P276</f>
        <v>1</v>
      </c>
      <c r="D277" s="1">
        <f>澳门换算01!D276+澳门新定位结果!$P276</f>
        <v>0</v>
      </c>
      <c r="E277">
        <f>澳门换算01!E276+澳门新定位结果!$P276</f>
        <v>1</v>
      </c>
      <c r="F277">
        <f>澳门换算01!F276+澳门新定位结果!$P276</f>
        <v>0</v>
      </c>
      <c r="G277">
        <f>澳门换算01!G276+澳门新定位结果!$P276</f>
        <v>0</v>
      </c>
      <c r="H277">
        <f>澳门换算01!H276+澳门新定位结果!$P276</f>
        <v>0</v>
      </c>
      <c r="I277">
        <f>澳门换算01!I276+澳门新定位结果!$P276</f>
        <v>0</v>
      </c>
      <c r="J277" s="1">
        <f>澳门换算01!J276+澳门新定位结果!$P276</f>
        <v>0</v>
      </c>
      <c r="K277">
        <f>澳门换算01!K276+澳门新定位结果!$P276</f>
        <v>0</v>
      </c>
      <c r="L277">
        <f>澳门换算01!L276+澳门新定位结果!$P276</f>
        <v>1</v>
      </c>
      <c r="M277" s="1">
        <f>澳门换算01!M276+澳门新定位结果!$P276</f>
        <v>0</v>
      </c>
      <c r="N277">
        <f>澳门换算01!N276+澳门新定位结果!$P276</f>
        <v>0</v>
      </c>
      <c r="O277">
        <f>澳门换算01!O276+澳门新定位结果!$P276</f>
        <v>0</v>
      </c>
    </row>
    <row r="278" spans="1:15">
      <c r="A278" s="4" t="s">
        <v>573</v>
      </c>
      <c r="B278">
        <f>澳门换算01!B277+澳门新定位结果!$P277</f>
        <v>1</v>
      </c>
      <c r="C278">
        <f>澳门换算01!C277+澳门新定位结果!$P277</f>
        <v>1</v>
      </c>
      <c r="D278" s="1">
        <f>澳门换算01!D277+澳门新定位结果!$P277</f>
        <v>1</v>
      </c>
      <c r="E278">
        <f>澳门换算01!E277+澳门新定位结果!$P277</f>
        <v>1</v>
      </c>
      <c r="F278">
        <f>澳门换算01!F277+澳门新定位结果!$P277</f>
        <v>1</v>
      </c>
      <c r="G278">
        <f>澳门换算01!G277+澳门新定位结果!$P277</f>
        <v>2</v>
      </c>
      <c r="H278">
        <f>澳门换算01!H277+澳门新定位结果!$P277</f>
        <v>1</v>
      </c>
      <c r="I278">
        <f>澳门换算01!I277+澳门新定位结果!$P277</f>
        <v>2</v>
      </c>
      <c r="J278" s="1">
        <f>澳门换算01!J277+澳门新定位结果!$P277</f>
        <v>1</v>
      </c>
      <c r="K278">
        <f>澳门换算01!K277+澳门新定位结果!$P277</f>
        <v>1</v>
      </c>
      <c r="L278">
        <f>澳门换算01!L277+澳门新定位结果!$P277</f>
        <v>1</v>
      </c>
      <c r="M278" s="1">
        <f>澳门换算01!M277+澳门新定位结果!$P277</f>
        <v>1</v>
      </c>
      <c r="N278">
        <f>澳门换算01!N277+澳门新定位结果!$P277</f>
        <v>1</v>
      </c>
      <c r="O278">
        <f>澳门换算01!O277+澳门新定位结果!$P277</f>
        <v>1</v>
      </c>
    </row>
    <row r="279" spans="1:15">
      <c r="A279" s="4" t="s">
        <v>575</v>
      </c>
      <c r="B279">
        <f>澳门换算01!B278+澳门新定位结果!$P278</f>
        <v>0</v>
      </c>
      <c r="C279">
        <f>澳门换算01!C278+澳门新定位结果!$P278</f>
        <v>1</v>
      </c>
      <c r="D279" s="1">
        <f>澳门换算01!D278+澳门新定位结果!$P278</f>
        <v>1</v>
      </c>
      <c r="E279">
        <f>澳门换算01!E278+澳门新定位结果!$P278</f>
        <v>0</v>
      </c>
      <c r="F279">
        <f>澳门换算01!F278+澳门新定位结果!$P278</f>
        <v>1</v>
      </c>
      <c r="G279">
        <f>澳门换算01!G278+澳门新定位结果!$P278</f>
        <v>0</v>
      </c>
      <c r="H279">
        <f>澳门换算01!H278+澳门新定位结果!$P278</f>
        <v>0</v>
      </c>
      <c r="I279">
        <f>澳门换算01!I278+澳门新定位结果!$P278</f>
        <v>1</v>
      </c>
      <c r="J279" s="1">
        <f>澳门换算01!J278+澳门新定位结果!$P278</f>
        <v>0</v>
      </c>
      <c r="K279">
        <f>澳门换算01!K278+澳门新定位结果!$P278</f>
        <v>0</v>
      </c>
      <c r="L279">
        <f>澳门换算01!L278+澳门新定位结果!$P278</f>
        <v>0</v>
      </c>
      <c r="M279" s="1">
        <f>澳门换算01!M278+澳门新定位结果!$P278</f>
        <v>1</v>
      </c>
      <c r="N279">
        <f>澳门换算01!N278+澳门新定位结果!$P278</f>
        <v>1</v>
      </c>
      <c r="O279">
        <f>澳门换算01!O278+澳门新定位结果!$P278</f>
        <v>1</v>
      </c>
    </row>
    <row r="280" spans="1:15">
      <c r="A280" s="4" t="s">
        <v>577</v>
      </c>
      <c r="B280">
        <f>澳门换算01!B279+澳门新定位结果!$P279</f>
        <v>2</v>
      </c>
      <c r="C280">
        <f>澳门换算01!C279+澳门新定位结果!$P279</f>
        <v>2</v>
      </c>
      <c r="D280" s="1">
        <f>澳门换算01!D279+澳门新定位结果!$P279</f>
        <v>1</v>
      </c>
      <c r="E280">
        <f>澳门换算01!E279+澳门新定位结果!$P279</f>
        <v>2</v>
      </c>
      <c r="F280">
        <f>澳门换算01!F279+澳门新定位结果!$P279</f>
        <v>1</v>
      </c>
      <c r="G280">
        <f>澳门换算01!G279+澳门新定位结果!$P279</f>
        <v>1</v>
      </c>
      <c r="H280">
        <f>澳门换算01!H279+澳门新定位结果!$P279</f>
        <v>1</v>
      </c>
      <c r="I280">
        <f>澳门换算01!I279+澳门新定位结果!$P279</f>
        <v>2</v>
      </c>
      <c r="J280" s="1">
        <f>澳门换算01!J279+澳门新定位结果!$P279</f>
        <v>2</v>
      </c>
      <c r="K280">
        <f>澳门换算01!K279+澳门新定位结果!$P279</f>
        <v>1</v>
      </c>
      <c r="L280">
        <f>澳门换算01!L279+澳门新定位结果!$P279</f>
        <v>2</v>
      </c>
      <c r="M280" s="1">
        <f>澳门换算01!M279+澳门新定位结果!$P279</f>
        <v>2</v>
      </c>
      <c r="N280">
        <f>澳门换算01!N279+澳门新定位结果!$P279</f>
        <v>1</v>
      </c>
      <c r="O280">
        <f>澳门换算01!O279+澳门新定位结果!$P279</f>
        <v>2</v>
      </c>
    </row>
    <row r="281" spans="1:15">
      <c r="A281" s="4" t="s">
        <v>579</v>
      </c>
      <c r="B281">
        <f>澳门换算01!B280+澳门新定位结果!$P280</f>
        <v>1</v>
      </c>
      <c r="C281">
        <f>澳门换算01!C280+澳门新定位结果!$P280</f>
        <v>0</v>
      </c>
      <c r="D281" s="1">
        <f>澳门换算01!D280+澳门新定位结果!$P280</f>
        <v>0</v>
      </c>
      <c r="E281">
        <f>澳门换算01!E280+澳门新定位结果!$P280</f>
        <v>0</v>
      </c>
      <c r="F281">
        <f>澳门换算01!F280+澳门新定位结果!$P280</f>
        <v>1</v>
      </c>
      <c r="G281">
        <f>澳门换算01!G280+澳门新定位结果!$P280</f>
        <v>1</v>
      </c>
      <c r="H281">
        <f>澳门换算01!H280+澳门新定位结果!$P280</f>
        <v>0</v>
      </c>
      <c r="I281">
        <f>澳门换算01!I280+澳门新定位结果!$P280</f>
        <v>1</v>
      </c>
      <c r="J281" s="1">
        <f>澳门换算01!J280+澳门新定位结果!$P280</f>
        <v>1</v>
      </c>
      <c r="K281">
        <f>澳门换算01!K280+澳门新定位结果!$P280</f>
        <v>0</v>
      </c>
      <c r="L281">
        <f>澳门换算01!L280+澳门新定位结果!$P280</f>
        <v>1</v>
      </c>
      <c r="M281" s="1">
        <f>澳门换算01!M280+澳门新定位结果!$P280</f>
        <v>1</v>
      </c>
      <c r="N281">
        <f>澳门换算01!N280+澳门新定位结果!$P280</f>
        <v>1</v>
      </c>
      <c r="O281">
        <f>澳门换算01!O280+澳门新定位结果!$P280</f>
        <v>1</v>
      </c>
    </row>
    <row r="282" spans="1:15">
      <c r="A282" s="4" t="s">
        <v>581</v>
      </c>
      <c r="B282">
        <f>澳门换算01!B281+澳门新定位结果!$P281</f>
        <v>2</v>
      </c>
      <c r="C282">
        <f>澳门换算01!C281+澳门新定位结果!$P281</f>
        <v>2</v>
      </c>
      <c r="D282" s="1">
        <f>澳门换算01!D281+澳门新定位结果!$P281</f>
        <v>2</v>
      </c>
      <c r="E282">
        <f>澳门换算01!E281+澳门新定位结果!$P281</f>
        <v>2</v>
      </c>
      <c r="F282">
        <f>澳门换算01!F281+澳门新定位结果!$P281</f>
        <v>1</v>
      </c>
      <c r="G282">
        <f>澳门换算01!G281+澳门新定位结果!$P281</f>
        <v>2</v>
      </c>
      <c r="H282">
        <f>澳门换算01!H281+澳门新定位结果!$P281</f>
        <v>2</v>
      </c>
      <c r="I282">
        <f>澳门换算01!I281+澳门新定位结果!$P281</f>
        <v>1</v>
      </c>
      <c r="J282" s="1">
        <f>澳门换算01!J281+澳门新定位结果!$P281</f>
        <v>2</v>
      </c>
      <c r="K282">
        <f>澳门换算01!K281+澳门新定位结果!$P281</f>
        <v>2</v>
      </c>
      <c r="L282">
        <f>澳门换算01!L281+澳门新定位结果!$P281</f>
        <v>2</v>
      </c>
      <c r="M282" s="1">
        <f>澳门换算01!M281+澳门新定位结果!$P281</f>
        <v>2</v>
      </c>
      <c r="N282">
        <f>澳门换算01!N281+澳门新定位结果!$P281</f>
        <v>2</v>
      </c>
      <c r="O282">
        <f>澳门换算01!O281+澳门新定位结果!$P281</f>
        <v>1</v>
      </c>
    </row>
    <row r="283" spans="1:15">
      <c r="A283" s="4" t="s">
        <v>583</v>
      </c>
      <c r="B283">
        <f>澳门换算01!B282+澳门新定位结果!$P282</f>
        <v>1</v>
      </c>
      <c r="C283">
        <f>澳门换算01!C282+澳门新定位结果!$P282</f>
        <v>2</v>
      </c>
      <c r="D283" s="1">
        <f>澳门换算01!D282+澳门新定位结果!$P282</f>
        <v>1</v>
      </c>
      <c r="E283">
        <f>澳门换算01!E282+澳门新定位结果!$P282</f>
        <v>2</v>
      </c>
      <c r="F283">
        <f>澳门换算01!F282+澳门新定位结果!$P282</f>
        <v>2</v>
      </c>
      <c r="G283">
        <f>澳门换算01!G282+澳门新定位结果!$P282</f>
        <v>2</v>
      </c>
      <c r="H283">
        <f>澳门换算01!H282+澳门新定位结果!$P282</f>
        <v>1</v>
      </c>
      <c r="I283">
        <f>澳门换算01!I282+澳门新定位结果!$P282</f>
        <v>2</v>
      </c>
      <c r="J283" s="1">
        <f>澳门换算01!J282+澳门新定位结果!$P282</f>
        <v>1</v>
      </c>
      <c r="K283">
        <f>澳门换算01!K282+澳门新定位结果!$P282</f>
        <v>1</v>
      </c>
      <c r="L283">
        <f>澳门换算01!L282+澳门新定位结果!$P282</f>
        <v>2</v>
      </c>
      <c r="M283" s="1">
        <f>澳门换算01!M282+澳门新定位结果!$P282</f>
        <v>1</v>
      </c>
      <c r="N283">
        <f>澳门换算01!N282+澳门新定位结果!$P282</f>
        <v>1</v>
      </c>
      <c r="O283">
        <f>澳门换算01!O282+澳门新定位结果!$P282</f>
        <v>1</v>
      </c>
    </row>
    <row r="284" spans="1:15">
      <c r="A284" s="4" t="s">
        <v>585</v>
      </c>
      <c r="B284">
        <f>澳门换算01!B283+澳门新定位结果!$P283</f>
        <v>0</v>
      </c>
      <c r="C284">
        <f>澳门换算01!C283+澳门新定位结果!$P283</f>
        <v>0</v>
      </c>
      <c r="D284" s="1">
        <f>澳门换算01!D283+澳门新定位结果!$P283</f>
        <v>0</v>
      </c>
      <c r="E284">
        <f>澳门换算01!E283+澳门新定位结果!$P283</f>
        <v>0</v>
      </c>
      <c r="F284">
        <f>澳门换算01!F283+澳门新定位结果!$P283</f>
        <v>1</v>
      </c>
      <c r="G284">
        <f>澳门换算01!G283+澳门新定位结果!$P283</f>
        <v>0</v>
      </c>
      <c r="H284">
        <f>澳门换算01!H283+澳门新定位结果!$P283</f>
        <v>0</v>
      </c>
      <c r="I284">
        <f>澳门换算01!I283+澳门新定位结果!$P283</f>
        <v>0</v>
      </c>
      <c r="J284" s="1">
        <f>澳门换算01!J283+澳门新定位结果!$P283</f>
        <v>0</v>
      </c>
      <c r="K284">
        <f>澳门换算01!K283+澳门新定位结果!$P283</f>
        <v>0</v>
      </c>
      <c r="L284">
        <f>澳门换算01!L283+澳门新定位结果!$P283</f>
        <v>0</v>
      </c>
      <c r="M284" s="1">
        <f>澳门换算01!M283+澳门新定位结果!$P283</f>
        <v>1</v>
      </c>
      <c r="N284">
        <f>澳门换算01!N283+澳门新定位结果!$P283</f>
        <v>1</v>
      </c>
      <c r="O284">
        <f>澳门换算01!O283+澳门新定位结果!$P283</f>
        <v>1</v>
      </c>
    </row>
    <row r="285" spans="1:15">
      <c r="A285" s="4" t="s">
        <v>587</v>
      </c>
      <c r="B285">
        <f>澳门换算01!B284+澳门新定位结果!$P284</f>
        <v>1</v>
      </c>
      <c r="C285">
        <f>澳门换算01!C284+澳门新定位结果!$P284</f>
        <v>2</v>
      </c>
      <c r="D285" s="1">
        <f>澳门换算01!D284+澳门新定位结果!$P284</f>
        <v>1</v>
      </c>
      <c r="E285">
        <f>澳门换算01!E284+澳门新定位结果!$P284</f>
        <v>1</v>
      </c>
      <c r="F285">
        <f>澳门换算01!F284+澳门新定位结果!$P284</f>
        <v>1</v>
      </c>
      <c r="G285">
        <f>澳门换算01!G284+澳门新定位结果!$P284</f>
        <v>2</v>
      </c>
      <c r="H285">
        <f>澳门换算01!H284+澳门新定位结果!$P284</f>
        <v>1</v>
      </c>
      <c r="I285">
        <f>澳门换算01!I284+澳门新定位结果!$P284</f>
        <v>2</v>
      </c>
      <c r="J285" s="1">
        <f>澳门换算01!J284+澳门新定位结果!$P284</f>
        <v>1</v>
      </c>
      <c r="K285">
        <f>澳门换算01!K284+澳门新定位结果!$P284</f>
        <v>1</v>
      </c>
      <c r="L285">
        <f>澳门换算01!L284+澳门新定位结果!$P284</f>
        <v>2</v>
      </c>
      <c r="M285" s="1">
        <f>澳门换算01!M284+澳门新定位结果!$P284</f>
        <v>1</v>
      </c>
      <c r="N285">
        <f>澳门换算01!N284+澳门新定位结果!$P284</f>
        <v>1</v>
      </c>
      <c r="O285">
        <f>澳门换算01!O284+澳门新定位结果!$P284</f>
        <v>1</v>
      </c>
    </row>
    <row r="286" spans="1:15">
      <c r="A286" s="4" t="s">
        <v>589</v>
      </c>
      <c r="B286">
        <f>澳门换算01!B285+澳门新定位结果!$P285</f>
        <v>1</v>
      </c>
      <c r="C286">
        <f>澳门换算01!C285+澳门新定位结果!$P285</f>
        <v>1</v>
      </c>
      <c r="D286" s="1">
        <f>澳门换算01!D285+澳门新定位结果!$P285</f>
        <v>1</v>
      </c>
      <c r="E286">
        <f>澳门换算01!E285+澳门新定位结果!$P285</f>
        <v>1</v>
      </c>
      <c r="F286">
        <f>澳门换算01!F285+澳门新定位结果!$P285</f>
        <v>1</v>
      </c>
      <c r="G286">
        <f>澳门换算01!G285+澳门新定位结果!$P285</f>
        <v>1</v>
      </c>
      <c r="H286">
        <f>澳门换算01!H285+澳门新定位结果!$P285</f>
        <v>1</v>
      </c>
      <c r="I286">
        <f>澳门换算01!I285+澳门新定位结果!$P285</f>
        <v>2</v>
      </c>
      <c r="J286" s="1">
        <f>澳门换算01!J285+澳门新定位结果!$P285</f>
        <v>1</v>
      </c>
      <c r="K286">
        <f>澳门换算01!K285+澳门新定位结果!$P285</f>
        <v>2</v>
      </c>
      <c r="L286">
        <f>澳门换算01!L285+澳门新定位结果!$P285</f>
        <v>1</v>
      </c>
      <c r="M286" s="1">
        <f>澳门换算01!M285+澳门新定位结果!$P285</f>
        <v>2</v>
      </c>
      <c r="N286">
        <f>澳门换算01!N285+澳门新定位结果!$P285</f>
        <v>2</v>
      </c>
      <c r="O286">
        <f>澳门换算01!O285+澳门新定位结果!$P285</f>
        <v>2</v>
      </c>
    </row>
    <row r="287" spans="1:15">
      <c r="A287" s="4" t="s">
        <v>591</v>
      </c>
      <c r="B287">
        <f>澳门换算01!B286+澳门新定位结果!$P286</f>
        <v>1</v>
      </c>
      <c r="C287">
        <f>澳门换算01!C286+澳门新定位结果!$P286</f>
        <v>0</v>
      </c>
      <c r="D287" s="1">
        <f>澳门换算01!D286+澳门新定位结果!$P286</f>
        <v>0</v>
      </c>
      <c r="E287">
        <f>澳门换算01!E286+澳门新定位结果!$P286</f>
        <v>0</v>
      </c>
      <c r="F287">
        <f>澳门换算01!F286+澳门新定位结果!$P286</f>
        <v>0</v>
      </c>
      <c r="G287">
        <f>澳门换算01!G286+澳门新定位结果!$P286</f>
        <v>1</v>
      </c>
      <c r="H287">
        <f>澳门换算01!H286+澳门新定位结果!$P286</f>
        <v>1</v>
      </c>
      <c r="I287">
        <f>澳门换算01!I286+澳门新定位结果!$P286</f>
        <v>1</v>
      </c>
      <c r="J287" s="1">
        <f>澳门换算01!J286+澳门新定位结果!$P286</f>
        <v>0</v>
      </c>
      <c r="K287">
        <f>澳门换算01!K286+澳门新定位结果!$P286</f>
        <v>1</v>
      </c>
      <c r="L287">
        <f>澳门换算01!L286+澳门新定位结果!$P286</f>
        <v>1</v>
      </c>
      <c r="M287" s="1">
        <f>澳门换算01!M286+澳门新定位结果!$P286</f>
        <v>1</v>
      </c>
      <c r="N287">
        <f>澳门换算01!N286+澳门新定位结果!$P286</f>
        <v>1</v>
      </c>
      <c r="O287">
        <f>澳门换算01!O286+澳门新定位结果!$P286</f>
        <v>0</v>
      </c>
    </row>
    <row r="288" spans="1:15">
      <c r="A288" s="4" t="s">
        <v>593</v>
      </c>
      <c r="B288">
        <f>澳门换算01!B287+澳门新定位结果!$P287</f>
        <v>1</v>
      </c>
      <c r="C288">
        <f>澳门换算01!C287+澳门新定位结果!$P287</f>
        <v>1</v>
      </c>
      <c r="D288" s="1">
        <f>澳门换算01!D287+澳门新定位结果!$P287</f>
        <v>0</v>
      </c>
      <c r="E288">
        <f>澳门换算01!E287+澳门新定位结果!$P287</f>
        <v>1</v>
      </c>
      <c r="F288">
        <f>澳门换算01!F287+澳门新定位结果!$P287</f>
        <v>1</v>
      </c>
      <c r="G288">
        <f>澳门换算01!G287+澳门新定位结果!$P287</f>
        <v>1</v>
      </c>
      <c r="H288">
        <f>澳门换算01!H287+澳门新定位结果!$P287</f>
        <v>1</v>
      </c>
      <c r="I288">
        <f>澳门换算01!I287+澳门新定位结果!$P287</f>
        <v>0</v>
      </c>
      <c r="J288" s="1">
        <f>澳门换算01!J287+澳门新定位结果!$P287</f>
        <v>1</v>
      </c>
      <c r="K288">
        <f>澳门换算01!K287+澳门新定位结果!$P287</f>
        <v>0</v>
      </c>
      <c r="L288">
        <f>澳门换算01!L287+澳门新定位结果!$P287</f>
        <v>1</v>
      </c>
      <c r="M288" s="1">
        <f>澳门换算01!M287+澳门新定位结果!$P287</f>
        <v>1</v>
      </c>
      <c r="N288">
        <f>澳门换算01!N287+澳门新定位结果!$P287</f>
        <v>0</v>
      </c>
      <c r="O288">
        <f>澳门换算01!O287+澳门新定位结果!$P287</f>
        <v>1</v>
      </c>
    </row>
    <row r="289" spans="1:15">
      <c r="A289" s="4" t="s">
        <v>595</v>
      </c>
      <c r="B289">
        <f>澳门换算01!B288+澳门新定位结果!$P288</f>
        <v>2</v>
      </c>
      <c r="C289">
        <f>澳门换算01!C288+澳门新定位结果!$P288</f>
        <v>2</v>
      </c>
      <c r="D289" s="1">
        <f>澳门换算01!D288+澳门新定位结果!$P288</f>
        <v>1</v>
      </c>
      <c r="E289">
        <f>澳门换算01!E288+澳门新定位结果!$P288</f>
        <v>1</v>
      </c>
      <c r="F289">
        <f>澳门换算01!F288+澳门新定位结果!$P288</f>
        <v>1</v>
      </c>
      <c r="G289">
        <f>澳门换算01!G288+澳门新定位结果!$P288</f>
        <v>1</v>
      </c>
      <c r="H289">
        <f>澳门换算01!H288+澳门新定位结果!$P288</f>
        <v>1</v>
      </c>
      <c r="I289">
        <f>澳门换算01!I288+澳门新定位结果!$P288</f>
        <v>2</v>
      </c>
      <c r="J289" s="1">
        <f>澳门换算01!J288+澳门新定位结果!$P288</f>
        <v>2</v>
      </c>
      <c r="K289">
        <f>澳门换算01!K288+澳门新定位结果!$P288</f>
        <v>1</v>
      </c>
      <c r="L289">
        <f>澳门换算01!L288+澳门新定位结果!$P288</f>
        <v>1</v>
      </c>
      <c r="M289" s="1">
        <f>澳门换算01!M288+澳门新定位结果!$P288</f>
        <v>2</v>
      </c>
      <c r="N289">
        <f>澳门换算01!N288+澳门新定位结果!$P288</f>
        <v>1</v>
      </c>
      <c r="O289">
        <f>澳门换算01!O288+澳门新定位结果!$P288</f>
        <v>2</v>
      </c>
    </row>
    <row r="290" spans="1:15">
      <c r="A290" s="4" t="s">
        <v>597</v>
      </c>
      <c r="B290">
        <f>澳门换算01!B289+澳门新定位结果!$P289</f>
        <v>1</v>
      </c>
      <c r="C290">
        <f>澳门换算01!C289+澳门新定位结果!$P289</f>
        <v>1</v>
      </c>
      <c r="D290" s="1">
        <f>澳门换算01!D289+澳门新定位结果!$P289</f>
        <v>1</v>
      </c>
      <c r="E290">
        <f>澳门换算01!E289+澳门新定位结果!$P289</f>
        <v>2</v>
      </c>
      <c r="F290">
        <f>澳门换算01!F289+澳门新定位结果!$P289</f>
        <v>1</v>
      </c>
      <c r="G290">
        <f>澳门换算01!G289+澳门新定位结果!$P289</f>
        <v>2</v>
      </c>
      <c r="H290">
        <f>澳门换算01!H289+澳门新定位结果!$P289</f>
        <v>1</v>
      </c>
      <c r="I290">
        <f>澳门换算01!I289+澳门新定位结果!$P289</f>
        <v>2</v>
      </c>
      <c r="J290" s="1">
        <f>澳门换算01!J289+澳门新定位结果!$P289</f>
        <v>1</v>
      </c>
      <c r="K290">
        <f>澳门换算01!K289+澳门新定位结果!$P289</f>
        <v>1</v>
      </c>
      <c r="L290">
        <f>澳门换算01!L289+澳门新定位结果!$P289</f>
        <v>1</v>
      </c>
      <c r="M290" s="1">
        <f>澳门换算01!M289+澳门新定位结果!$P289</f>
        <v>1</v>
      </c>
      <c r="N290">
        <f>澳门换算01!N289+澳门新定位结果!$P289</f>
        <v>1</v>
      </c>
      <c r="O290">
        <f>澳门换算01!O289+澳门新定位结果!$P289</f>
        <v>2</v>
      </c>
    </row>
    <row r="291" spans="1:15">
      <c r="A291" s="4" t="s">
        <v>599</v>
      </c>
      <c r="B291">
        <f>澳门换算01!B290+澳门新定位结果!$P290</f>
        <v>0</v>
      </c>
      <c r="C291">
        <f>澳门换算01!C290+澳门新定位结果!$P290</f>
        <v>0</v>
      </c>
      <c r="D291" s="1">
        <f>澳门换算01!D290+澳门新定位结果!$P290</f>
        <v>1</v>
      </c>
      <c r="E291">
        <f>澳门换算01!E290+澳门新定位结果!$P290</f>
        <v>0</v>
      </c>
      <c r="F291">
        <f>澳门换算01!F290+澳门新定位结果!$P290</f>
        <v>1</v>
      </c>
      <c r="G291">
        <f>澳门换算01!G290+澳门新定位结果!$P290</f>
        <v>0</v>
      </c>
      <c r="H291">
        <f>澳门换算01!H290+澳门新定位结果!$P290</f>
        <v>0</v>
      </c>
      <c r="I291">
        <f>澳门换算01!I290+澳门新定位结果!$P290</f>
        <v>0</v>
      </c>
      <c r="J291" s="1">
        <f>澳门换算01!J290+澳门新定位结果!$P290</f>
        <v>0</v>
      </c>
      <c r="K291">
        <f>澳门换算01!K290+澳门新定位结果!$P290</f>
        <v>0</v>
      </c>
      <c r="L291">
        <f>澳门换算01!L290+澳门新定位结果!$P290</f>
        <v>0</v>
      </c>
      <c r="M291" s="1">
        <f>澳门换算01!M290+澳门新定位结果!$P290</f>
        <v>1</v>
      </c>
      <c r="N291">
        <f>澳门换算01!N290+澳门新定位结果!$P290</f>
        <v>1</v>
      </c>
      <c r="O291">
        <f>澳门换算01!O290+澳门新定位结果!$P290</f>
        <v>1</v>
      </c>
    </row>
    <row r="292" spans="1:15">
      <c r="A292" s="4" t="s">
        <v>601</v>
      </c>
      <c r="B292">
        <f>澳门换算01!B291+澳门新定位结果!$P291</f>
        <v>0</v>
      </c>
      <c r="C292">
        <f>澳门换算01!C291+澳门新定位结果!$P291</f>
        <v>1</v>
      </c>
      <c r="D292" s="1">
        <f>澳门换算01!D291+澳门新定位结果!$P291</f>
        <v>0</v>
      </c>
      <c r="E292">
        <f>澳门换算01!E291+澳门新定位结果!$P291</f>
        <v>0</v>
      </c>
      <c r="F292">
        <f>澳门换算01!F291+澳门新定位结果!$P291</f>
        <v>0</v>
      </c>
      <c r="G292">
        <f>澳门换算01!G291+澳门新定位结果!$P291</f>
        <v>0</v>
      </c>
      <c r="H292">
        <f>澳门换算01!H291+澳门新定位结果!$P291</f>
        <v>0</v>
      </c>
      <c r="I292">
        <f>澳门换算01!I291+澳门新定位结果!$P291</f>
        <v>0</v>
      </c>
      <c r="J292" s="1">
        <f>澳门换算01!J291+澳门新定位结果!$P291</f>
        <v>1</v>
      </c>
      <c r="K292">
        <f>澳门换算01!K291+澳门新定位结果!$P291</f>
        <v>1</v>
      </c>
      <c r="L292">
        <f>澳门换算01!L291+澳门新定位结果!$P291</f>
        <v>0</v>
      </c>
      <c r="M292" s="1">
        <f>澳门换算01!M291+澳门新定位结果!$P291</f>
        <v>1</v>
      </c>
      <c r="N292">
        <f>澳门换算01!N291+澳门新定位结果!$P291</f>
        <v>1</v>
      </c>
      <c r="O292">
        <f>澳门换算01!O291+澳门新定位结果!$P291</f>
        <v>0</v>
      </c>
    </row>
    <row r="293" spans="1:15">
      <c r="A293" s="4" t="s">
        <v>603</v>
      </c>
      <c r="B293">
        <f>澳门换算01!B292+澳门新定位结果!$P292</f>
        <v>1</v>
      </c>
      <c r="C293">
        <f>澳门换算01!C292+澳门新定位结果!$P292</f>
        <v>0</v>
      </c>
      <c r="D293" s="1">
        <f>澳门换算01!D292+澳门新定位结果!$P292</f>
        <v>0</v>
      </c>
      <c r="E293">
        <f>澳门换算01!E292+澳门新定位结果!$P292</f>
        <v>1</v>
      </c>
      <c r="F293">
        <f>澳门换算01!F292+澳门新定位结果!$P292</f>
        <v>1</v>
      </c>
      <c r="G293">
        <f>澳门换算01!G292+澳门新定位结果!$P292</f>
        <v>1</v>
      </c>
      <c r="H293">
        <f>澳门换算01!H292+澳门新定位结果!$P292</f>
        <v>0</v>
      </c>
      <c r="I293">
        <f>澳门换算01!I292+澳门新定位结果!$P292</f>
        <v>0</v>
      </c>
      <c r="J293" s="1">
        <f>澳门换算01!J292+澳门新定位结果!$P292</f>
        <v>1</v>
      </c>
      <c r="K293">
        <f>澳门换算01!K292+澳门新定位结果!$P292</f>
        <v>0</v>
      </c>
      <c r="L293">
        <f>澳门换算01!L292+澳门新定位结果!$P292</f>
        <v>0</v>
      </c>
      <c r="M293" s="1">
        <f>澳门换算01!M292+澳门新定位结果!$P292</f>
        <v>1</v>
      </c>
      <c r="N293">
        <f>澳门换算01!N292+澳门新定位结果!$P292</f>
        <v>0</v>
      </c>
      <c r="O293">
        <f>澳门换算01!O292+澳门新定位结果!$P292</f>
        <v>0</v>
      </c>
    </row>
    <row r="294" spans="1:15">
      <c r="A294" s="4" t="s">
        <v>605</v>
      </c>
      <c r="B294">
        <f>澳门换算01!B293+澳门新定位结果!$P293</f>
        <v>1</v>
      </c>
      <c r="C294">
        <f>澳门换算01!C293+澳门新定位结果!$P293</f>
        <v>0</v>
      </c>
      <c r="D294" s="1">
        <f>澳门换算01!D293+澳门新定位结果!$P293</f>
        <v>1</v>
      </c>
      <c r="E294">
        <f>澳门换算01!E293+澳门新定位结果!$P293</f>
        <v>1</v>
      </c>
      <c r="F294">
        <f>澳门换算01!F293+澳门新定位结果!$P293</f>
        <v>0</v>
      </c>
      <c r="G294">
        <f>澳门换算01!G293+澳门新定位结果!$P293</f>
        <v>0</v>
      </c>
      <c r="H294">
        <f>澳门换算01!H293+澳门新定位结果!$P293</f>
        <v>0</v>
      </c>
      <c r="I294">
        <f>澳门换算01!I293+澳门新定位结果!$P293</f>
        <v>0</v>
      </c>
      <c r="J294" s="1">
        <f>澳门换算01!J293+澳门新定位结果!$P293</f>
        <v>0</v>
      </c>
      <c r="K294">
        <f>澳门换算01!K293+澳门新定位结果!$P293</f>
        <v>1</v>
      </c>
      <c r="L294">
        <f>澳门换算01!L293+澳门新定位结果!$P293</f>
        <v>1</v>
      </c>
      <c r="M294" s="1">
        <f>澳门换算01!M293+澳门新定位结果!$P293</f>
        <v>1</v>
      </c>
      <c r="N294">
        <f>澳门换算01!N293+澳门新定位结果!$P293</f>
        <v>1</v>
      </c>
      <c r="O294">
        <f>澳门换算01!O293+澳门新定位结果!$P293</f>
        <v>0</v>
      </c>
    </row>
    <row r="295" spans="1:15">
      <c r="A295" s="4" t="s">
        <v>607</v>
      </c>
      <c r="B295">
        <f>澳门换算01!B294+澳门新定位结果!$P294</f>
        <v>1</v>
      </c>
      <c r="C295">
        <f>澳门换算01!C294+澳门新定位结果!$P294</f>
        <v>2</v>
      </c>
      <c r="D295" s="1">
        <f>澳门换算01!D294+澳门新定位结果!$P294</f>
        <v>2</v>
      </c>
      <c r="E295">
        <f>澳门换算01!E294+澳门新定位结果!$P294</f>
        <v>1</v>
      </c>
      <c r="F295">
        <f>澳门换算01!F294+澳门新定位结果!$P294</f>
        <v>2</v>
      </c>
      <c r="G295">
        <f>澳门换算01!G294+澳门新定位结果!$P294</f>
        <v>2</v>
      </c>
      <c r="H295">
        <f>澳门换算01!H294+澳门新定位结果!$P294</f>
        <v>2</v>
      </c>
      <c r="I295">
        <f>澳门换算01!I294+澳门新定位结果!$P294</f>
        <v>2</v>
      </c>
      <c r="J295" s="1">
        <f>澳门换算01!J294+澳门新定位结果!$P294</f>
        <v>1</v>
      </c>
      <c r="K295">
        <f>澳门换算01!K294+澳门新定位结果!$P294</f>
        <v>2</v>
      </c>
      <c r="L295">
        <f>澳门换算01!L294+澳门新定位结果!$P294</f>
        <v>2</v>
      </c>
      <c r="M295" s="1">
        <f>澳门换算01!M294+澳门新定位结果!$P294</f>
        <v>1</v>
      </c>
      <c r="N295">
        <f>澳门换算01!N294+澳门新定位结果!$P294</f>
        <v>1</v>
      </c>
      <c r="O295">
        <f>澳门换算01!O294+澳门新定位结果!$P294</f>
        <v>1</v>
      </c>
    </row>
    <row r="296" spans="1:15">
      <c r="A296" s="4" t="s">
        <v>609</v>
      </c>
      <c r="B296">
        <f>澳门换算01!B295+澳门新定位结果!$P295</f>
        <v>1</v>
      </c>
      <c r="C296">
        <f>澳门换算01!C295+澳门新定位结果!$P295</f>
        <v>2</v>
      </c>
      <c r="D296" s="1">
        <f>澳门换算01!D295+澳门新定位结果!$P295</f>
        <v>1</v>
      </c>
      <c r="E296">
        <f>澳门换算01!E295+澳门新定位结果!$P295</f>
        <v>2</v>
      </c>
      <c r="F296">
        <f>澳门换算01!F295+澳门新定位结果!$P295</f>
        <v>2</v>
      </c>
      <c r="G296">
        <f>澳门换算01!G295+澳门新定位结果!$P295</f>
        <v>2</v>
      </c>
      <c r="H296">
        <f>澳门换算01!H295+澳门新定位结果!$P295</f>
        <v>1</v>
      </c>
      <c r="I296">
        <f>澳门换算01!I295+澳门新定位结果!$P295</f>
        <v>1</v>
      </c>
      <c r="J296" s="1">
        <f>澳门换算01!J295+澳门新定位结果!$P295</f>
        <v>2</v>
      </c>
      <c r="K296">
        <f>澳门换算01!K295+澳门新定位结果!$P295</f>
        <v>2</v>
      </c>
      <c r="L296">
        <f>澳门换算01!L295+澳门新定位结果!$P295</f>
        <v>2</v>
      </c>
      <c r="M296" s="1">
        <f>澳门换算01!M295+澳门新定位结果!$P295</f>
        <v>1</v>
      </c>
      <c r="N296">
        <f>澳门换算01!N295+澳门新定位结果!$P295</f>
        <v>1</v>
      </c>
      <c r="O296">
        <f>澳门换算01!O295+澳门新定位结果!$P295</f>
        <v>2</v>
      </c>
    </row>
    <row r="297" spans="1:15">
      <c r="A297" s="4" t="s">
        <v>611</v>
      </c>
      <c r="B297">
        <f>澳门换算01!B296+澳门新定位结果!$P296</f>
        <v>1</v>
      </c>
      <c r="C297">
        <f>澳门换算01!C296+澳门新定位结果!$P296</f>
        <v>1</v>
      </c>
      <c r="D297" s="1">
        <f>澳门换算01!D296+澳门新定位结果!$P296</f>
        <v>2</v>
      </c>
      <c r="E297">
        <f>澳门换算01!E296+澳门新定位结果!$P296</f>
        <v>1</v>
      </c>
      <c r="F297">
        <f>澳门换算01!F296+澳门新定位结果!$P296</f>
        <v>1</v>
      </c>
      <c r="G297">
        <f>澳门换算01!G296+澳门新定位结果!$P296</f>
        <v>1</v>
      </c>
      <c r="H297">
        <f>澳门换算01!H296+澳门新定位结果!$P296</f>
        <v>2</v>
      </c>
      <c r="I297">
        <f>澳门换算01!I296+澳门新定位结果!$P296</f>
        <v>1</v>
      </c>
      <c r="J297" s="1">
        <f>澳门换算01!J296+澳门新定位结果!$P296</f>
        <v>2</v>
      </c>
      <c r="K297">
        <f>澳门换算01!K296+澳门新定位结果!$P296</f>
        <v>2</v>
      </c>
      <c r="L297">
        <f>澳门换算01!L296+澳门新定位结果!$P296</f>
        <v>2</v>
      </c>
      <c r="M297" s="1">
        <f>澳门换算01!M296+澳门新定位结果!$P296</f>
        <v>1</v>
      </c>
      <c r="N297">
        <f>澳门换算01!N296+澳门新定位结果!$P296</f>
        <v>2</v>
      </c>
      <c r="O297">
        <f>澳门换算01!O296+澳门新定位结果!$P296</f>
        <v>1</v>
      </c>
    </row>
    <row r="298" spans="1:15">
      <c r="A298" s="4" t="s">
        <v>613</v>
      </c>
      <c r="B298">
        <f>澳门换算01!B297+澳门新定位结果!$P297</f>
        <v>2</v>
      </c>
      <c r="C298">
        <f>澳门换算01!C297+澳门新定位结果!$P297</f>
        <v>1</v>
      </c>
      <c r="D298" s="1">
        <f>澳门换算01!D297+澳门新定位结果!$P297</f>
        <v>1</v>
      </c>
      <c r="E298">
        <f>澳门换算01!E297+澳门新定位结果!$P297</f>
        <v>2</v>
      </c>
      <c r="F298">
        <f>澳门换算01!F297+澳门新定位结果!$P297</f>
        <v>2</v>
      </c>
      <c r="G298">
        <f>澳门换算01!G297+澳门新定位结果!$P297</f>
        <v>2</v>
      </c>
      <c r="H298">
        <f>澳门换算01!H297+澳门新定位结果!$P297</f>
        <v>1</v>
      </c>
      <c r="I298">
        <f>澳门换算01!I297+澳门新定位结果!$P297</f>
        <v>2</v>
      </c>
      <c r="J298" s="1">
        <f>澳门换算01!J297+澳门新定位结果!$P297</f>
        <v>1</v>
      </c>
      <c r="K298">
        <f>澳门换算01!K297+澳门新定位结果!$P297</f>
        <v>1</v>
      </c>
      <c r="L298">
        <f>澳门换算01!L297+澳门新定位结果!$P297</f>
        <v>2</v>
      </c>
      <c r="M298" s="1">
        <f>澳门换算01!M297+澳门新定位结果!$P297</f>
        <v>1</v>
      </c>
      <c r="N298">
        <f>澳门换算01!N297+澳门新定位结果!$P297</f>
        <v>1</v>
      </c>
      <c r="O298">
        <f>澳门换算01!O297+澳门新定位结果!$P297</f>
        <v>1</v>
      </c>
    </row>
    <row r="299" spans="1:15">
      <c r="A299" s="4" t="s">
        <v>615</v>
      </c>
      <c r="B299">
        <f>澳门换算01!B298+澳门新定位结果!$P298</f>
        <v>0</v>
      </c>
      <c r="C299">
        <f>澳门换算01!C298+澳门新定位结果!$P298</f>
        <v>0</v>
      </c>
      <c r="D299" s="1">
        <f>澳门换算01!D298+澳门新定位结果!$P298</f>
        <v>1</v>
      </c>
      <c r="E299">
        <f>澳门换算01!E298+澳门新定位结果!$P298</f>
        <v>0</v>
      </c>
      <c r="F299">
        <f>澳门换算01!F298+澳门新定位结果!$P298</f>
        <v>1</v>
      </c>
      <c r="G299">
        <f>澳门换算01!G298+澳门新定位结果!$P298</f>
        <v>0</v>
      </c>
      <c r="H299">
        <f>澳门换算01!H298+澳门新定位结果!$P298</f>
        <v>0</v>
      </c>
      <c r="I299">
        <f>澳门换算01!I298+澳门新定位结果!$P298</f>
        <v>0</v>
      </c>
      <c r="J299" s="1">
        <f>澳门换算01!J298+澳门新定位结果!$P298</f>
        <v>0</v>
      </c>
      <c r="K299">
        <f>澳门换算01!K298+澳门新定位结果!$P298</f>
        <v>0</v>
      </c>
      <c r="L299">
        <f>澳门换算01!L298+澳门新定位结果!$P298</f>
        <v>0</v>
      </c>
      <c r="M299" s="1">
        <f>澳门换算01!M298+澳门新定位结果!$P298</f>
        <v>0</v>
      </c>
      <c r="N299">
        <f>澳门换算01!N298+澳门新定位结果!$P298</f>
        <v>0</v>
      </c>
      <c r="O299">
        <f>澳门换算01!O298+澳门新定位结果!$P298</f>
        <v>1</v>
      </c>
    </row>
    <row r="300" spans="1:15">
      <c r="A300" s="4" t="s">
        <v>617</v>
      </c>
      <c r="B300">
        <f>澳门换算01!B299+澳门新定位结果!$P299</f>
        <v>1</v>
      </c>
      <c r="C300">
        <f>澳门换算01!C299+澳门新定位结果!$P299</f>
        <v>2</v>
      </c>
      <c r="D300" s="1">
        <f>澳门换算01!D299+澳门新定位结果!$P299</f>
        <v>1</v>
      </c>
      <c r="E300">
        <f>澳门换算01!E299+澳门新定位结果!$P299</f>
        <v>1</v>
      </c>
      <c r="F300">
        <f>澳门换算01!F299+澳门新定位结果!$P299</f>
        <v>1</v>
      </c>
      <c r="G300">
        <f>澳门换算01!G299+澳门新定位结果!$P299</f>
        <v>1</v>
      </c>
      <c r="H300">
        <f>澳门换算01!H299+澳门新定位结果!$P299</f>
        <v>1</v>
      </c>
      <c r="I300">
        <f>澳门换算01!I299+澳门新定位结果!$P299</f>
        <v>2</v>
      </c>
      <c r="J300" s="1">
        <f>澳门换算01!J299+澳门新定位结果!$P299</f>
        <v>1</v>
      </c>
      <c r="K300">
        <f>澳门换算01!K299+澳门新定位结果!$P299</f>
        <v>2</v>
      </c>
      <c r="L300">
        <f>澳门换算01!L299+澳门新定位结果!$P299</f>
        <v>2</v>
      </c>
      <c r="M300" s="1">
        <f>澳门换算01!M299+澳门新定位结果!$P299</f>
        <v>1</v>
      </c>
      <c r="N300">
        <f>澳门换算01!N299+澳门新定位结果!$P299</f>
        <v>2</v>
      </c>
      <c r="O300">
        <f>澳门换算01!O299+澳门新定位结果!$P299</f>
        <v>2</v>
      </c>
    </row>
    <row r="301" spans="1:15">
      <c r="A301" s="4" t="s">
        <v>619</v>
      </c>
      <c r="B301">
        <f>澳门换算01!B300+澳门新定位结果!$P300</f>
        <v>2</v>
      </c>
      <c r="C301">
        <f>澳门换算01!C300+澳门新定位结果!$P300</f>
        <v>2</v>
      </c>
      <c r="D301" s="1">
        <f>澳门换算01!D300+澳门新定位结果!$P300</f>
        <v>1</v>
      </c>
      <c r="E301">
        <f>澳门换算01!E300+澳门新定位结果!$P300</f>
        <v>1</v>
      </c>
      <c r="F301">
        <f>澳门换算01!F300+澳门新定位结果!$P300</f>
        <v>1</v>
      </c>
      <c r="G301">
        <f>澳门换算01!G300+澳门新定位结果!$P300</f>
        <v>1</v>
      </c>
      <c r="H301">
        <f>澳门换算01!H300+澳门新定位结果!$P300</f>
        <v>1</v>
      </c>
      <c r="I301">
        <f>澳门换算01!I300+澳门新定位结果!$P300</f>
        <v>2</v>
      </c>
      <c r="J301" s="1">
        <f>澳门换算01!J300+澳门新定位结果!$P300</f>
        <v>1</v>
      </c>
      <c r="K301">
        <f>澳门换算01!K300+澳门新定位结果!$P300</f>
        <v>2</v>
      </c>
      <c r="L301">
        <f>澳门换算01!L300+澳门新定位结果!$P300</f>
        <v>2</v>
      </c>
      <c r="M301" s="1">
        <f>澳门换算01!M300+澳门新定位结果!$P300</f>
        <v>2</v>
      </c>
      <c r="N301">
        <f>澳门换算01!N300+澳门新定位结果!$P300</f>
        <v>2</v>
      </c>
      <c r="O301">
        <f>澳门换算01!O300+澳门新定位结果!$P300</f>
        <v>1</v>
      </c>
    </row>
    <row r="302" spans="1:15">
      <c r="A302" s="4" t="s">
        <v>621</v>
      </c>
      <c r="B302">
        <f>澳门换算01!B301+澳门新定位结果!$P301</f>
        <v>2</v>
      </c>
      <c r="C302">
        <f>澳门换算01!C301+澳门新定位结果!$P301</f>
        <v>2</v>
      </c>
      <c r="D302" s="1">
        <f>澳门换算01!D301+澳门新定位结果!$P301</f>
        <v>1</v>
      </c>
      <c r="E302">
        <f>澳门换算01!E301+澳门新定位结果!$P301</f>
        <v>1</v>
      </c>
      <c r="F302">
        <f>澳门换算01!F301+澳门新定位结果!$P301</f>
        <v>1</v>
      </c>
      <c r="G302">
        <f>澳门换算01!G301+澳门新定位结果!$P301</f>
        <v>2</v>
      </c>
      <c r="H302">
        <f>澳门换算01!H301+澳门新定位结果!$P301</f>
        <v>2</v>
      </c>
      <c r="I302">
        <f>澳门换算01!I301+澳门新定位结果!$P301</f>
        <v>2</v>
      </c>
      <c r="J302" s="1">
        <f>澳门换算01!J301+澳门新定位结果!$P301</f>
        <v>2</v>
      </c>
      <c r="K302">
        <f>澳门换算01!K301+澳门新定位结果!$P301</f>
        <v>2</v>
      </c>
      <c r="L302">
        <f>澳门换算01!L301+澳门新定位结果!$P301</f>
        <v>2</v>
      </c>
      <c r="M302" s="1">
        <f>澳门换算01!M301+澳门新定位结果!$P301</f>
        <v>2</v>
      </c>
      <c r="N302">
        <f>澳门换算01!N301+澳门新定位结果!$P301</f>
        <v>1</v>
      </c>
      <c r="O302">
        <f>澳门换算01!O301+澳门新定位结果!$P301</f>
        <v>1</v>
      </c>
    </row>
    <row r="303" spans="1:15">
      <c r="A303" s="4" t="s">
        <v>623</v>
      </c>
      <c r="B303">
        <f>澳门换算01!B302+澳门新定位结果!$P302</f>
        <v>1</v>
      </c>
      <c r="C303">
        <f>澳门换算01!C302+澳门新定位结果!$P302</f>
        <v>1</v>
      </c>
      <c r="D303" s="1">
        <f>澳门换算01!D302+澳门新定位结果!$P302</f>
        <v>0</v>
      </c>
      <c r="E303">
        <f>澳门换算01!E302+澳门新定位结果!$P302</f>
        <v>0</v>
      </c>
      <c r="F303">
        <f>澳门换算01!F302+澳门新定位结果!$P302</f>
        <v>1</v>
      </c>
      <c r="G303">
        <f>澳门换算01!G302+澳门新定位结果!$P302</f>
        <v>0</v>
      </c>
      <c r="H303">
        <f>澳门换算01!H302+澳门新定位结果!$P302</f>
        <v>0</v>
      </c>
      <c r="I303">
        <f>澳门换算01!I302+澳门新定位结果!$P302</f>
        <v>1</v>
      </c>
      <c r="J303" s="1">
        <f>澳门换算01!J302+澳门新定位结果!$P302</f>
        <v>1</v>
      </c>
      <c r="K303">
        <f>澳门换算01!K302+澳门新定位结果!$P302</f>
        <v>1</v>
      </c>
      <c r="L303">
        <f>澳门换算01!L302+澳门新定位结果!$P302</f>
        <v>1</v>
      </c>
      <c r="M303" s="1">
        <f>澳门换算01!M302+澳门新定位结果!$P302</f>
        <v>0</v>
      </c>
      <c r="N303">
        <f>澳门换算01!N302+澳门新定位结果!$P302</f>
        <v>0</v>
      </c>
      <c r="O303">
        <f>澳门换算01!O302+澳门新定位结果!$P302</f>
        <v>1</v>
      </c>
    </row>
    <row r="304" spans="1:15">
      <c r="A304" s="4" t="s">
        <v>625</v>
      </c>
      <c r="B304">
        <f>澳门换算01!B303+澳门新定位结果!$P303</f>
        <v>2</v>
      </c>
      <c r="C304">
        <f>澳门换算01!C303+澳门新定位结果!$P303</f>
        <v>2</v>
      </c>
      <c r="D304" s="1">
        <f>澳门换算01!D303+澳门新定位结果!$P303</f>
        <v>1</v>
      </c>
      <c r="E304">
        <f>澳门换算01!E303+澳门新定位结果!$P303</f>
        <v>1</v>
      </c>
      <c r="F304">
        <f>澳门换算01!F303+澳门新定位结果!$P303</f>
        <v>1</v>
      </c>
      <c r="G304">
        <f>澳门换算01!G303+澳门新定位结果!$P303</f>
        <v>2</v>
      </c>
      <c r="H304">
        <f>澳门换算01!H303+澳门新定位结果!$P303</f>
        <v>2</v>
      </c>
      <c r="I304">
        <f>澳门换算01!I303+澳门新定位结果!$P303</f>
        <v>2</v>
      </c>
      <c r="J304" s="1">
        <f>澳门换算01!J303+澳门新定位结果!$P303</f>
        <v>2</v>
      </c>
      <c r="K304">
        <f>澳门换算01!K303+澳门新定位结果!$P303</f>
        <v>1</v>
      </c>
      <c r="L304">
        <f>澳门换算01!L303+澳门新定位结果!$P303</f>
        <v>2</v>
      </c>
      <c r="M304" s="1">
        <f>澳门换算01!M303+澳门新定位结果!$P303</f>
        <v>1</v>
      </c>
      <c r="N304">
        <f>澳门换算01!N303+澳门新定位结果!$P303</f>
        <v>2</v>
      </c>
      <c r="O304">
        <f>澳门换算01!O303+澳门新定位结果!$P303</f>
        <v>2</v>
      </c>
    </row>
    <row r="305" spans="1:15">
      <c r="A305" s="4" t="s">
        <v>627</v>
      </c>
      <c r="B305">
        <f>澳门换算01!B304+澳门新定位结果!$P304</f>
        <v>1</v>
      </c>
      <c r="C305">
        <f>澳门换算01!C304+澳门新定位结果!$P304</f>
        <v>1</v>
      </c>
      <c r="D305" s="1">
        <f>澳门换算01!D304+澳门新定位结果!$P304</f>
        <v>2</v>
      </c>
      <c r="E305">
        <f>澳门换算01!E304+澳门新定位结果!$P304</f>
        <v>2</v>
      </c>
      <c r="F305">
        <f>澳门换算01!F304+澳门新定位结果!$P304</f>
        <v>1</v>
      </c>
      <c r="G305">
        <f>澳门换算01!G304+澳门新定位结果!$P304</f>
        <v>1</v>
      </c>
      <c r="H305">
        <f>澳门换算01!H304+澳门新定位结果!$P304</f>
        <v>2</v>
      </c>
      <c r="I305">
        <f>澳门换算01!I304+澳门新定位结果!$P304</f>
        <v>2</v>
      </c>
      <c r="J305" s="1">
        <f>澳门换算01!J304+澳门新定位结果!$P304</f>
        <v>1</v>
      </c>
      <c r="K305">
        <f>澳门换算01!K304+澳门新定位结果!$P304</f>
        <v>1</v>
      </c>
      <c r="L305">
        <f>澳门换算01!L304+澳门新定位结果!$P304</f>
        <v>1</v>
      </c>
      <c r="M305" s="1">
        <f>澳门换算01!M304+澳门新定位结果!$P304</f>
        <v>1</v>
      </c>
      <c r="N305">
        <f>澳门换算01!N304+澳门新定位结果!$P304</f>
        <v>2</v>
      </c>
      <c r="O305">
        <f>澳门换算01!O304+澳门新定位结果!$P304</f>
        <v>1</v>
      </c>
    </row>
    <row r="306" spans="1:15">
      <c r="A306" s="4" t="s">
        <v>629</v>
      </c>
      <c r="B306">
        <f>澳门换算01!B305+澳门新定位结果!$P305</f>
        <v>1</v>
      </c>
      <c r="C306">
        <f>澳门换算01!C305+澳门新定位结果!$P305</f>
        <v>2</v>
      </c>
      <c r="D306" s="1">
        <f>澳门换算01!D305+澳门新定位结果!$P305</f>
        <v>1</v>
      </c>
      <c r="E306">
        <f>澳门换算01!E305+澳门新定位结果!$P305</f>
        <v>2</v>
      </c>
      <c r="F306">
        <f>澳门换算01!F305+澳门新定位结果!$P305</f>
        <v>2</v>
      </c>
      <c r="G306">
        <f>澳门换算01!G305+澳门新定位结果!$P305</f>
        <v>1</v>
      </c>
      <c r="H306">
        <f>澳门换算01!H305+澳门新定位结果!$P305</f>
        <v>1</v>
      </c>
      <c r="I306">
        <f>澳门换算01!I305+澳门新定位结果!$P305</f>
        <v>2</v>
      </c>
      <c r="J306" s="1">
        <f>澳门换算01!J305+澳门新定位结果!$P305</f>
        <v>1</v>
      </c>
      <c r="K306">
        <f>澳门换算01!K305+澳门新定位结果!$P305</f>
        <v>2</v>
      </c>
      <c r="L306">
        <f>澳门换算01!L305+澳门新定位结果!$P305</f>
        <v>1</v>
      </c>
      <c r="M306" s="1">
        <f>澳门换算01!M305+澳门新定位结果!$P305</f>
        <v>1</v>
      </c>
      <c r="N306">
        <f>澳门换算01!N305+澳门新定位结果!$P305</f>
        <v>1</v>
      </c>
      <c r="O306">
        <f>澳门换算01!O305+澳门新定位结果!$P305</f>
        <v>2</v>
      </c>
    </row>
    <row r="307" spans="1:15">
      <c r="A307" s="4" t="s">
        <v>631</v>
      </c>
      <c r="B307">
        <f>澳门换算01!B306+澳门新定位结果!$P306</f>
        <v>1</v>
      </c>
      <c r="C307">
        <f>澳门换算01!C306+澳门新定位结果!$P306</f>
        <v>1</v>
      </c>
      <c r="D307" s="1">
        <f>澳门换算01!D306+澳门新定位结果!$P306</f>
        <v>1</v>
      </c>
      <c r="E307">
        <f>澳门换算01!E306+澳门新定位结果!$P306</f>
        <v>1</v>
      </c>
      <c r="F307">
        <f>澳门换算01!F306+澳门新定位结果!$P306</f>
        <v>1</v>
      </c>
      <c r="G307">
        <f>澳门换算01!G306+澳门新定位结果!$P306</f>
        <v>1</v>
      </c>
      <c r="H307">
        <f>澳门换算01!H306+澳门新定位结果!$P306</f>
        <v>2</v>
      </c>
      <c r="I307">
        <f>澳门换算01!I306+澳门新定位结果!$P306</f>
        <v>1</v>
      </c>
      <c r="J307" s="1">
        <f>澳门换算01!J306+澳门新定位结果!$P306</f>
        <v>2</v>
      </c>
      <c r="K307">
        <f>澳门换算01!K306+澳门新定位结果!$P306</f>
        <v>1</v>
      </c>
      <c r="L307">
        <f>澳门换算01!L306+澳门新定位结果!$P306</f>
        <v>2</v>
      </c>
      <c r="M307" s="1">
        <f>澳门换算01!M306+澳门新定位结果!$P306</f>
        <v>2</v>
      </c>
      <c r="N307">
        <f>澳门换算01!N306+澳门新定位结果!$P306</f>
        <v>1</v>
      </c>
      <c r="O307">
        <f>澳门换算01!O306+澳门新定位结果!$P306</f>
        <v>1</v>
      </c>
    </row>
    <row r="308" spans="1:15">
      <c r="A308" s="4" t="s">
        <v>633</v>
      </c>
      <c r="B308">
        <f>澳门换算01!B307+澳门新定位结果!$P307</f>
        <v>1</v>
      </c>
      <c r="C308">
        <f>澳门换算01!C307+澳门新定位结果!$P307</f>
        <v>2</v>
      </c>
      <c r="D308" s="1">
        <f>澳门换算01!D307+澳门新定位结果!$P307</f>
        <v>1</v>
      </c>
      <c r="E308">
        <f>澳门换算01!E307+澳门新定位结果!$P307</f>
        <v>1</v>
      </c>
      <c r="F308">
        <f>澳门换算01!F307+澳门新定位结果!$P307</f>
        <v>2</v>
      </c>
      <c r="G308">
        <f>澳门换算01!G307+澳门新定位结果!$P307</f>
        <v>1</v>
      </c>
      <c r="H308">
        <f>澳门换算01!H307+澳门新定位结果!$P307</f>
        <v>2</v>
      </c>
      <c r="I308">
        <f>澳门换算01!I307+澳门新定位结果!$P307</f>
        <v>2</v>
      </c>
      <c r="J308" s="1">
        <f>澳门换算01!J307+澳门新定位结果!$P307</f>
        <v>2</v>
      </c>
      <c r="K308">
        <f>澳门换算01!K307+澳门新定位结果!$P307</f>
        <v>1</v>
      </c>
      <c r="L308">
        <f>澳门换算01!L307+澳门新定位结果!$P307</f>
        <v>2</v>
      </c>
      <c r="M308" s="1">
        <f>澳门换算01!M307+澳门新定位结果!$P307</f>
        <v>1</v>
      </c>
      <c r="N308">
        <f>澳门换算01!N307+澳门新定位结果!$P307</f>
        <v>1</v>
      </c>
      <c r="O308">
        <f>澳门换算01!O307+澳门新定位结果!$P307</f>
        <v>2</v>
      </c>
    </row>
    <row r="309" spans="1:15">
      <c r="A309" s="4" t="s">
        <v>635</v>
      </c>
      <c r="B309">
        <f>澳门换算01!B308+澳门新定位结果!$P308</f>
        <v>2</v>
      </c>
      <c r="C309">
        <f>澳门换算01!C308+澳门新定位结果!$P308</f>
        <v>2</v>
      </c>
      <c r="D309" s="1">
        <f>澳门换算01!D308+澳门新定位结果!$P308</f>
        <v>2</v>
      </c>
      <c r="E309">
        <f>澳门换算01!E308+澳门新定位结果!$P308</f>
        <v>2</v>
      </c>
      <c r="F309">
        <f>澳门换算01!F308+澳门新定位结果!$P308</f>
        <v>2</v>
      </c>
      <c r="G309">
        <f>澳门换算01!G308+澳门新定位结果!$P308</f>
        <v>1</v>
      </c>
      <c r="H309">
        <f>澳门换算01!H308+澳门新定位结果!$P308</f>
        <v>1</v>
      </c>
      <c r="I309">
        <f>澳门换算01!I308+澳门新定位结果!$P308</f>
        <v>2</v>
      </c>
      <c r="J309" s="1">
        <f>澳门换算01!J308+澳门新定位结果!$P308</f>
        <v>2</v>
      </c>
      <c r="K309">
        <f>澳门换算01!K308+澳门新定位结果!$P308</f>
        <v>2</v>
      </c>
      <c r="L309">
        <f>澳门换算01!L308+澳门新定位结果!$P308</f>
        <v>1</v>
      </c>
      <c r="M309" s="1">
        <f>澳门换算01!M308+澳门新定位结果!$P308</f>
        <v>2</v>
      </c>
      <c r="N309">
        <f>澳门换算01!N308+澳门新定位结果!$P308</f>
        <v>1</v>
      </c>
      <c r="O309">
        <f>澳门换算01!O308+澳门新定位结果!$P308</f>
        <v>2</v>
      </c>
    </row>
    <row r="310" spans="1:15">
      <c r="A310" s="4" t="s">
        <v>637</v>
      </c>
      <c r="B310">
        <f>澳门换算01!B309+澳门新定位结果!$P309</f>
        <v>2</v>
      </c>
      <c r="C310">
        <f>澳门换算01!C309+澳门新定位结果!$P309</f>
        <v>1</v>
      </c>
      <c r="D310" s="1">
        <f>澳门换算01!D309+澳门新定位结果!$P309</f>
        <v>1</v>
      </c>
      <c r="E310">
        <f>澳门换算01!E309+澳门新定位结果!$P309</f>
        <v>2</v>
      </c>
      <c r="F310">
        <f>澳门换算01!F309+澳门新定位结果!$P309</f>
        <v>2</v>
      </c>
      <c r="G310">
        <f>澳门换算01!G309+澳门新定位结果!$P309</f>
        <v>2</v>
      </c>
      <c r="H310">
        <f>澳门换算01!H309+澳门新定位结果!$P309</f>
        <v>2</v>
      </c>
      <c r="I310">
        <f>澳门换算01!I309+澳门新定位结果!$P309</f>
        <v>2</v>
      </c>
      <c r="J310" s="1">
        <f>澳门换算01!J309+澳门新定位结果!$P309</f>
        <v>1</v>
      </c>
      <c r="K310">
        <f>澳门换算01!K309+澳门新定位结果!$P309</f>
        <v>1</v>
      </c>
      <c r="L310">
        <f>澳门换算01!L309+澳门新定位结果!$P309</f>
        <v>1</v>
      </c>
      <c r="M310" s="1">
        <f>澳门换算01!M309+澳门新定位结果!$P309</f>
        <v>1</v>
      </c>
      <c r="N310">
        <f>澳门换算01!N309+澳门新定位结果!$P309</f>
        <v>1</v>
      </c>
      <c r="O310">
        <f>澳门换算01!O309+澳门新定位结果!$P309</f>
        <v>1</v>
      </c>
    </row>
    <row r="311" spans="1:15">
      <c r="A311" s="4" t="s">
        <v>639</v>
      </c>
      <c r="B311">
        <f>澳门换算01!B310+澳门新定位结果!$P310</f>
        <v>0</v>
      </c>
      <c r="C311">
        <f>澳门换算01!C310+澳门新定位结果!$P310</f>
        <v>0</v>
      </c>
      <c r="D311" s="1">
        <f>澳门换算01!D310+澳门新定位结果!$P310</f>
        <v>1</v>
      </c>
      <c r="E311">
        <f>澳门换算01!E310+澳门新定位结果!$P310</f>
        <v>0</v>
      </c>
      <c r="F311">
        <f>澳门换算01!F310+澳门新定位结果!$P310</f>
        <v>1</v>
      </c>
      <c r="G311">
        <f>澳门换算01!G310+澳门新定位结果!$P310</f>
        <v>0</v>
      </c>
      <c r="H311">
        <f>澳门换算01!H310+澳门新定位结果!$P310</f>
        <v>0</v>
      </c>
      <c r="I311">
        <f>澳门换算01!I310+澳门新定位结果!$P310</f>
        <v>1</v>
      </c>
      <c r="J311" s="1">
        <f>澳门换算01!J310+澳门新定位结果!$P310</f>
        <v>0</v>
      </c>
      <c r="K311">
        <f>澳门换算01!K310+澳门新定位结果!$P310</f>
        <v>0</v>
      </c>
      <c r="L311">
        <f>澳门换算01!L310+澳门新定位结果!$P310</f>
        <v>0</v>
      </c>
      <c r="M311" s="1">
        <f>澳门换算01!M310+澳门新定位结果!$P310</f>
        <v>1</v>
      </c>
      <c r="N311">
        <f>澳门换算01!N310+澳门新定位结果!$P310</f>
        <v>0</v>
      </c>
      <c r="O311">
        <f>澳门换算01!O310+澳门新定位结果!$P310</f>
        <v>1</v>
      </c>
    </row>
    <row r="312" spans="1:15">
      <c r="A312" s="4" t="s">
        <v>641</v>
      </c>
      <c r="B312">
        <f>澳门换算01!B311+澳门新定位结果!$P311</f>
        <v>2</v>
      </c>
      <c r="C312">
        <f>澳门换算01!C311+澳门新定位结果!$P311</f>
        <v>2</v>
      </c>
      <c r="D312" s="1">
        <f>澳门换算01!D311+澳门新定位结果!$P311</f>
        <v>2</v>
      </c>
      <c r="E312">
        <f>澳门换算01!E311+澳门新定位结果!$P311</f>
        <v>1</v>
      </c>
      <c r="F312">
        <f>澳门换算01!F311+澳门新定位结果!$P311</f>
        <v>1</v>
      </c>
      <c r="G312">
        <f>澳门换算01!G311+澳门新定位结果!$P311</f>
        <v>1</v>
      </c>
      <c r="H312">
        <f>澳门换算01!H311+澳门新定位结果!$P311</f>
        <v>2</v>
      </c>
      <c r="I312">
        <f>澳门换算01!I311+澳门新定位结果!$P311</f>
        <v>2</v>
      </c>
      <c r="J312" s="1">
        <f>澳门换算01!J311+澳门新定位结果!$P311</f>
        <v>2</v>
      </c>
      <c r="K312">
        <f>澳门换算01!K311+澳门新定位结果!$P311</f>
        <v>2</v>
      </c>
      <c r="L312">
        <f>澳门换算01!L311+澳门新定位结果!$P311</f>
        <v>2</v>
      </c>
      <c r="M312" s="1">
        <f>澳门换算01!M311+澳门新定位结果!$P311</f>
        <v>2</v>
      </c>
      <c r="N312">
        <f>澳门换算01!N311+澳门新定位结果!$P311</f>
        <v>2</v>
      </c>
      <c r="O312">
        <f>澳门换算01!O311+澳门新定位结果!$P311</f>
        <v>1</v>
      </c>
    </row>
    <row r="313" spans="1:15">
      <c r="A313" s="4" t="s">
        <v>643</v>
      </c>
      <c r="B313">
        <f>澳门换算01!B312+澳门新定位结果!$P312</f>
        <v>1</v>
      </c>
      <c r="C313">
        <f>澳门换算01!C312+澳门新定位结果!$P312</f>
        <v>1</v>
      </c>
      <c r="D313" s="1">
        <f>澳门换算01!D312+澳门新定位结果!$P312</f>
        <v>1</v>
      </c>
      <c r="E313">
        <f>澳门换算01!E312+澳门新定位结果!$P312</f>
        <v>1</v>
      </c>
      <c r="F313">
        <f>澳门换算01!F312+澳门新定位结果!$P312</f>
        <v>2</v>
      </c>
      <c r="G313">
        <f>澳门换算01!G312+澳门新定位结果!$P312</f>
        <v>1</v>
      </c>
      <c r="H313">
        <f>澳门换算01!H312+澳门新定位结果!$P312</f>
        <v>1</v>
      </c>
      <c r="I313">
        <f>澳门换算01!I312+澳门新定位结果!$P312</f>
        <v>1</v>
      </c>
      <c r="J313" s="1">
        <f>澳门换算01!J312+澳门新定位结果!$P312</f>
        <v>1</v>
      </c>
      <c r="K313">
        <f>澳门换算01!K312+澳门新定位结果!$P312</f>
        <v>1</v>
      </c>
      <c r="L313">
        <f>澳门换算01!L312+澳门新定位结果!$P312</f>
        <v>1</v>
      </c>
      <c r="M313" s="1">
        <f>澳门换算01!M312+澳门新定位结果!$P312</f>
        <v>1</v>
      </c>
      <c r="N313">
        <f>澳门换算01!N312+澳门新定位结果!$P312</f>
        <v>1</v>
      </c>
      <c r="O313">
        <f>澳门换算01!O312+澳门新定位结果!$P312</f>
        <v>2</v>
      </c>
    </row>
    <row r="314" spans="1:15">
      <c r="A314" s="4" t="s">
        <v>645</v>
      </c>
      <c r="B314">
        <f>澳门换算01!B313+澳门新定位结果!$P313</f>
        <v>1</v>
      </c>
      <c r="C314">
        <f>澳门换算01!C313+澳门新定位结果!$P313</f>
        <v>2</v>
      </c>
      <c r="D314" s="1">
        <f>澳门换算01!D313+澳门新定位结果!$P313</f>
        <v>2</v>
      </c>
      <c r="E314">
        <f>澳门换算01!E313+澳门新定位结果!$P313</f>
        <v>1</v>
      </c>
      <c r="F314">
        <f>澳门换算01!F313+澳门新定位结果!$P313</f>
        <v>1</v>
      </c>
      <c r="G314">
        <f>澳门换算01!G313+澳门新定位结果!$P313</f>
        <v>1</v>
      </c>
      <c r="H314">
        <f>澳门换算01!H313+澳门新定位结果!$P313</f>
        <v>2</v>
      </c>
      <c r="I314">
        <f>澳门换算01!I313+澳门新定位结果!$P313</f>
        <v>2</v>
      </c>
      <c r="J314" s="1">
        <f>澳门换算01!J313+澳门新定位结果!$P313</f>
        <v>1</v>
      </c>
      <c r="K314">
        <f>澳门换算01!K313+澳门新定位结果!$P313</f>
        <v>1</v>
      </c>
      <c r="L314">
        <f>澳门换算01!L313+澳门新定位结果!$P313</f>
        <v>1</v>
      </c>
      <c r="M314" s="1">
        <f>澳门换算01!M313+澳门新定位结果!$P313</f>
        <v>2</v>
      </c>
      <c r="N314">
        <f>澳门换算01!N313+澳门新定位结果!$P313</f>
        <v>2</v>
      </c>
      <c r="O314">
        <f>澳门换算01!O313+澳门新定位结果!$P313</f>
        <v>2</v>
      </c>
    </row>
    <row r="315" spans="1:15">
      <c r="A315" s="4" t="s">
        <v>647</v>
      </c>
      <c r="B315">
        <f>澳门换算01!B314+澳门新定位结果!$P314</f>
        <v>1</v>
      </c>
      <c r="C315">
        <f>澳门换算01!C314+澳门新定位结果!$P314</f>
        <v>2</v>
      </c>
      <c r="D315" s="1">
        <f>澳门换算01!D314+澳门新定位结果!$P314</f>
        <v>2</v>
      </c>
      <c r="E315">
        <f>澳门换算01!E314+澳门新定位结果!$P314</f>
        <v>2</v>
      </c>
      <c r="F315">
        <f>澳门换算01!F314+澳门新定位结果!$P314</f>
        <v>1</v>
      </c>
      <c r="G315">
        <f>澳门换算01!G314+澳门新定位结果!$P314</f>
        <v>2</v>
      </c>
      <c r="H315">
        <f>澳门换算01!H314+澳门新定位结果!$P314</f>
        <v>2</v>
      </c>
      <c r="I315">
        <f>澳门换算01!I314+澳门新定位结果!$P314</f>
        <v>2</v>
      </c>
      <c r="J315" s="1">
        <f>澳门换算01!J314+澳门新定位结果!$P314</f>
        <v>1</v>
      </c>
      <c r="K315">
        <f>澳门换算01!K314+澳门新定位结果!$P314</f>
        <v>1</v>
      </c>
      <c r="L315">
        <f>澳门换算01!L314+澳门新定位结果!$P314</f>
        <v>2</v>
      </c>
      <c r="M315" s="1">
        <f>澳门换算01!M314+澳门新定位结果!$P314</f>
        <v>1</v>
      </c>
      <c r="N315">
        <f>澳门换算01!N314+澳门新定位结果!$P314</f>
        <v>1</v>
      </c>
      <c r="O315">
        <f>澳门换算01!O314+澳门新定位结果!$P314</f>
        <v>1</v>
      </c>
    </row>
    <row r="316" spans="1:15">
      <c r="A316" s="4" t="s">
        <v>649</v>
      </c>
      <c r="B316">
        <f>澳门换算01!B315+澳门新定位结果!$P315</f>
        <v>1</v>
      </c>
      <c r="C316">
        <f>澳门换算01!C315+澳门新定位结果!$P315</f>
        <v>0</v>
      </c>
      <c r="D316" s="1">
        <f>澳门换算01!D315+澳门新定位结果!$P315</f>
        <v>0</v>
      </c>
      <c r="E316">
        <f>澳门换算01!E315+澳门新定位结果!$P315</f>
        <v>0</v>
      </c>
      <c r="F316">
        <f>澳门换算01!F315+澳门新定位结果!$P315</f>
        <v>0</v>
      </c>
      <c r="G316">
        <f>澳门换算01!G315+澳门新定位结果!$P315</f>
        <v>0</v>
      </c>
      <c r="H316">
        <f>澳门换算01!H315+澳门新定位结果!$P315</f>
        <v>0</v>
      </c>
      <c r="I316">
        <f>澳门换算01!I315+澳门新定位结果!$P315</f>
        <v>0</v>
      </c>
      <c r="J316" s="1">
        <f>澳门换算01!J315+澳门新定位结果!$P315</f>
        <v>0</v>
      </c>
      <c r="K316">
        <f>澳门换算01!K315+澳门新定位结果!$P315</f>
        <v>1</v>
      </c>
      <c r="L316">
        <f>澳门换算01!L315+澳门新定位结果!$P315</f>
        <v>1</v>
      </c>
      <c r="M316" s="1">
        <f>澳门换算01!M315+澳门新定位结果!$P315</f>
        <v>0</v>
      </c>
      <c r="N316">
        <f>澳门换算01!N315+澳门新定位结果!$P315</f>
        <v>1</v>
      </c>
      <c r="O316">
        <f>澳门换算01!O315+澳门新定位结果!$P315</f>
        <v>1</v>
      </c>
    </row>
    <row r="317" spans="1:15">
      <c r="A317" s="4" t="s">
        <v>651</v>
      </c>
      <c r="B317">
        <f>澳门换算01!B316+澳门新定位结果!$P316</f>
        <v>0</v>
      </c>
      <c r="C317">
        <f>澳门换算01!C316+澳门新定位结果!$P316</f>
        <v>1</v>
      </c>
      <c r="D317" s="1">
        <f>澳门换算01!D316+澳门新定位结果!$P316</f>
        <v>0</v>
      </c>
      <c r="E317">
        <f>澳门换算01!E316+澳门新定位结果!$P316</f>
        <v>1</v>
      </c>
      <c r="F317">
        <f>澳门换算01!F316+澳门新定位结果!$P316</f>
        <v>0</v>
      </c>
      <c r="G317">
        <f>澳门换算01!G316+澳门新定位结果!$P316</f>
        <v>0</v>
      </c>
      <c r="H317">
        <f>澳门换算01!H316+澳门新定位结果!$P316</f>
        <v>1</v>
      </c>
      <c r="I317">
        <f>澳门换算01!I316+澳门新定位结果!$P316</f>
        <v>1</v>
      </c>
      <c r="J317" s="1">
        <f>澳门换算01!J316+澳门新定位结果!$P316</f>
        <v>0</v>
      </c>
      <c r="K317">
        <f>澳门换算01!K316+澳门新定位结果!$P316</f>
        <v>1</v>
      </c>
      <c r="L317">
        <f>澳门换算01!L316+澳门新定位结果!$P316</f>
        <v>1</v>
      </c>
      <c r="M317" s="1">
        <f>澳门换算01!M316+澳门新定位结果!$P316</f>
        <v>0</v>
      </c>
      <c r="N317">
        <f>澳门换算01!N316+澳门新定位结果!$P316</f>
        <v>0</v>
      </c>
      <c r="O317">
        <f>澳门换算01!O316+澳门新定位结果!$P316</f>
        <v>0</v>
      </c>
    </row>
    <row r="318" spans="1:15">
      <c r="A318" s="4" t="s">
        <v>653</v>
      </c>
      <c r="B318">
        <f>澳门换算01!B317+澳门新定位结果!$P317</f>
        <v>1</v>
      </c>
      <c r="C318">
        <f>澳门换算01!C317+澳门新定位结果!$P317</f>
        <v>1</v>
      </c>
      <c r="D318" s="1">
        <f>澳门换算01!D317+澳门新定位结果!$P317</f>
        <v>1</v>
      </c>
      <c r="E318">
        <f>澳门换算01!E317+澳门新定位结果!$P317</f>
        <v>2</v>
      </c>
      <c r="F318">
        <f>澳门换算01!F317+澳门新定位结果!$P317</f>
        <v>1</v>
      </c>
      <c r="G318">
        <f>澳门换算01!G317+澳门新定位结果!$P317</f>
        <v>1</v>
      </c>
      <c r="H318">
        <f>澳门换算01!H317+澳门新定位结果!$P317</f>
        <v>1</v>
      </c>
      <c r="I318">
        <f>澳门换算01!I317+澳门新定位结果!$P317</f>
        <v>1</v>
      </c>
      <c r="J318" s="1">
        <f>澳门换算01!J317+澳门新定位结果!$P317</f>
        <v>2</v>
      </c>
      <c r="K318">
        <f>澳门换算01!K317+澳门新定位结果!$P317</f>
        <v>1</v>
      </c>
      <c r="L318">
        <f>澳门换算01!L317+澳门新定位结果!$P317</f>
        <v>2</v>
      </c>
      <c r="M318" s="1">
        <f>澳门换算01!M317+澳门新定位结果!$P317</f>
        <v>1</v>
      </c>
      <c r="N318">
        <f>澳门换算01!N317+澳门新定位结果!$P317</f>
        <v>1</v>
      </c>
      <c r="O318">
        <f>澳门换算01!O317+澳门新定位结果!$P317</f>
        <v>2</v>
      </c>
    </row>
    <row r="319" spans="1:15">
      <c r="A319" s="4" t="s">
        <v>655</v>
      </c>
      <c r="B319">
        <f>澳门换算01!B318+澳门新定位结果!$P318</f>
        <v>1</v>
      </c>
      <c r="C319">
        <f>澳门换算01!C318+澳门新定位结果!$P318</f>
        <v>1</v>
      </c>
      <c r="D319" s="1">
        <f>澳门换算01!D318+澳门新定位结果!$P318</f>
        <v>0</v>
      </c>
      <c r="E319">
        <f>澳门换算01!E318+澳门新定位结果!$P318</f>
        <v>1</v>
      </c>
      <c r="F319">
        <f>澳门换算01!F318+澳门新定位结果!$P318</f>
        <v>0</v>
      </c>
      <c r="G319">
        <f>澳门换算01!G318+澳门新定位结果!$P318</f>
        <v>0</v>
      </c>
      <c r="H319">
        <f>澳门换算01!H318+澳门新定位结果!$P318</f>
        <v>0</v>
      </c>
      <c r="I319">
        <f>澳门换算01!I318+澳门新定位结果!$P318</f>
        <v>1</v>
      </c>
      <c r="J319" s="1">
        <f>澳门换算01!J318+澳门新定位结果!$P318</f>
        <v>1</v>
      </c>
      <c r="K319">
        <f>澳门换算01!K318+澳门新定位结果!$P318</f>
        <v>1</v>
      </c>
      <c r="L319">
        <f>澳门换算01!L318+澳门新定位结果!$P318</f>
        <v>0</v>
      </c>
      <c r="M319" s="1">
        <f>澳门换算01!M318+澳门新定位结果!$P318</f>
        <v>1</v>
      </c>
      <c r="N319">
        <f>澳门换算01!N318+澳门新定位结果!$P318</f>
        <v>0</v>
      </c>
      <c r="O319">
        <f>澳门换算01!O318+澳门新定位结果!$P318</f>
        <v>1</v>
      </c>
    </row>
    <row r="320" spans="1:15">
      <c r="A320" s="4" t="s">
        <v>657</v>
      </c>
      <c r="B320">
        <f>澳门换算01!B319+澳门新定位结果!$P319</f>
        <v>1</v>
      </c>
      <c r="C320">
        <f>澳门换算01!C319+澳门新定位结果!$P319</f>
        <v>2</v>
      </c>
      <c r="D320" s="1">
        <f>澳门换算01!D319+澳门新定位结果!$P319</f>
        <v>1</v>
      </c>
      <c r="E320">
        <f>澳门换算01!E319+澳门新定位结果!$P319</f>
        <v>2</v>
      </c>
      <c r="F320">
        <f>澳门换算01!F319+澳门新定位结果!$P319</f>
        <v>1</v>
      </c>
      <c r="G320">
        <f>澳门换算01!G319+澳门新定位结果!$P319</f>
        <v>1</v>
      </c>
      <c r="H320">
        <f>澳门换算01!H319+澳门新定位结果!$P319</f>
        <v>2</v>
      </c>
      <c r="I320">
        <f>澳门换算01!I319+澳门新定位结果!$P319</f>
        <v>2</v>
      </c>
      <c r="J320" s="1">
        <f>澳门换算01!J319+澳门新定位结果!$P319</f>
        <v>1</v>
      </c>
      <c r="K320">
        <f>澳门换算01!K319+澳门新定位结果!$P319</f>
        <v>2</v>
      </c>
      <c r="L320">
        <f>澳门换算01!L319+澳门新定位结果!$P319</f>
        <v>2</v>
      </c>
      <c r="M320" s="1">
        <f>澳门换算01!M319+澳门新定位结果!$P319</f>
        <v>2</v>
      </c>
      <c r="N320">
        <f>澳门换算01!N319+澳门新定位结果!$P319</f>
        <v>1</v>
      </c>
      <c r="O320">
        <f>澳门换算01!O319+澳门新定位结果!$P319</f>
        <v>2</v>
      </c>
    </row>
    <row r="321" spans="1:15">
      <c r="A321" s="4" t="s">
        <v>659</v>
      </c>
      <c r="B321">
        <f>澳门换算01!B320+澳门新定位结果!$P320</f>
        <v>1</v>
      </c>
      <c r="C321">
        <f>澳门换算01!C320+澳门新定位结果!$P320</f>
        <v>1</v>
      </c>
      <c r="D321" s="1">
        <f>澳门换算01!D320+澳门新定位结果!$P320</f>
        <v>1</v>
      </c>
      <c r="E321">
        <f>澳门换算01!E320+澳门新定位结果!$P320</f>
        <v>1</v>
      </c>
      <c r="F321">
        <f>澳门换算01!F320+澳门新定位结果!$P320</f>
        <v>1</v>
      </c>
      <c r="G321">
        <f>澳门换算01!G320+澳门新定位结果!$P320</f>
        <v>1</v>
      </c>
      <c r="H321">
        <f>澳门换算01!H320+澳门新定位结果!$P320</f>
        <v>0</v>
      </c>
      <c r="I321">
        <f>澳门换算01!I320+澳门新定位结果!$P320</f>
        <v>0</v>
      </c>
      <c r="J321" s="1">
        <f>澳门换算01!J320+澳门新定位结果!$P320</f>
        <v>0</v>
      </c>
      <c r="K321">
        <f>澳门换算01!K320+澳门新定位结果!$P320</f>
        <v>1</v>
      </c>
      <c r="L321">
        <f>澳门换算01!L320+澳门新定位结果!$P320</f>
        <v>1</v>
      </c>
      <c r="M321" s="1">
        <f>澳门换算01!M320+澳门新定位结果!$P320</f>
        <v>1</v>
      </c>
      <c r="N321">
        <f>澳门换算01!N320+澳门新定位结果!$P320</f>
        <v>1</v>
      </c>
      <c r="O321">
        <f>澳门换算01!O320+澳门新定位结果!$P320</f>
        <v>1</v>
      </c>
    </row>
    <row r="322" spans="1:15">
      <c r="A322" s="4" t="s">
        <v>661</v>
      </c>
      <c r="B322">
        <f>澳门换算01!B321+澳门新定位结果!$P321</f>
        <v>1</v>
      </c>
      <c r="C322">
        <f>澳门换算01!C321+澳门新定位结果!$P321</f>
        <v>1</v>
      </c>
      <c r="D322" s="1">
        <f>澳门换算01!D321+澳门新定位结果!$P321</f>
        <v>1</v>
      </c>
      <c r="E322">
        <f>澳门换算01!E321+澳门新定位结果!$P321</f>
        <v>1</v>
      </c>
      <c r="F322">
        <f>澳门换算01!F321+澳门新定位结果!$P321</f>
        <v>1</v>
      </c>
      <c r="G322">
        <f>澳门换算01!G321+澳门新定位结果!$P321</f>
        <v>1</v>
      </c>
      <c r="H322">
        <f>澳门换算01!H321+澳门新定位结果!$P321</f>
        <v>2</v>
      </c>
      <c r="I322">
        <f>澳门换算01!I321+澳门新定位结果!$P321</f>
        <v>2</v>
      </c>
      <c r="J322" s="1">
        <f>澳门换算01!J321+澳门新定位结果!$P321</f>
        <v>1</v>
      </c>
      <c r="K322">
        <f>澳门换算01!K321+澳门新定位结果!$P321</f>
        <v>2</v>
      </c>
      <c r="L322">
        <f>澳门换算01!L321+澳门新定位结果!$P321</f>
        <v>1</v>
      </c>
      <c r="M322" s="1">
        <f>澳门换算01!M321+澳门新定位结果!$P321</f>
        <v>1</v>
      </c>
      <c r="N322">
        <f>澳门换算01!N321+澳门新定位结果!$P321</f>
        <v>1</v>
      </c>
      <c r="O322">
        <f>澳门换算01!O321+澳门新定位结果!$P321</f>
        <v>1</v>
      </c>
    </row>
    <row r="323" spans="1:15">
      <c r="A323" s="4" t="s">
        <v>663</v>
      </c>
      <c r="B323">
        <f>澳门换算01!B322+澳门新定位结果!$P322</f>
        <v>2</v>
      </c>
      <c r="C323">
        <f>澳门换算01!C322+澳门新定位结果!$P322</f>
        <v>1</v>
      </c>
      <c r="D323" s="1">
        <f>澳门换算01!D322+澳门新定位结果!$P322</f>
        <v>1</v>
      </c>
      <c r="E323">
        <f>澳门换算01!E322+澳门新定位结果!$P322</f>
        <v>1</v>
      </c>
      <c r="F323">
        <f>澳门换算01!F322+澳门新定位结果!$P322</f>
        <v>2</v>
      </c>
      <c r="G323">
        <f>澳门换算01!G322+澳门新定位结果!$P322</f>
        <v>2</v>
      </c>
      <c r="H323">
        <f>澳门换算01!H322+澳门新定位结果!$P322</f>
        <v>1</v>
      </c>
      <c r="I323">
        <f>澳门换算01!I322+澳门新定位结果!$P322</f>
        <v>1</v>
      </c>
      <c r="J323" s="1">
        <f>澳门换算01!J322+澳门新定位结果!$P322</f>
        <v>2</v>
      </c>
      <c r="K323">
        <f>澳门换算01!K322+澳门新定位结果!$P322</f>
        <v>1</v>
      </c>
      <c r="L323">
        <f>澳门换算01!L322+澳门新定位结果!$P322</f>
        <v>1</v>
      </c>
      <c r="M323" s="1">
        <f>澳门换算01!M322+澳门新定位结果!$P322</f>
        <v>1</v>
      </c>
      <c r="N323">
        <f>澳门换算01!N322+澳门新定位结果!$P322</f>
        <v>1</v>
      </c>
      <c r="O323">
        <f>澳门换算01!O322+澳门新定位结果!$P322</f>
        <v>2</v>
      </c>
    </row>
    <row r="324" spans="1:15">
      <c r="A324" s="4" t="s">
        <v>665</v>
      </c>
      <c r="B324">
        <f>澳门换算01!B323+澳门新定位结果!$P323</f>
        <v>1</v>
      </c>
      <c r="C324">
        <f>澳门换算01!C323+澳门新定位结果!$P323</f>
        <v>1</v>
      </c>
      <c r="D324" s="1">
        <f>澳门换算01!D323+澳门新定位结果!$P323</f>
        <v>2</v>
      </c>
      <c r="E324">
        <f>澳门换算01!E323+澳门新定位结果!$P323</f>
        <v>2</v>
      </c>
      <c r="F324">
        <f>澳门换算01!F323+澳门新定位结果!$P323</f>
        <v>2</v>
      </c>
      <c r="G324">
        <f>澳门换算01!G323+澳门新定位结果!$P323</f>
        <v>1</v>
      </c>
      <c r="H324">
        <f>澳门换算01!H323+澳门新定位结果!$P323</f>
        <v>1</v>
      </c>
      <c r="I324">
        <f>澳门换算01!I323+澳门新定位结果!$P323</f>
        <v>2</v>
      </c>
      <c r="J324" s="1">
        <f>澳门换算01!J323+澳门新定位结果!$P323</f>
        <v>2</v>
      </c>
      <c r="K324">
        <f>澳门换算01!K323+澳门新定位结果!$P323</f>
        <v>2</v>
      </c>
      <c r="L324">
        <f>澳门换算01!L323+澳门新定位结果!$P323</f>
        <v>1</v>
      </c>
      <c r="M324" s="1">
        <f>澳门换算01!M323+澳门新定位结果!$P323</f>
        <v>2</v>
      </c>
      <c r="N324">
        <f>澳门换算01!N323+澳门新定位结果!$P323</f>
        <v>2</v>
      </c>
      <c r="O324">
        <f>澳门换算01!O323+澳门新定位结果!$P323</f>
        <v>2</v>
      </c>
    </row>
    <row r="325" spans="1:15">
      <c r="A325" s="4" t="s">
        <v>667</v>
      </c>
      <c r="B325">
        <f>澳门换算01!B324+澳门新定位结果!$P324</f>
        <v>0</v>
      </c>
      <c r="C325">
        <f>澳门换算01!C324+澳门新定位结果!$P324</f>
        <v>0</v>
      </c>
      <c r="D325" s="1">
        <f>澳门换算01!D324+澳门新定位结果!$P324</f>
        <v>0</v>
      </c>
      <c r="E325">
        <f>澳门换算01!E324+澳门新定位结果!$P324</f>
        <v>0</v>
      </c>
      <c r="F325">
        <f>澳门换算01!F324+澳门新定位结果!$P324</f>
        <v>0</v>
      </c>
      <c r="G325">
        <f>澳门换算01!G324+澳门新定位结果!$P324</f>
        <v>0</v>
      </c>
      <c r="H325">
        <f>澳门换算01!H324+澳门新定位结果!$P324</f>
        <v>1</v>
      </c>
      <c r="I325">
        <f>澳门换算01!I324+澳门新定位结果!$P324</f>
        <v>0</v>
      </c>
      <c r="J325" s="1">
        <f>澳门换算01!J324+澳门新定位结果!$P324</f>
        <v>0</v>
      </c>
      <c r="K325">
        <f>澳门换算01!K324+澳门新定位结果!$P324</f>
        <v>1</v>
      </c>
      <c r="L325">
        <f>澳门换算01!L324+澳门新定位结果!$P324</f>
        <v>1</v>
      </c>
      <c r="M325" s="1">
        <f>澳门换算01!M324+澳门新定位结果!$P324</f>
        <v>0</v>
      </c>
      <c r="N325">
        <f>澳门换算01!N324+澳门新定位结果!$P324</f>
        <v>0</v>
      </c>
      <c r="O325">
        <f>澳门换算01!O324+澳门新定位结果!$P324</f>
        <v>1</v>
      </c>
    </row>
    <row r="326" spans="1:15">
      <c r="A326" s="4" t="s">
        <v>669</v>
      </c>
      <c r="B326">
        <f>澳门换算01!B325+澳门新定位结果!$P325</f>
        <v>1</v>
      </c>
      <c r="C326">
        <f>澳门换算01!C325+澳门新定位结果!$P325</f>
        <v>1</v>
      </c>
      <c r="D326" s="1">
        <f>澳门换算01!D325+澳门新定位结果!$P325</f>
        <v>0</v>
      </c>
      <c r="E326">
        <f>澳门换算01!E325+澳门新定位结果!$P325</f>
        <v>1</v>
      </c>
      <c r="F326">
        <f>澳门换算01!F325+澳门新定位结果!$P325</f>
        <v>1</v>
      </c>
      <c r="G326">
        <f>澳门换算01!G325+澳门新定位结果!$P325</f>
        <v>1</v>
      </c>
      <c r="H326">
        <f>澳门换算01!H325+澳门新定位结果!$P325</f>
        <v>0</v>
      </c>
      <c r="I326">
        <f>澳门换算01!I325+澳门新定位结果!$P325</f>
        <v>1</v>
      </c>
      <c r="J326" s="1">
        <f>澳门换算01!J325+澳门新定位结果!$P325</f>
        <v>1</v>
      </c>
      <c r="K326">
        <f>澳门换算01!K325+澳门新定位结果!$P325</f>
        <v>1</v>
      </c>
      <c r="L326">
        <f>澳门换算01!L325+澳门新定位结果!$P325</f>
        <v>1</v>
      </c>
      <c r="M326" s="1">
        <f>澳门换算01!M325+澳门新定位结果!$P325</f>
        <v>1</v>
      </c>
      <c r="N326">
        <f>澳门换算01!N325+澳门新定位结果!$P325</f>
        <v>1</v>
      </c>
      <c r="O326">
        <f>澳门换算01!O325+澳门新定位结果!$P325</f>
        <v>1</v>
      </c>
    </row>
    <row r="327" spans="1:15">
      <c r="A327" s="4" t="s">
        <v>671</v>
      </c>
      <c r="B327">
        <f>澳门换算01!B326+澳门新定位结果!$P326</f>
        <v>2</v>
      </c>
      <c r="C327">
        <f>澳门换算01!C326+澳门新定位结果!$P326</f>
        <v>2</v>
      </c>
      <c r="D327" s="1">
        <f>澳门换算01!D326+澳门新定位结果!$P326</f>
        <v>2</v>
      </c>
      <c r="E327">
        <f>澳门换算01!E326+澳门新定位结果!$P326</f>
        <v>2</v>
      </c>
      <c r="F327">
        <f>澳门换算01!F326+澳门新定位结果!$P326</f>
        <v>1</v>
      </c>
      <c r="G327">
        <f>澳门换算01!G326+澳门新定位结果!$P326</f>
        <v>1</v>
      </c>
      <c r="H327">
        <f>澳门换算01!H326+澳门新定位结果!$P326</f>
        <v>1</v>
      </c>
      <c r="I327">
        <f>澳门换算01!I326+澳门新定位结果!$P326</f>
        <v>1</v>
      </c>
      <c r="J327" s="1">
        <f>澳门换算01!J326+澳门新定位结果!$P326</f>
        <v>1</v>
      </c>
      <c r="K327">
        <f>澳门换算01!K326+澳门新定位结果!$P326</f>
        <v>2</v>
      </c>
      <c r="L327">
        <f>澳门换算01!L326+澳门新定位结果!$P326</f>
        <v>1</v>
      </c>
      <c r="M327" s="1">
        <f>澳门换算01!M326+澳门新定位结果!$P326</f>
        <v>1</v>
      </c>
      <c r="N327">
        <f>澳门换算01!N326+澳门新定位结果!$P326</f>
        <v>1</v>
      </c>
      <c r="O327">
        <f>澳门换算01!O326+澳门新定位结果!$P326</f>
        <v>1</v>
      </c>
    </row>
    <row r="328" spans="1:15">
      <c r="A328" s="4" t="s">
        <v>673</v>
      </c>
      <c r="B328">
        <f>澳门换算01!B327+澳门新定位结果!$P327</f>
        <v>1</v>
      </c>
      <c r="C328">
        <f>澳门换算01!C327+澳门新定位结果!$P327</f>
        <v>0</v>
      </c>
      <c r="D328" s="1">
        <f>澳门换算01!D327+澳门新定位结果!$P327</f>
        <v>0</v>
      </c>
      <c r="E328">
        <f>澳门换算01!E327+澳门新定位结果!$P327</f>
        <v>0</v>
      </c>
      <c r="F328">
        <f>澳门换算01!F327+澳门新定位结果!$P327</f>
        <v>1</v>
      </c>
      <c r="G328">
        <f>澳门换算01!G327+澳门新定位结果!$P327</f>
        <v>0</v>
      </c>
      <c r="H328">
        <f>澳门换算01!H327+澳门新定位结果!$P327</f>
        <v>1</v>
      </c>
      <c r="I328">
        <f>澳门换算01!I327+澳门新定位结果!$P327</f>
        <v>1</v>
      </c>
      <c r="J328" s="1">
        <f>澳门换算01!J327+澳门新定位结果!$P327</f>
        <v>0</v>
      </c>
      <c r="K328">
        <f>澳门换算01!K327+澳门新定位结果!$P327</f>
        <v>0</v>
      </c>
      <c r="L328">
        <f>澳门换算01!L327+澳门新定位结果!$P327</f>
        <v>1</v>
      </c>
      <c r="M328" s="1">
        <f>澳门换算01!M327+澳门新定位结果!$P327</f>
        <v>0</v>
      </c>
      <c r="N328">
        <f>澳门换算01!N327+澳门新定位结果!$P327</f>
        <v>0</v>
      </c>
      <c r="O328">
        <f>澳门换算01!O327+澳门新定位结果!$P327</f>
        <v>1</v>
      </c>
    </row>
    <row r="329" spans="1:15">
      <c r="A329" s="4" t="s">
        <v>675</v>
      </c>
      <c r="B329">
        <f>澳门换算01!B328+澳门新定位结果!$P328</f>
        <v>1</v>
      </c>
      <c r="C329">
        <f>澳门换算01!C328+澳门新定位结果!$P328</f>
        <v>1</v>
      </c>
      <c r="D329" s="1">
        <f>澳门换算01!D328+澳门新定位结果!$P328</f>
        <v>2</v>
      </c>
      <c r="E329">
        <f>澳门换算01!E328+澳门新定位结果!$P328</f>
        <v>2</v>
      </c>
      <c r="F329">
        <f>澳门换算01!F328+澳门新定位结果!$P328</f>
        <v>2</v>
      </c>
      <c r="G329">
        <f>澳门换算01!G328+澳门新定位结果!$P328</f>
        <v>2</v>
      </c>
      <c r="H329">
        <f>澳门换算01!H328+澳门新定位结果!$P328</f>
        <v>2</v>
      </c>
      <c r="I329">
        <f>澳门换算01!I328+澳门新定位结果!$P328</f>
        <v>2</v>
      </c>
      <c r="J329" s="1">
        <f>澳门换算01!J328+澳门新定位结果!$P328</f>
        <v>1</v>
      </c>
      <c r="K329">
        <f>澳门换算01!K328+澳门新定位结果!$P328</f>
        <v>1</v>
      </c>
      <c r="L329">
        <f>澳门换算01!L328+澳门新定位结果!$P328</f>
        <v>1</v>
      </c>
      <c r="M329" s="1">
        <f>澳门换算01!M328+澳门新定位结果!$P328</f>
        <v>1</v>
      </c>
      <c r="N329">
        <f>澳门换算01!N328+澳门新定位结果!$P328</f>
        <v>1</v>
      </c>
      <c r="O329">
        <f>澳门换算01!O328+澳门新定位结果!$P328</f>
        <v>1</v>
      </c>
    </row>
    <row r="330" spans="1:15">
      <c r="A330" s="4" t="s">
        <v>677</v>
      </c>
      <c r="B330">
        <f>澳门换算01!B329+澳门新定位结果!$P329</f>
        <v>0</v>
      </c>
      <c r="C330">
        <f>澳门换算01!C329+澳门新定位结果!$P329</f>
        <v>1</v>
      </c>
      <c r="D330" s="1">
        <f>澳门换算01!D329+澳门新定位结果!$P329</f>
        <v>0</v>
      </c>
      <c r="E330">
        <f>澳门换算01!E329+澳门新定位结果!$P329</f>
        <v>0</v>
      </c>
      <c r="F330">
        <f>澳门换算01!F329+澳门新定位结果!$P329</f>
        <v>0</v>
      </c>
      <c r="G330">
        <f>澳门换算01!G329+澳门新定位结果!$P329</f>
        <v>0</v>
      </c>
      <c r="H330">
        <f>澳门换算01!H329+澳门新定位结果!$P329</f>
        <v>0</v>
      </c>
      <c r="I330">
        <f>澳门换算01!I329+澳门新定位结果!$P329</f>
        <v>1</v>
      </c>
      <c r="J330" s="1">
        <f>澳门换算01!J329+澳门新定位结果!$P329</f>
        <v>0</v>
      </c>
      <c r="K330">
        <f>澳门换算01!K329+澳门新定位结果!$P329</f>
        <v>1</v>
      </c>
      <c r="L330">
        <f>澳门换算01!L329+澳门新定位结果!$P329</f>
        <v>1</v>
      </c>
      <c r="M330" s="1">
        <f>澳门换算01!M329+澳门新定位结果!$P329</f>
        <v>0</v>
      </c>
      <c r="N330">
        <f>澳门换算01!N329+澳门新定位结果!$P329</f>
        <v>0</v>
      </c>
      <c r="O330">
        <f>澳门换算01!O329+澳门新定位结果!$P329</f>
        <v>1</v>
      </c>
    </row>
    <row r="331" spans="1:15">
      <c r="A331" s="4" t="s">
        <v>679</v>
      </c>
      <c r="B331">
        <f>澳门换算01!B330+澳门新定位结果!$P330</f>
        <v>2</v>
      </c>
      <c r="C331">
        <f>澳门换算01!C330+澳门新定位结果!$P330</f>
        <v>2</v>
      </c>
      <c r="D331" s="1">
        <f>澳门换算01!D330+澳门新定位结果!$P330</f>
        <v>1</v>
      </c>
      <c r="E331">
        <f>澳门换算01!E330+澳门新定位结果!$P330</f>
        <v>1</v>
      </c>
      <c r="F331">
        <f>澳门换算01!F330+澳门新定位结果!$P330</f>
        <v>1</v>
      </c>
      <c r="G331">
        <f>澳门换算01!G330+澳门新定位结果!$P330</f>
        <v>2</v>
      </c>
      <c r="H331">
        <f>澳门换算01!H330+澳门新定位结果!$P330</f>
        <v>1</v>
      </c>
      <c r="I331">
        <f>澳门换算01!I330+澳门新定位结果!$P330</f>
        <v>2</v>
      </c>
      <c r="J331" s="1">
        <f>澳门换算01!J330+澳门新定位结果!$P330</f>
        <v>1</v>
      </c>
      <c r="K331">
        <f>澳门换算01!K330+澳门新定位结果!$P330</f>
        <v>2</v>
      </c>
      <c r="L331">
        <f>澳门换算01!L330+澳门新定位结果!$P330</f>
        <v>2</v>
      </c>
      <c r="M331" s="1">
        <f>澳门换算01!M330+澳门新定位结果!$P330</f>
        <v>1</v>
      </c>
      <c r="N331">
        <f>澳门换算01!N330+澳门新定位结果!$P330</f>
        <v>2</v>
      </c>
      <c r="O331">
        <f>澳门换算01!O330+澳门新定位结果!$P330</f>
        <v>2</v>
      </c>
    </row>
    <row r="332" spans="1:15">
      <c r="A332" s="4" t="s">
        <v>681</v>
      </c>
      <c r="B332">
        <f>澳门换算01!B331+澳门新定位结果!$P331</f>
        <v>0</v>
      </c>
      <c r="C332">
        <f>澳门换算01!C331+澳门新定位结果!$P331</f>
        <v>1</v>
      </c>
      <c r="D332" s="1">
        <f>澳门换算01!D331+澳门新定位结果!$P331</f>
        <v>0</v>
      </c>
      <c r="E332">
        <f>澳门换算01!E331+澳门新定位结果!$P331</f>
        <v>0</v>
      </c>
      <c r="F332">
        <f>澳门换算01!F331+澳门新定位结果!$P331</f>
        <v>0</v>
      </c>
      <c r="G332">
        <f>澳门换算01!G331+澳门新定位结果!$P331</f>
        <v>1</v>
      </c>
      <c r="H332">
        <f>澳门换算01!H331+澳门新定位结果!$P331</f>
        <v>0</v>
      </c>
      <c r="I332">
        <f>澳门换算01!I331+澳门新定位结果!$P331</f>
        <v>1</v>
      </c>
      <c r="J332" s="1">
        <f>澳门换算01!J331+澳门新定位结果!$P331</f>
        <v>1</v>
      </c>
      <c r="K332">
        <f>澳门换算01!K331+澳门新定位结果!$P331</f>
        <v>1</v>
      </c>
      <c r="L332">
        <f>澳门换算01!L331+澳门新定位结果!$P331</f>
        <v>1</v>
      </c>
      <c r="M332" s="1">
        <f>澳门换算01!M331+澳门新定位结果!$P331</f>
        <v>1</v>
      </c>
      <c r="N332">
        <f>澳门换算01!N331+澳门新定位结果!$P331</f>
        <v>0</v>
      </c>
      <c r="O332">
        <f>澳门换算01!O331+澳门新定位结果!$P331</f>
        <v>0</v>
      </c>
    </row>
    <row r="333" spans="1:15">
      <c r="A333" s="4" t="s">
        <v>683</v>
      </c>
      <c r="B333">
        <f>澳门换算01!B332+澳门新定位结果!$P332</f>
        <v>1</v>
      </c>
      <c r="C333">
        <f>澳门换算01!C332+澳门新定位结果!$P332</f>
        <v>1</v>
      </c>
      <c r="D333" s="1">
        <f>澳门换算01!D332+澳门新定位结果!$P332</f>
        <v>0</v>
      </c>
      <c r="E333">
        <f>澳门换算01!E332+澳门新定位结果!$P332</f>
        <v>1</v>
      </c>
      <c r="F333">
        <f>澳门换算01!F332+澳门新定位结果!$P332</f>
        <v>1</v>
      </c>
      <c r="G333">
        <f>澳门换算01!G332+澳门新定位结果!$P332</f>
        <v>0</v>
      </c>
      <c r="H333">
        <f>澳门换算01!H332+澳门新定位结果!$P332</f>
        <v>0</v>
      </c>
      <c r="I333">
        <f>澳门换算01!I332+澳门新定位结果!$P332</f>
        <v>1</v>
      </c>
      <c r="J333" s="1">
        <f>澳门换算01!J332+澳门新定位结果!$P332</f>
        <v>1</v>
      </c>
      <c r="K333">
        <f>澳门换算01!K332+澳门新定位结果!$P332</f>
        <v>1</v>
      </c>
      <c r="L333">
        <f>澳门换算01!L332+澳门新定位结果!$P332</f>
        <v>1</v>
      </c>
      <c r="M333" s="1">
        <f>澳门换算01!M332+澳门新定位结果!$P332</f>
        <v>0</v>
      </c>
      <c r="N333">
        <f>澳门换算01!N332+澳门新定位结果!$P332</f>
        <v>0</v>
      </c>
      <c r="O333">
        <f>澳门换算01!O332+澳门新定位结果!$P332</f>
        <v>0</v>
      </c>
    </row>
    <row r="334" spans="1:15">
      <c r="A334" s="4" t="s">
        <v>685</v>
      </c>
      <c r="B334">
        <f>澳门换算01!B333+澳门新定位结果!$P333</f>
        <v>1</v>
      </c>
      <c r="C334">
        <f>澳门换算01!C333+澳门新定位结果!$P333</f>
        <v>2</v>
      </c>
      <c r="D334" s="1">
        <f>澳门换算01!D333+澳门新定位结果!$P333</f>
        <v>1</v>
      </c>
      <c r="E334">
        <f>澳门换算01!E333+澳门新定位结果!$P333</f>
        <v>1</v>
      </c>
      <c r="F334">
        <f>澳门换算01!F333+澳门新定位结果!$P333</f>
        <v>1</v>
      </c>
      <c r="G334">
        <f>澳门换算01!G333+澳门新定位结果!$P333</f>
        <v>2</v>
      </c>
      <c r="H334">
        <f>澳门换算01!H333+澳门新定位结果!$P333</f>
        <v>2</v>
      </c>
      <c r="I334">
        <f>澳门换算01!I333+澳门新定位结果!$P333</f>
        <v>2</v>
      </c>
      <c r="J334" s="1">
        <f>澳门换算01!J333+澳门新定位结果!$P333</f>
        <v>2</v>
      </c>
      <c r="K334">
        <f>澳门换算01!K333+澳门新定位结果!$P333</f>
        <v>1</v>
      </c>
      <c r="L334">
        <f>澳门换算01!L333+澳门新定位结果!$P333</f>
        <v>2</v>
      </c>
      <c r="M334" s="1">
        <f>澳门换算01!M333+澳门新定位结果!$P333</f>
        <v>2</v>
      </c>
      <c r="N334">
        <f>澳门换算01!N333+澳门新定位结果!$P333</f>
        <v>2</v>
      </c>
      <c r="O334">
        <f>澳门换算01!O333+澳门新定位结果!$P333</f>
        <v>1</v>
      </c>
    </row>
    <row r="335" spans="1:15">
      <c r="A335" s="4" t="s">
        <v>687</v>
      </c>
      <c r="B335">
        <f>澳门换算01!B334+澳门新定位结果!$P334</f>
        <v>2</v>
      </c>
      <c r="C335">
        <f>澳门换算01!C334+澳门新定位结果!$P334</f>
        <v>2</v>
      </c>
      <c r="D335" s="1">
        <f>澳门换算01!D334+澳门新定位结果!$P334</f>
        <v>2</v>
      </c>
      <c r="E335">
        <f>澳门换算01!E334+澳门新定位结果!$P334</f>
        <v>1</v>
      </c>
      <c r="F335">
        <f>澳门换算01!F334+澳门新定位结果!$P334</f>
        <v>1</v>
      </c>
      <c r="G335">
        <f>澳门换算01!G334+澳门新定位结果!$P334</f>
        <v>2</v>
      </c>
      <c r="H335">
        <f>澳门换算01!H334+澳门新定位结果!$P334</f>
        <v>2</v>
      </c>
      <c r="I335">
        <f>澳门换算01!I334+澳门新定位结果!$P334</f>
        <v>2</v>
      </c>
      <c r="J335" s="1">
        <f>澳门换算01!J334+澳门新定位结果!$P334</f>
        <v>1</v>
      </c>
      <c r="K335">
        <f>澳门换算01!K334+澳门新定位结果!$P334</f>
        <v>2</v>
      </c>
      <c r="L335">
        <f>澳门换算01!L334+澳门新定位结果!$P334</f>
        <v>2</v>
      </c>
      <c r="M335" s="1">
        <f>澳门换算01!M334+澳门新定位结果!$P334</f>
        <v>1</v>
      </c>
      <c r="N335">
        <f>澳门换算01!N334+澳门新定位结果!$P334</f>
        <v>2</v>
      </c>
      <c r="O335">
        <f>澳门换算01!O334+澳门新定位结果!$P334</f>
        <v>1</v>
      </c>
    </row>
    <row r="336" spans="1:15">
      <c r="A336" s="4" t="s">
        <v>689</v>
      </c>
      <c r="B336">
        <f>澳门换算01!B335+澳门新定位结果!$P335</f>
        <v>1</v>
      </c>
      <c r="C336">
        <f>澳门换算01!C335+澳门新定位结果!$P335</f>
        <v>2</v>
      </c>
      <c r="D336" s="1">
        <f>澳门换算01!D335+澳门新定位结果!$P335</f>
        <v>1</v>
      </c>
      <c r="E336">
        <f>澳门换算01!E335+澳门新定位结果!$P335</f>
        <v>2</v>
      </c>
      <c r="F336">
        <f>澳门换算01!F335+澳门新定位结果!$P335</f>
        <v>2</v>
      </c>
      <c r="G336">
        <f>澳门换算01!G335+澳门新定位结果!$P335</f>
        <v>2</v>
      </c>
      <c r="H336">
        <f>澳门换算01!H335+澳门新定位结果!$P335</f>
        <v>1</v>
      </c>
      <c r="I336">
        <f>澳门换算01!I335+澳门新定位结果!$P335</f>
        <v>2</v>
      </c>
      <c r="J336" s="1">
        <f>澳门换算01!J335+澳门新定位结果!$P335</f>
        <v>1</v>
      </c>
      <c r="K336">
        <f>澳门换算01!K335+澳门新定位结果!$P335</f>
        <v>2</v>
      </c>
      <c r="L336">
        <f>澳门换算01!L335+澳门新定位结果!$P335</f>
        <v>2</v>
      </c>
      <c r="M336" s="1">
        <f>澳门换算01!M335+澳门新定位结果!$P335</f>
        <v>1</v>
      </c>
      <c r="N336">
        <f>澳门换算01!N335+澳门新定位结果!$P335</f>
        <v>1</v>
      </c>
      <c r="O336">
        <f>澳门换算01!O335+澳门新定位结果!$P335</f>
        <v>2</v>
      </c>
    </row>
    <row r="337" spans="1:15">
      <c r="A337" s="4" t="s">
        <v>691</v>
      </c>
      <c r="B337">
        <f>澳门换算01!B336+澳门新定位结果!$P336</f>
        <v>1</v>
      </c>
      <c r="C337">
        <f>澳门换算01!C336+澳门新定位结果!$P336</f>
        <v>2</v>
      </c>
      <c r="D337" s="1">
        <f>澳门换算01!D336+澳门新定位结果!$P336</f>
        <v>1</v>
      </c>
      <c r="E337">
        <f>澳门换算01!E336+澳门新定位结果!$P336</f>
        <v>2</v>
      </c>
      <c r="F337">
        <f>澳门换算01!F336+澳门新定位结果!$P336</f>
        <v>1</v>
      </c>
      <c r="G337">
        <f>澳门换算01!G336+澳门新定位结果!$P336</f>
        <v>1</v>
      </c>
      <c r="H337">
        <f>澳门换算01!H336+澳门新定位结果!$P336</f>
        <v>1</v>
      </c>
      <c r="I337">
        <f>澳门换算01!I336+澳门新定位结果!$P336</f>
        <v>1</v>
      </c>
      <c r="J337" s="1">
        <f>澳门换算01!J336+澳门新定位结果!$P336</f>
        <v>1</v>
      </c>
      <c r="K337">
        <f>澳门换算01!K336+澳门新定位结果!$P336</f>
        <v>1</v>
      </c>
      <c r="L337">
        <f>澳门换算01!L336+澳门新定位结果!$P336</f>
        <v>1</v>
      </c>
      <c r="M337" s="1">
        <f>澳门换算01!M336+澳门新定位结果!$P336</f>
        <v>1</v>
      </c>
      <c r="N337">
        <f>澳门换算01!N336+澳门新定位结果!$P336</f>
        <v>1</v>
      </c>
      <c r="O337">
        <f>澳门换算01!O336+澳门新定位结果!$P336</f>
        <v>1</v>
      </c>
    </row>
    <row r="338" spans="1:15">
      <c r="A338" s="4" t="s">
        <v>693</v>
      </c>
      <c r="B338">
        <f>澳门换算01!B337+澳门新定位结果!$P337</f>
        <v>1</v>
      </c>
      <c r="C338">
        <f>澳门换算01!C337+澳门新定位结果!$P337</f>
        <v>1</v>
      </c>
      <c r="D338" s="1">
        <f>澳门换算01!D337+澳门新定位结果!$P337</f>
        <v>0</v>
      </c>
      <c r="E338">
        <f>澳门换算01!E337+澳门新定位结果!$P337</f>
        <v>1</v>
      </c>
      <c r="F338">
        <f>澳门换算01!F337+澳门新定位结果!$P337</f>
        <v>1</v>
      </c>
      <c r="G338">
        <f>澳门换算01!G337+澳门新定位结果!$P337</f>
        <v>1</v>
      </c>
      <c r="H338">
        <f>澳门换算01!H337+澳门新定位结果!$P337</f>
        <v>0</v>
      </c>
      <c r="I338">
        <f>澳门换算01!I337+澳门新定位结果!$P337</f>
        <v>1</v>
      </c>
      <c r="J338" s="1">
        <f>澳门换算01!J337+澳门新定位结果!$P337</f>
        <v>1</v>
      </c>
      <c r="K338">
        <f>澳门换算01!K337+澳门新定位结果!$P337</f>
        <v>1</v>
      </c>
      <c r="L338">
        <f>澳门换算01!L337+澳门新定位结果!$P337</f>
        <v>1</v>
      </c>
      <c r="M338" s="1">
        <f>澳门换算01!M337+澳门新定位结果!$P337</f>
        <v>1</v>
      </c>
      <c r="N338">
        <f>澳门换算01!N337+澳门新定位结果!$P337</f>
        <v>0</v>
      </c>
      <c r="O338">
        <f>澳门换算01!O337+澳门新定位结果!$P337</f>
        <v>0</v>
      </c>
    </row>
    <row r="339" spans="1:15">
      <c r="A339" s="4" t="s">
        <v>695</v>
      </c>
      <c r="B339">
        <f>澳门换算01!B338+澳门新定位结果!$P338</f>
        <v>2</v>
      </c>
      <c r="C339">
        <f>澳门换算01!C338+澳门新定位结果!$P338</f>
        <v>2</v>
      </c>
      <c r="D339" s="1">
        <f>澳门换算01!D338+澳门新定位结果!$P338</f>
        <v>2</v>
      </c>
      <c r="E339">
        <f>澳门换算01!E338+澳门新定位结果!$P338</f>
        <v>2</v>
      </c>
      <c r="F339">
        <f>澳门换算01!F338+澳门新定位结果!$P338</f>
        <v>2</v>
      </c>
      <c r="G339">
        <f>澳门换算01!G338+澳门新定位结果!$P338</f>
        <v>1</v>
      </c>
      <c r="H339">
        <f>澳门换算01!H338+澳门新定位结果!$P338</f>
        <v>1</v>
      </c>
      <c r="I339">
        <f>澳门换算01!I338+澳门新定位结果!$P338</f>
        <v>2</v>
      </c>
      <c r="J339" s="1">
        <f>澳门换算01!J338+澳门新定位结果!$P338</f>
        <v>2</v>
      </c>
      <c r="K339">
        <f>澳门换算01!K338+澳门新定位结果!$P338</f>
        <v>2</v>
      </c>
      <c r="L339">
        <f>澳门换算01!L338+澳门新定位结果!$P338</f>
        <v>1</v>
      </c>
      <c r="M339" s="1">
        <f>澳门换算01!M338+澳门新定位结果!$P338</f>
        <v>2</v>
      </c>
      <c r="N339">
        <f>澳门换算01!N338+澳门新定位结果!$P338</f>
        <v>1</v>
      </c>
      <c r="O339">
        <f>澳门换算01!O338+澳门新定位结果!$P338</f>
        <v>2</v>
      </c>
    </row>
    <row r="340" spans="1:15">
      <c r="A340" s="4" t="s">
        <v>697</v>
      </c>
      <c r="B340">
        <f>澳门换算01!B339+澳门新定位结果!$P339</f>
        <v>1</v>
      </c>
      <c r="C340">
        <f>澳门换算01!C339+澳门新定位结果!$P339</f>
        <v>1</v>
      </c>
      <c r="D340" s="1">
        <f>澳门换算01!D339+澳门新定位结果!$P339</f>
        <v>0</v>
      </c>
      <c r="E340">
        <f>澳门换算01!E339+澳门新定位结果!$P339</f>
        <v>0</v>
      </c>
      <c r="F340">
        <f>澳门换算01!F339+澳门新定位结果!$P339</f>
        <v>0</v>
      </c>
      <c r="G340">
        <f>澳门换算01!G339+澳门新定位结果!$P339</f>
        <v>1</v>
      </c>
      <c r="H340">
        <f>澳门换算01!H339+澳门新定位结果!$P339</f>
        <v>1</v>
      </c>
      <c r="I340">
        <f>澳门换算01!I339+澳门新定位结果!$P339</f>
        <v>0</v>
      </c>
      <c r="J340" s="1">
        <f>澳门换算01!J339+澳门新定位结果!$P339</f>
        <v>0</v>
      </c>
      <c r="K340">
        <f>澳门换算01!K339+澳门新定位结果!$P339</f>
        <v>1</v>
      </c>
      <c r="L340">
        <f>澳门换算01!L339+澳门新定位结果!$P339</f>
        <v>1</v>
      </c>
      <c r="M340" s="1">
        <f>澳门换算01!M339+澳门新定位结果!$P339</f>
        <v>0</v>
      </c>
      <c r="N340">
        <f>澳门换算01!N339+澳门新定位结果!$P339</f>
        <v>1</v>
      </c>
      <c r="O340">
        <f>澳门换算01!O339+澳门新定位结果!$P339</f>
        <v>0</v>
      </c>
    </row>
    <row r="341" spans="1:15">
      <c r="A341" s="4" t="s">
        <v>699</v>
      </c>
      <c r="B341">
        <f>澳门换算01!B340+澳门新定位结果!$P340</f>
        <v>2</v>
      </c>
      <c r="C341">
        <f>澳门换算01!C340+澳门新定位结果!$P340</f>
        <v>1</v>
      </c>
      <c r="D341" s="1">
        <f>澳门换算01!D340+澳门新定位结果!$P340</f>
        <v>2</v>
      </c>
      <c r="E341">
        <f>澳门换算01!E340+澳门新定位结果!$P340</f>
        <v>2</v>
      </c>
      <c r="F341">
        <f>澳门换算01!F340+澳门新定位结果!$P340</f>
        <v>2</v>
      </c>
      <c r="G341">
        <f>澳门换算01!G340+澳门新定位结果!$P340</f>
        <v>2</v>
      </c>
      <c r="H341">
        <f>澳门换算01!H340+澳门新定位结果!$P340</f>
        <v>1</v>
      </c>
      <c r="I341">
        <f>澳门换算01!I340+澳门新定位结果!$P340</f>
        <v>2</v>
      </c>
      <c r="J341" s="1">
        <f>澳门换算01!J340+澳门新定位结果!$P340</f>
        <v>1</v>
      </c>
      <c r="K341">
        <f>澳门换算01!K340+澳门新定位结果!$P340</f>
        <v>1</v>
      </c>
      <c r="L341">
        <f>澳门换算01!L340+澳门新定位结果!$P340</f>
        <v>1</v>
      </c>
      <c r="M341" s="1">
        <f>澳门换算01!M340+澳门新定位结果!$P340</f>
        <v>2</v>
      </c>
      <c r="N341">
        <f>澳门换算01!N340+澳门新定位结果!$P340</f>
        <v>2</v>
      </c>
      <c r="O341">
        <f>澳门换算01!O340+澳门新定位结果!$P340</f>
        <v>2</v>
      </c>
    </row>
    <row r="342" spans="1:15">
      <c r="A342" s="4" t="s">
        <v>701</v>
      </c>
      <c r="B342">
        <f>澳门换算01!B341+澳门新定位结果!$P341</f>
        <v>1</v>
      </c>
      <c r="C342">
        <f>澳门换算01!C341+澳门新定位结果!$P341</f>
        <v>1</v>
      </c>
      <c r="D342" s="1">
        <f>澳门换算01!D341+澳门新定位结果!$P341</f>
        <v>0</v>
      </c>
      <c r="E342">
        <f>澳门换算01!E341+澳门新定位结果!$P341</f>
        <v>0</v>
      </c>
      <c r="F342">
        <f>澳门换算01!F341+澳门新定位结果!$P341</f>
        <v>0</v>
      </c>
      <c r="G342">
        <f>澳门换算01!G341+澳门新定位结果!$P341</f>
        <v>0</v>
      </c>
      <c r="H342">
        <f>澳门换算01!H341+澳门新定位结果!$P341</f>
        <v>1</v>
      </c>
      <c r="I342">
        <f>澳门换算01!I341+澳门新定位结果!$P341</f>
        <v>0</v>
      </c>
      <c r="J342" s="1">
        <f>澳门换算01!J341+澳门新定位结果!$P341</f>
        <v>1</v>
      </c>
      <c r="K342">
        <f>澳门换算01!K341+澳门新定位结果!$P341</f>
        <v>1</v>
      </c>
      <c r="L342">
        <f>澳门换算01!L341+澳门新定位结果!$P341</f>
        <v>1</v>
      </c>
      <c r="M342" s="1">
        <f>澳门换算01!M341+澳门新定位结果!$P341</f>
        <v>1</v>
      </c>
      <c r="N342">
        <f>澳门换算01!N341+澳门新定位结果!$P341</f>
        <v>1</v>
      </c>
      <c r="O342">
        <f>澳门换算01!O341+澳门新定位结果!$P341</f>
        <v>0</v>
      </c>
    </row>
    <row r="343" spans="1:15">
      <c r="A343" s="4" t="s">
        <v>703</v>
      </c>
      <c r="B343">
        <f>澳门换算01!B342+澳门新定位结果!$P342</f>
        <v>2</v>
      </c>
      <c r="C343">
        <f>澳门换算01!C342+澳门新定位结果!$P342</f>
        <v>2</v>
      </c>
      <c r="D343" s="1">
        <f>澳门换算01!D342+澳门新定位结果!$P342</f>
        <v>1</v>
      </c>
      <c r="E343">
        <f>澳门换算01!E342+澳门新定位结果!$P342</f>
        <v>2</v>
      </c>
      <c r="F343">
        <f>澳门换算01!F342+澳门新定位结果!$P342</f>
        <v>2</v>
      </c>
      <c r="G343">
        <f>澳门换算01!G342+澳门新定位结果!$P342</f>
        <v>1</v>
      </c>
      <c r="H343">
        <f>澳门换算01!H342+澳门新定位结果!$P342</f>
        <v>2</v>
      </c>
      <c r="I343">
        <f>澳门换算01!I342+澳门新定位结果!$P342</f>
        <v>2</v>
      </c>
      <c r="J343" s="1">
        <f>澳门换算01!J342+澳门新定位结果!$P342</f>
        <v>1</v>
      </c>
      <c r="K343">
        <f>澳门换算01!K342+澳门新定位结果!$P342</f>
        <v>2</v>
      </c>
      <c r="L343">
        <f>澳门换算01!L342+澳门新定位结果!$P342</f>
        <v>2</v>
      </c>
      <c r="M343" s="1">
        <f>澳门换算01!M342+澳门新定位结果!$P342</f>
        <v>1</v>
      </c>
      <c r="N343">
        <f>澳门换算01!N342+澳门新定位结果!$P342</f>
        <v>1</v>
      </c>
      <c r="O343">
        <f>澳门换算01!O342+澳门新定位结果!$P342</f>
        <v>2</v>
      </c>
    </row>
    <row r="344" spans="1:15">
      <c r="A344" s="4" t="s">
        <v>705</v>
      </c>
      <c r="B344">
        <f>澳门换算01!B343+澳门新定位结果!$P343</f>
        <v>2</v>
      </c>
      <c r="C344">
        <f>澳门换算01!C343+澳门新定位结果!$P343</f>
        <v>1</v>
      </c>
      <c r="D344" s="1">
        <f>澳门换算01!D343+澳门新定位结果!$P343</f>
        <v>2</v>
      </c>
      <c r="E344">
        <f>澳门换算01!E343+澳门新定位结果!$P343</f>
        <v>2</v>
      </c>
      <c r="F344">
        <f>澳门换算01!F343+澳门新定位结果!$P343</f>
        <v>2</v>
      </c>
      <c r="G344">
        <f>澳门换算01!G343+澳门新定位结果!$P343</f>
        <v>1</v>
      </c>
      <c r="H344">
        <f>澳门换算01!H343+澳门新定位结果!$P343</f>
        <v>1</v>
      </c>
      <c r="I344">
        <f>澳门换算01!I343+澳门新定位结果!$P343</f>
        <v>1</v>
      </c>
      <c r="J344" s="1">
        <f>澳门换算01!J343+澳门新定位结果!$P343</f>
        <v>1</v>
      </c>
      <c r="K344">
        <f>澳门换算01!K343+澳门新定位结果!$P343</f>
        <v>1</v>
      </c>
      <c r="L344">
        <f>澳门换算01!L343+澳门新定位结果!$P343</f>
        <v>2</v>
      </c>
      <c r="M344" s="1">
        <f>澳门换算01!M343+澳门新定位结果!$P343</f>
        <v>2</v>
      </c>
      <c r="N344">
        <f>澳门换算01!N343+澳门新定位结果!$P343</f>
        <v>2</v>
      </c>
      <c r="O344">
        <f>澳门换算01!O343+澳门新定位结果!$P343</f>
        <v>2</v>
      </c>
    </row>
    <row r="345" spans="1:15">
      <c r="A345" s="4" t="s">
        <v>707</v>
      </c>
      <c r="B345">
        <f>澳门换算01!B344+澳门新定位结果!$P344</f>
        <v>1</v>
      </c>
      <c r="C345">
        <f>澳门换算01!C344+澳门新定位结果!$P344</f>
        <v>0</v>
      </c>
      <c r="D345" s="1">
        <f>澳门换算01!D344+澳门新定位结果!$P344</f>
        <v>1</v>
      </c>
      <c r="E345">
        <f>澳门换算01!E344+澳门新定位结果!$P344</f>
        <v>1</v>
      </c>
      <c r="F345">
        <f>澳门换算01!F344+澳门新定位结果!$P344</f>
        <v>0</v>
      </c>
      <c r="G345">
        <f>澳门换算01!G344+澳门新定位结果!$P344</f>
        <v>0</v>
      </c>
      <c r="H345">
        <f>澳门换算01!H344+澳门新定位结果!$P344</f>
        <v>1</v>
      </c>
      <c r="I345">
        <f>澳门换算01!I344+澳门新定位结果!$P344</f>
        <v>1</v>
      </c>
      <c r="J345" s="1">
        <f>澳门换算01!J344+澳门新定位结果!$P344</f>
        <v>0</v>
      </c>
      <c r="K345">
        <f>澳门换算01!K344+澳门新定位结果!$P344</f>
        <v>1</v>
      </c>
      <c r="L345">
        <f>澳门换算01!L344+澳门新定位结果!$P344</f>
        <v>1</v>
      </c>
      <c r="M345" s="1">
        <f>澳门换算01!M344+澳门新定位结果!$P344</f>
        <v>0</v>
      </c>
      <c r="N345">
        <f>澳门换算01!N344+澳门新定位结果!$P344</f>
        <v>0</v>
      </c>
      <c r="O345">
        <f>澳门换算01!O344+澳门新定位结果!$P344</f>
        <v>1</v>
      </c>
    </row>
    <row r="346" spans="1:15">
      <c r="A346" s="4" t="s">
        <v>709</v>
      </c>
      <c r="B346">
        <f>澳门换算01!B345+澳门新定位结果!$P345</f>
        <v>2</v>
      </c>
      <c r="C346">
        <f>澳门换算01!C345+澳门新定位结果!$P345</f>
        <v>2</v>
      </c>
      <c r="D346" s="1">
        <f>澳门换算01!D345+澳门新定位结果!$P345</f>
        <v>1</v>
      </c>
      <c r="E346">
        <f>澳门换算01!E345+澳门新定位结果!$P345</f>
        <v>1</v>
      </c>
      <c r="F346">
        <f>澳门换算01!F345+澳门新定位结果!$P345</f>
        <v>2</v>
      </c>
      <c r="G346">
        <f>澳门换算01!G345+澳门新定位结果!$P345</f>
        <v>2</v>
      </c>
      <c r="H346">
        <f>澳门换算01!H345+澳门新定位结果!$P345</f>
        <v>1</v>
      </c>
      <c r="I346">
        <f>澳门换算01!I345+澳门新定位结果!$P345</f>
        <v>2</v>
      </c>
      <c r="J346" s="1">
        <f>澳门换算01!J345+澳门新定位结果!$P345</f>
        <v>2</v>
      </c>
      <c r="K346">
        <f>澳门换算01!K345+澳门新定位结果!$P345</f>
        <v>1</v>
      </c>
      <c r="L346">
        <f>澳门换算01!L345+澳门新定位结果!$P345</f>
        <v>2</v>
      </c>
      <c r="M346" s="1">
        <f>澳门换算01!M345+澳门新定位结果!$P345</f>
        <v>2</v>
      </c>
      <c r="N346">
        <f>澳门换算01!N345+澳门新定位结果!$P345</f>
        <v>2</v>
      </c>
      <c r="O346">
        <f>澳门换算01!O345+澳门新定位结果!$P345</f>
        <v>2</v>
      </c>
    </row>
    <row r="347" spans="1:15">
      <c r="A347" s="4" t="s">
        <v>711</v>
      </c>
      <c r="B347">
        <f>澳门换算01!B346+澳门新定位结果!$P346</f>
        <v>1</v>
      </c>
      <c r="C347">
        <f>澳门换算01!C346+澳门新定位结果!$P346</f>
        <v>1</v>
      </c>
      <c r="D347" s="1">
        <f>澳门换算01!D346+澳门新定位结果!$P346</f>
        <v>1</v>
      </c>
      <c r="E347">
        <f>澳门换算01!E346+澳门新定位结果!$P346</f>
        <v>1</v>
      </c>
      <c r="F347">
        <f>澳门换算01!F346+澳门新定位结果!$P346</f>
        <v>0</v>
      </c>
      <c r="G347">
        <f>澳门换算01!G346+澳门新定位结果!$P346</f>
        <v>1</v>
      </c>
      <c r="H347">
        <f>澳门换算01!H346+澳门新定位结果!$P346</f>
        <v>1</v>
      </c>
      <c r="I347">
        <f>澳门换算01!I346+澳门新定位结果!$P346</f>
        <v>1</v>
      </c>
      <c r="J347" s="1">
        <f>澳门换算01!J346+澳门新定位结果!$P346</f>
        <v>1</v>
      </c>
      <c r="K347">
        <f>澳门换算01!K346+澳门新定位结果!$P346</f>
        <v>1</v>
      </c>
      <c r="L347">
        <f>澳门换算01!L346+澳门新定位结果!$P346</f>
        <v>1</v>
      </c>
      <c r="M347" s="1">
        <f>澳门换算01!M346+澳门新定位结果!$P346</f>
        <v>1</v>
      </c>
      <c r="N347">
        <f>澳门换算01!N346+澳门新定位结果!$P346</f>
        <v>1</v>
      </c>
      <c r="O347">
        <f>澳门换算01!O346+澳门新定位结果!$P346</f>
        <v>1</v>
      </c>
    </row>
    <row r="348" spans="1:15">
      <c r="A348" s="4" t="s">
        <v>713</v>
      </c>
      <c r="B348">
        <f>澳门换算01!B347+澳门新定位结果!$P347</f>
        <v>0</v>
      </c>
      <c r="C348">
        <f>澳门换算01!C347+澳门新定位结果!$P347</f>
        <v>1</v>
      </c>
      <c r="D348" s="1">
        <f>澳门换算01!D347+澳门新定位结果!$P347</f>
        <v>0</v>
      </c>
      <c r="E348">
        <f>澳门换算01!E347+澳门新定位结果!$P347</f>
        <v>1</v>
      </c>
      <c r="F348">
        <f>澳门换算01!F347+澳门新定位结果!$P347</f>
        <v>0</v>
      </c>
      <c r="G348">
        <f>澳门换算01!G347+澳门新定位结果!$P347</f>
        <v>1</v>
      </c>
      <c r="H348">
        <f>澳门换算01!H347+澳门新定位结果!$P347</f>
        <v>0</v>
      </c>
      <c r="I348">
        <f>澳门换算01!I347+澳门新定位结果!$P347</f>
        <v>1</v>
      </c>
      <c r="J348" s="1">
        <f>澳门换算01!J347+澳门新定位结果!$P347</f>
        <v>0</v>
      </c>
      <c r="K348">
        <f>澳门换算01!K347+澳门新定位结果!$P347</f>
        <v>1</v>
      </c>
      <c r="L348">
        <f>澳门换算01!L347+澳门新定位结果!$P347</f>
        <v>1</v>
      </c>
      <c r="M348" s="1">
        <f>澳门换算01!M347+澳门新定位结果!$P347</f>
        <v>0</v>
      </c>
      <c r="N348">
        <f>澳门换算01!N347+澳门新定位结果!$P347</f>
        <v>0</v>
      </c>
      <c r="O348">
        <f>澳门换算01!O347+澳门新定位结果!$P347</f>
        <v>1</v>
      </c>
    </row>
    <row r="349" spans="1:15">
      <c r="A349" s="4" t="s">
        <v>715</v>
      </c>
      <c r="B349">
        <f>澳门换算01!B348+澳门新定位结果!$P348</f>
        <v>1</v>
      </c>
      <c r="C349">
        <f>澳门换算01!C348+澳门新定位结果!$P348</f>
        <v>1</v>
      </c>
      <c r="D349" s="1">
        <f>澳门换算01!D348+澳门新定位结果!$P348</f>
        <v>1</v>
      </c>
      <c r="E349">
        <f>澳门换算01!E348+澳门新定位结果!$P348</f>
        <v>1</v>
      </c>
      <c r="F349">
        <f>澳门换算01!F348+澳门新定位结果!$P348</f>
        <v>1</v>
      </c>
      <c r="G349">
        <f>澳门换算01!G348+澳门新定位结果!$P348</f>
        <v>0</v>
      </c>
      <c r="H349">
        <f>澳门换算01!H348+澳门新定位结果!$P348</f>
        <v>1</v>
      </c>
      <c r="I349">
        <f>澳门换算01!I348+澳门新定位结果!$P348</f>
        <v>1</v>
      </c>
      <c r="J349" s="1">
        <f>澳门换算01!J348+澳门新定位结果!$P348</f>
        <v>1</v>
      </c>
      <c r="K349">
        <f>澳门换算01!K348+澳门新定位结果!$P348</f>
        <v>0</v>
      </c>
      <c r="L349">
        <f>澳门换算01!L348+澳门新定位结果!$P348</f>
        <v>0</v>
      </c>
      <c r="M349" s="1">
        <f>澳门换算01!M348+澳门新定位结果!$P348</f>
        <v>1</v>
      </c>
      <c r="N349">
        <f>澳门换算01!N348+澳门新定位结果!$P348</f>
        <v>0</v>
      </c>
      <c r="O349">
        <f>澳门换算01!O348+澳门新定位结果!$P348</f>
        <v>0</v>
      </c>
    </row>
    <row r="350" spans="1:15">
      <c r="A350" s="4" t="s">
        <v>717</v>
      </c>
      <c r="B350">
        <f>澳门换算01!B349+澳门新定位结果!$P349</f>
        <v>1</v>
      </c>
      <c r="C350">
        <f>澳门换算01!C349+澳门新定位结果!$P349</f>
        <v>2</v>
      </c>
      <c r="D350" s="1">
        <f>澳门换算01!D349+澳门新定位结果!$P349</f>
        <v>1</v>
      </c>
      <c r="E350">
        <f>澳门换算01!E349+澳门新定位结果!$P349</f>
        <v>2</v>
      </c>
      <c r="F350">
        <f>澳门换算01!F349+澳门新定位结果!$P349</f>
        <v>1</v>
      </c>
      <c r="G350">
        <f>澳门换算01!G349+澳门新定位结果!$P349</f>
        <v>2</v>
      </c>
      <c r="H350">
        <f>澳门换算01!H349+澳门新定位结果!$P349</f>
        <v>1</v>
      </c>
      <c r="I350">
        <f>澳门换算01!I349+澳门新定位结果!$P349</f>
        <v>2</v>
      </c>
      <c r="J350" s="1">
        <f>澳门换算01!J349+澳门新定位结果!$P349</f>
        <v>1</v>
      </c>
      <c r="K350">
        <f>澳门换算01!K349+澳门新定位结果!$P349</f>
        <v>2</v>
      </c>
      <c r="L350">
        <f>澳门换算01!L349+澳门新定位结果!$P349</f>
        <v>2</v>
      </c>
      <c r="M350" s="1">
        <f>澳门换算01!M349+澳门新定位结果!$P349</f>
        <v>1</v>
      </c>
      <c r="N350">
        <f>澳门换算01!N349+澳门新定位结果!$P349</f>
        <v>2</v>
      </c>
      <c r="O350">
        <f>澳门换算01!O349+澳门新定位结果!$P349</f>
        <v>2</v>
      </c>
    </row>
    <row r="351" spans="1:15">
      <c r="A351" s="4" t="s">
        <v>719</v>
      </c>
      <c r="B351">
        <f>澳门换算01!B350+澳门新定位结果!$P350</f>
        <v>2</v>
      </c>
      <c r="C351">
        <f>澳门换算01!C350+澳门新定位结果!$P350</f>
        <v>2</v>
      </c>
      <c r="D351" s="1">
        <f>澳门换算01!D350+澳门新定位结果!$P350</f>
        <v>2</v>
      </c>
      <c r="E351">
        <f>澳门换算01!E350+澳门新定位结果!$P350</f>
        <v>2</v>
      </c>
      <c r="F351">
        <f>澳门换算01!F350+澳门新定位结果!$P350</f>
        <v>2</v>
      </c>
      <c r="G351">
        <f>澳门换算01!G350+澳门新定位结果!$P350</f>
        <v>1</v>
      </c>
      <c r="H351">
        <f>澳门换算01!H350+澳门新定位结果!$P350</f>
        <v>1</v>
      </c>
      <c r="I351">
        <f>澳门换算01!I350+澳门新定位结果!$P350</f>
        <v>1</v>
      </c>
      <c r="J351" s="1">
        <f>澳门换算01!J350+澳门新定位结果!$P350</f>
        <v>2</v>
      </c>
      <c r="K351">
        <f>澳门换算01!K350+澳门新定位结果!$P350</f>
        <v>2</v>
      </c>
      <c r="L351">
        <f>澳门换算01!L350+澳门新定位结果!$P350</f>
        <v>1</v>
      </c>
      <c r="M351" s="1">
        <f>澳门换算01!M350+澳门新定位结果!$P350</f>
        <v>1</v>
      </c>
      <c r="N351">
        <f>澳门换算01!N350+澳门新定位结果!$P350</f>
        <v>1</v>
      </c>
      <c r="O351">
        <f>澳门换算01!O350+澳门新定位结果!$P350</f>
        <v>2</v>
      </c>
    </row>
    <row r="352" spans="1:15">
      <c r="A352" s="4" t="s">
        <v>721</v>
      </c>
      <c r="B352">
        <f>澳门换算01!B351+澳门新定位结果!$P351</f>
        <v>2</v>
      </c>
      <c r="C352">
        <f>澳门换算01!C351+澳门新定位结果!$P351</f>
        <v>1</v>
      </c>
      <c r="D352" s="1">
        <f>澳门换算01!D351+澳门新定位结果!$P351</f>
        <v>1</v>
      </c>
      <c r="E352">
        <f>澳门换算01!E351+澳门新定位结果!$P351</f>
        <v>1</v>
      </c>
      <c r="F352">
        <f>澳门换算01!F351+澳门新定位结果!$P351</f>
        <v>1</v>
      </c>
      <c r="G352">
        <f>澳门换算01!G351+澳门新定位结果!$P351</f>
        <v>1</v>
      </c>
      <c r="H352">
        <f>澳门换算01!H351+澳门新定位结果!$P351</f>
        <v>2</v>
      </c>
      <c r="I352">
        <f>澳门换算01!I351+澳门新定位结果!$P351</f>
        <v>2</v>
      </c>
      <c r="J352" s="1">
        <f>澳门换算01!J351+澳门新定位结果!$P351</f>
        <v>1</v>
      </c>
      <c r="K352">
        <f>澳门换算01!K351+澳门新定位结果!$P351</f>
        <v>2</v>
      </c>
      <c r="L352">
        <f>澳门换算01!L351+澳门新定位结果!$P351</f>
        <v>2</v>
      </c>
      <c r="M352" s="1">
        <f>澳门换算01!M351+澳门新定位结果!$P351</f>
        <v>2</v>
      </c>
      <c r="N352">
        <f>澳门换算01!N351+澳门新定位结果!$P351</f>
        <v>1</v>
      </c>
      <c r="O352">
        <f>澳门换算01!O351+澳门新定位结果!$P351</f>
        <v>1</v>
      </c>
    </row>
    <row r="353" spans="1:15">
      <c r="A353" s="4" t="s">
        <v>723</v>
      </c>
      <c r="B353">
        <f>澳门换算01!B352+澳门新定位结果!$P352</f>
        <v>1</v>
      </c>
      <c r="C353">
        <f>澳门换算01!C352+澳门新定位结果!$P352</f>
        <v>1</v>
      </c>
      <c r="D353" s="1">
        <f>澳门换算01!D352+澳门新定位结果!$P352</f>
        <v>0</v>
      </c>
      <c r="E353">
        <f>澳门换算01!E352+澳门新定位结果!$P352</f>
        <v>1</v>
      </c>
      <c r="F353">
        <f>澳门换算01!F352+澳门新定位结果!$P352</f>
        <v>1</v>
      </c>
      <c r="G353">
        <f>澳门换算01!G352+澳门新定位结果!$P352</f>
        <v>0</v>
      </c>
      <c r="H353">
        <f>澳门换算01!H352+澳门新定位结果!$P352</f>
        <v>0</v>
      </c>
      <c r="I353">
        <f>澳门换算01!I352+澳门新定位结果!$P352</f>
        <v>1</v>
      </c>
      <c r="J353" s="1">
        <f>澳门换算01!J352+澳门新定位结果!$P352</f>
        <v>1</v>
      </c>
      <c r="K353">
        <f>澳门换算01!K352+澳门新定位结果!$P352</f>
        <v>1</v>
      </c>
      <c r="L353">
        <f>澳门换算01!L352+澳门新定位结果!$P352</f>
        <v>0</v>
      </c>
      <c r="M353" s="1">
        <f>澳门换算01!M352+澳门新定位结果!$P352</f>
        <v>1</v>
      </c>
      <c r="N353">
        <f>澳门换算01!N352+澳门新定位结果!$P352</f>
        <v>0</v>
      </c>
      <c r="O353">
        <f>澳门换算01!O352+澳门新定位结果!$P352</f>
        <v>1</v>
      </c>
    </row>
    <row r="354" spans="1:15">
      <c r="A354" s="4" t="s">
        <v>725</v>
      </c>
      <c r="B354">
        <f>澳门换算01!B353+澳门新定位结果!$P353</f>
        <v>2</v>
      </c>
      <c r="C354">
        <f>澳门换算01!C353+澳门新定位结果!$P353</f>
        <v>1</v>
      </c>
      <c r="D354" s="1">
        <f>澳门换算01!D353+澳门新定位结果!$P353</f>
        <v>1</v>
      </c>
      <c r="E354">
        <f>澳门换算01!E353+澳门新定位结果!$P353</f>
        <v>2</v>
      </c>
      <c r="F354">
        <f>澳门换算01!F353+澳门新定位结果!$P353</f>
        <v>2</v>
      </c>
      <c r="G354">
        <f>澳门换算01!G353+澳门新定位结果!$P353</f>
        <v>1</v>
      </c>
      <c r="H354">
        <f>澳门换算01!H353+澳门新定位结果!$P353</f>
        <v>1</v>
      </c>
      <c r="I354">
        <f>澳门换算01!I353+澳门新定位结果!$P353</f>
        <v>2</v>
      </c>
      <c r="J354" s="1">
        <f>澳门换算01!J353+澳门新定位结果!$P353</f>
        <v>1</v>
      </c>
      <c r="K354">
        <f>澳门换算01!K353+澳门新定位结果!$P353</f>
        <v>2</v>
      </c>
      <c r="L354">
        <f>澳门换算01!L353+澳门新定位结果!$P353</f>
        <v>2</v>
      </c>
      <c r="M354" s="1">
        <f>澳门换算01!M353+澳门新定位结果!$P353</f>
        <v>1</v>
      </c>
      <c r="N354">
        <f>澳门换算01!N353+澳门新定位结果!$P353</f>
        <v>2</v>
      </c>
      <c r="O354">
        <f>澳门换算01!O353+澳门新定位结果!$P353</f>
        <v>2</v>
      </c>
    </row>
    <row r="355" spans="1:15">
      <c r="A355" s="4" t="s">
        <v>727</v>
      </c>
      <c r="B355">
        <f>澳门换算01!B354+澳门新定位结果!$P354</f>
        <v>1</v>
      </c>
      <c r="C355">
        <f>澳门换算01!C354+澳门新定位结果!$P354</f>
        <v>0</v>
      </c>
      <c r="D355" s="1">
        <f>澳门换算01!D354+澳门新定位结果!$P354</f>
        <v>0</v>
      </c>
      <c r="E355">
        <f>澳门换算01!E354+澳门新定位结果!$P354</f>
        <v>0</v>
      </c>
      <c r="F355">
        <f>澳门换算01!F354+澳门新定位结果!$P354</f>
        <v>1</v>
      </c>
      <c r="G355">
        <f>澳门换算01!G354+澳门新定位结果!$P354</f>
        <v>0</v>
      </c>
      <c r="H355">
        <f>澳门换算01!H354+澳门新定位结果!$P354</f>
        <v>1</v>
      </c>
      <c r="I355">
        <f>澳门换算01!I354+澳门新定位结果!$P354</f>
        <v>1</v>
      </c>
      <c r="J355" s="1">
        <f>澳门换算01!J354+澳门新定位结果!$P354</f>
        <v>0</v>
      </c>
      <c r="K355">
        <f>澳门换算01!K354+澳门新定位结果!$P354</f>
        <v>1</v>
      </c>
      <c r="L355">
        <f>澳门换算01!L354+澳门新定位结果!$P354</f>
        <v>1</v>
      </c>
      <c r="M355" s="1">
        <f>澳门换算01!M354+澳门新定位结果!$P354</f>
        <v>0</v>
      </c>
      <c r="N355">
        <f>澳门换算01!N354+澳门新定位结果!$P354</f>
        <v>0</v>
      </c>
      <c r="O355">
        <f>澳门换算01!O354+澳门新定位结果!$P354</f>
        <v>1</v>
      </c>
    </row>
    <row r="356" spans="1:15">
      <c r="A356" s="4" t="s">
        <v>729</v>
      </c>
      <c r="B356">
        <f>澳门换算01!B355+澳门新定位结果!$P355</f>
        <v>1</v>
      </c>
      <c r="C356">
        <f>澳门换算01!C355+澳门新定位结果!$P355</f>
        <v>2</v>
      </c>
      <c r="D356" s="1">
        <f>澳门换算01!D355+澳门新定位结果!$P355</f>
        <v>1</v>
      </c>
      <c r="E356">
        <f>澳门换算01!E355+澳门新定位结果!$P355</f>
        <v>2</v>
      </c>
      <c r="F356">
        <f>澳门换算01!F355+澳门新定位结果!$P355</f>
        <v>2</v>
      </c>
      <c r="G356">
        <f>澳门换算01!G355+澳门新定位结果!$P355</f>
        <v>2</v>
      </c>
      <c r="H356">
        <f>澳门换算01!H355+澳门新定位结果!$P355</f>
        <v>1</v>
      </c>
      <c r="I356">
        <f>澳门换算01!I355+澳门新定位结果!$P355</f>
        <v>2</v>
      </c>
      <c r="J356" s="1">
        <f>澳门换算01!J355+澳门新定位结果!$P355</f>
        <v>2</v>
      </c>
      <c r="K356">
        <f>澳门换算01!K355+澳门新定位结果!$P355</f>
        <v>2</v>
      </c>
      <c r="L356">
        <f>澳门换算01!L355+澳门新定位结果!$P355</f>
        <v>1</v>
      </c>
      <c r="M356" s="1">
        <f>澳门换算01!M355+澳门新定位结果!$P355</f>
        <v>1</v>
      </c>
      <c r="N356">
        <f>澳门换算01!N355+澳门新定位结果!$P355</f>
        <v>1</v>
      </c>
      <c r="O356">
        <f>澳门换算01!O355+澳门新定位结果!$P355</f>
        <v>2</v>
      </c>
    </row>
    <row r="357" spans="1:15">
      <c r="A357" s="4" t="s">
        <v>731</v>
      </c>
      <c r="B357">
        <f>澳门换算01!B356+澳门新定位结果!$P356</f>
        <v>1</v>
      </c>
      <c r="C357">
        <f>澳门换算01!C356+澳门新定位结果!$P356</f>
        <v>1</v>
      </c>
      <c r="D357" s="1">
        <f>澳门换算01!D356+澳门新定位结果!$P356</f>
        <v>0</v>
      </c>
      <c r="E357">
        <f>澳门换算01!E356+澳门新定位结果!$P356</f>
        <v>1</v>
      </c>
      <c r="F357">
        <f>澳门换算01!F356+澳门新定位结果!$P356</f>
        <v>0</v>
      </c>
      <c r="G357">
        <f>澳门换算01!G356+澳门新定位结果!$P356</f>
        <v>0</v>
      </c>
      <c r="H357">
        <f>澳门换算01!H356+澳门新定位结果!$P356</f>
        <v>0</v>
      </c>
      <c r="I357">
        <f>澳门换算01!I356+澳门新定位结果!$P356</f>
        <v>1</v>
      </c>
      <c r="J357" s="1">
        <f>澳门换算01!J356+澳门新定位结果!$P356</f>
        <v>1</v>
      </c>
      <c r="K357">
        <f>澳门换算01!K356+澳门新定位结果!$P356</f>
        <v>1</v>
      </c>
      <c r="L357">
        <f>澳门换算01!L356+澳门新定位结果!$P356</f>
        <v>1</v>
      </c>
      <c r="M357" s="1">
        <f>澳门换算01!M356+澳门新定位结果!$P356</f>
        <v>0</v>
      </c>
      <c r="N357">
        <f>澳门换算01!N356+澳门新定位结果!$P356</f>
        <v>0</v>
      </c>
      <c r="O357">
        <f>澳门换算01!O356+澳门新定位结果!$P356</f>
        <v>0</v>
      </c>
    </row>
    <row r="358" spans="1:15">
      <c r="A358" s="4" t="s">
        <v>733</v>
      </c>
      <c r="B358">
        <f>澳门换算01!B357+澳门新定位结果!$P357</f>
        <v>1</v>
      </c>
      <c r="C358">
        <f>澳门换算01!C357+澳门新定位结果!$P357</f>
        <v>0</v>
      </c>
      <c r="D358" s="1">
        <f>澳门换算01!D357+澳门新定位结果!$P357</f>
        <v>0</v>
      </c>
      <c r="E358">
        <f>澳门换算01!E357+澳门新定位结果!$P357</f>
        <v>0</v>
      </c>
      <c r="F358">
        <f>澳门换算01!F357+澳门新定位结果!$P357</f>
        <v>1</v>
      </c>
      <c r="G358">
        <f>澳门换算01!G357+澳门新定位结果!$P357</f>
        <v>1</v>
      </c>
      <c r="H358">
        <f>澳门换算01!H357+澳门新定位结果!$P357</f>
        <v>1</v>
      </c>
      <c r="I358">
        <f>澳门换算01!I357+澳门新定位结果!$P357</f>
        <v>1</v>
      </c>
      <c r="J358" s="1">
        <f>澳门换算01!J357+澳门新定位结果!$P357</f>
        <v>1</v>
      </c>
      <c r="K358">
        <f>澳门换算01!K357+澳门新定位结果!$P357</f>
        <v>0</v>
      </c>
      <c r="L358">
        <f>澳门换算01!L357+澳门新定位结果!$P357</f>
        <v>1</v>
      </c>
      <c r="M358" s="1">
        <f>澳门换算01!M357+澳门新定位结果!$P357</f>
        <v>0</v>
      </c>
      <c r="N358">
        <f>澳门换算01!N357+澳门新定位结果!$P357</f>
        <v>0</v>
      </c>
      <c r="O358">
        <f>澳门换算01!O357+澳门新定位结果!$P357</f>
        <v>1</v>
      </c>
    </row>
    <row r="359" spans="1:15">
      <c r="A359" s="4" t="s">
        <v>735</v>
      </c>
      <c r="B359">
        <f>澳门换算01!B358+澳门新定位结果!$P358</f>
        <v>1</v>
      </c>
      <c r="C359">
        <f>澳门换算01!C358+澳门新定位结果!$P358</f>
        <v>2</v>
      </c>
      <c r="D359" s="1">
        <f>澳门换算01!D358+澳门新定位结果!$P358</f>
        <v>2</v>
      </c>
      <c r="E359">
        <f>澳门换算01!E358+澳门新定位结果!$P358</f>
        <v>1</v>
      </c>
      <c r="F359">
        <f>澳门换算01!F358+澳门新定位结果!$P358</f>
        <v>2</v>
      </c>
      <c r="G359">
        <f>澳门换算01!G358+澳门新定位结果!$P358</f>
        <v>1</v>
      </c>
      <c r="H359">
        <f>澳门换算01!H358+澳门新定位结果!$P358</f>
        <v>2</v>
      </c>
      <c r="I359">
        <f>澳门换算01!I358+澳门新定位结果!$P358</f>
        <v>1</v>
      </c>
      <c r="J359" s="1">
        <f>澳门换算01!J358+澳门新定位结果!$P358</f>
        <v>2</v>
      </c>
      <c r="K359">
        <f>澳门换算01!K358+澳门新定位结果!$P358</f>
        <v>1</v>
      </c>
      <c r="L359">
        <f>澳门换算01!L358+澳门新定位结果!$P358</f>
        <v>1</v>
      </c>
      <c r="M359" s="1">
        <f>澳门换算01!M358+澳门新定位结果!$P358</f>
        <v>2</v>
      </c>
      <c r="N359">
        <f>澳门换算01!N358+澳门新定位结果!$P358</f>
        <v>2</v>
      </c>
      <c r="O359">
        <f>澳门换算01!O358+澳门新定位结果!$P358</f>
        <v>2</v>
      </c>
    </row>
    <row r="360" spans="1:15">
      <c r="A360" s="4" t="s">
        <v>737</v>
      </c>
      <c r="B360">
        <f>澳门换算01!B359+澳门新定位结果!$P359</f>
        <v>0</v>
      </c>
      <c r="C360">
        <f>澳门换算01!C359+澳门新定位结果!$P359</f>
        <v>0</v>
      </c>
      <c r="D360" s="1">
        <f>澳门换算01!D359+澳门新定位结果!$P359</f>
        <v>0</v>
      </c>
      <c r="E360">
        <f>澳门换算01!E359+澳门新定位结果!$P359</f>
        <v>1</v>
      </c>
      <c r="F360">
        <f>澳门换算01!F359+澳门新定位结果!$P359</f>
        <v>0</v>
      </c>
      <c r="G360">
        <f>澳门换算01!G359+澳门新定位结果!$P359</f>
        <v>1</v>
      </c>
      <c r="H360">
        <f>澳门换算01!H359+澳门新定位结果!$P359</f>
        <v>0</v>
      </c>
      <c r="I360">
        <f>澳门换算01!I359+澳门新定位结果!$P359</f>
        <v>1</v>
      </c>
      <c r="J360" s="1">
        <f>澳门换算01!J359+澳门新定位结果!$P359</f>
        <v>0</v>
      </c>
      <c r="K360">
        <f>澳门换算01!K359+澳门新定位结果!$P359</f>
        <v>0</v>
      </c>
      <c r="L360">
        <f>澳门换算01!L359+澳门新定位结果!$P359</f>
        <v>0</v>
      </c>
      <c r="M360" s="1">
        <f>澳门换算01!M359+澳门新定位结果!$P359</f>
        <v>0</v>
      </c>
      <c r="N360">
        <f>澳门换算01!N359+澳门新定位结果!$P359</f>
        <v>0</v>
      </c>
      <c r="O360">
        <f>澳门换算01!O359+澳门新定位结果!$P359</f>
        <v>0</v>
      </c>
    </row>
    <row r="361" spans="1:15">
      <c r="A361" s="4" t="s">
        <v>739</v>
      </c>
      <c r="B361">
        <f>澳门换算01!B360+澳门新定位结果!$P360</f>
        <v>2</v>
      </c>
      <c r="C361">
        <f>澳门换算01!C360+澳门新定位结果!$P360</f>
        <v>2</v>
      </c>
      <c r="D361" s="1">
        <f>澳门换算01!D360+澳门新定位结果!$P360</f>
        <v>1</v>
      </c>
      <c r="E361">
        <f>澳门换算01!E360+澳门新定位结果!$P360</f>
        <v>2</v>
      </c>
      <c r="F361">
        <f>澳门换算01!F360+澳门新定位结果!$P360</f>
        <v>2</v>
      </c>
      <c r="G361">
        <f>澳门换算01!G360+澳门新定位结果!$P360</f>
        <v>2</v>
      </c>
      <c r="H361">
        <f>澳门换算01!H360+澳门新定位结果!$P360</f>
        <v>1</v>
      </c>
      <c r="I361">
        <f>澳门换算01!I360+澳门新定位结果!$P360</f>
        <v>2</v>
      </c>
      <c r="J361" s="1">
        <f>澳门换算01!J360+澳门新定位结果!$P360</f>
        <v>1</v>
      </c>
      <c r="K361">
        <f>澳门换算01!K360+澳门新定位结果!$P360</f>
        <v>2</v>
      </c>
      <c r="L361">
        <f>澳门换算01!L360+澳门新定位结果!$P360</f>
        <v>2</v>
      </c>
      <c r="M361" s="1">
        <f>澳门换算01!M360+澳门新定位结果!$P360</f>
        <v>1</v>
      </c>
      <c r="N361">
        <f>澳门换算01!N360+澳门新定位结果!$P360</f>
        <v>2</v>
      </c>
      <c r="O361">
        <f>澳门换算01!O360+澳门新定位结果!$P360</f>
        <v>2</v>
      </c>
    </row>
    <row r="362" spans="1:15">
      <c r="A362" s="4" t="s">
        <v>741</v>
      </c>
      <c r="B362">
        <f>澳门换算01!B361+澳门新定位结果!$P361</f>
        <v>1</v>
      </c>
      <c r="C362">
        <f>澳门换算01!C361+澳门新定位结果!$P361</f>
        <v>1</v>
      </c>
      <c r="D362" s="1">
        <f>澳门换算01!D361+澳门新定位结果!$P361</f>
        <v>0</v>
      </c>
      <c r="E362">
        <f>澳门换算01!E361+澳门新定位结果!$P361</f>
        <v>1</v>
      </c>
      <c r="F362">
        <f>澳门换算01!F361+澳门新定位结果!$P361</f>
        <v>0</v>
      </c>
      <c r="G362">
        <f>澳门换算01!G361+澳门新定位结果!$P361</f>
        <v>0</v>
      </c>
      <c r="H362">
        <f>澳门换算01!H361+澳门新定位结果!$P361</f>
        <v>0</v>
      </c>
      <c r="I362">
        <f>澳门换算01!I361+澳门新定位结果!$P361</f>
        <v>1</v>
      </c>
      <c r="J362" s="1">
        <f>澳门换算01!J361+澳门新定位结果!$P361</f>
        <v>1</v>
      </c>
      <c r="K362">
        <f>澳门换算01!K361+澳门新定位结果!$P361</f>
        <v>1</v>
      </c>
      <c r="L362">
        <f>澳门换算01!L361+澳门新定位结果!$P361</f>
        <v>0</v>
      </c>
      <c r="M362" s="1">
        <f>澳门换算01!M361+澳门新定位结果!$P361</f>
        <v>0</v>
      </c>
      <c r="N362">
        <f>澳门换算01!N361+澳门新定位结果!$P361</f>
        <v>1</v>
      </c>
      <c r="O362">
        <f>澳门换算01!O361+澳门新定位结果!$P361</f>
        <v>0</v>
      </c>
    </row>
    <row r="363" spans="1:15">
      <c r="A363" s="4" t="s">
        <v>743</v>
      </c>
      <c r="B363">
        <f>澳门换算01!B362+澳门新定位结果!$P362</f>
        <v>0</v>
      </c>
      <c r="C363">
        <f>澳门换算01!C362+澳门新定位结果!$P362</f>
        <v>0</v>
      </c>
      <c r="D363" s="1">
        <f>澳门换算01!D362+澳门新定位结果!$P362</f>
        <v>0</v>
      </c>
      <c r="E363">
        <f>澳门换算01!E362+澳门新定位结果!$P362</f>
        <v>1</v>
      </c>
      <c r="F363">
        <f>澳门换算01!F362+澳门新定位结果!$P362</f>
        <v>1</v>
      </c>
      <c r="G363">
        <f>澳门换算01!G362+澳门新定位结果!$P362</f>
        <v>0</v>
      </c>
      <c r="H363">
        <f>澳门换算01!H362+澳门新定位结果!$P362</f>
        <v>0</v>
      </c>
      <c r="I363">
        <f>澳门换算01!I362+澳门新定位结果!$P362</f>
        <v>0</v>
      </c>
      <c r="J363" s="1">
        <f>澳门换算01!J362+澳门新定位结果!$P362</f>
        <v>0</v>
      </c>
      <c r="K363">
        <f>澳门换算01!K362+澳门新定位结果!$P362</f>
        <v>0</v>
      </c>
      <c r="L363">
        <f>澳门换算01!L362+澳门新定位结果!$P362</f>
        <v>1</v>
      </c>
      <c r="M363" s="1">
        <f>澳门换算01!M362+澳门新定位结果!$P362</f>
        <v>0</v>
      </c>
      <c r="N363">
        <f>澳门换算01!N362+澳门新定位结果!$P362</f>
        <v>0</v>
      </c>
      <c r="O363">
        <f>澳门换算01!O362+澳门新定位结果!$P362</f>
        <v>0</v>
      </c>
    </row>
    <row r="364" spans="1:15">
      <c r="A364" s="5" t="s">
        <v>745</v>
      </c>
      <c r="B364">
        <f>澳门换算01!B363+澳门新定位结果!$P363</f>
        <v>0</v>
      </c>
      <c r="C364">
        <f>澳门换算01!C363+澳门新定位结果!$P363</f>
        <v>0</v>
      </c>
      <c r="D364" s="1">
        <f>澳门换算01!D363+澳门新定位结果!$P363</f>
        <v>1</v>
      </c>
      <c r="E364">
        <f>澳门换算01!E363+澳门新定位结果!$P363</f>
        <v>1</v>
      </c>
      <c r="F364">
        <f>澳门换算01!F363+澳门新定位结果!$P363</f>
        <v>1</v>
      </c>
      <c r="G364">
        <f>澳门换算01!G363+澳门新定位结果!$P363</f>
        <v>0</v>
      </c>
      <c r="H364">
        <f>澳门换算01!H363+澳门新定位结果!$P363</f>
        <v>0</v>
      </c>
      <c r="I364">
        <f>澳门换算01!I363+澳门新定位结果!$P363</f>
        <v>1</v>
      </c>
      <c r="J364" s="1">
        <f>澳门换算01!J363+澳门新定位结果!$P363</f>
        <v>1</v>
      </c>
      <c r="K364">
        <f>澳门换算01!K363+澳门新定位结果!$P363</f>
        <v>1</v>
      </c>
      <c r="L364">
        <f>澳门换算01!L363+澳门新定位结果!$P363</f>
        <v>0</v>
      </c>
      <c r="M364" s="1">
        <f>澳门换算01!M363+澳门新定位结果!$P363</f>
        <v>0</v>
      </c>
      <c r="N364">
        <f>澳门换算01!N363+澳门新定位结果!$P363</f>
        <v>1</v>
      </c>
      <c r="O364">
        <f>澳门换算01!O363+澳门新定位结果!$P363</f>
        <v>1</v>
      </c>
    </row>
    <row r="365" spans="1:15">
      <c r="A365" s="5" t="s">
        <v>747</v>
      </c>
      <c r="B365">
        <f>澳门换算01!B364+澳门新定位结果!$P364</f>
        <v>1</v>
      </c>
      <c r="C365">
        <f>澳门换算01!C364+澳门新定位结果!$P364</f>
        <v>1</v>
      </c>
      <c r="D365" s="1">
        <f>澳门换算01!D364+澳门新定位结果!$P364</f>
        <v>1</v>
      </c>
      <c r="E365">
        <f>澳门换算01!E364+澳门新定位结果!$P364</f>
        <v>2</v>
      </c>
      <c r="F365">
        <f>澳门换算01!F364+澳门新定位结果!$P364</f>
        <v>1</v>
      </c>
      <c r="G365">
        <f>澳门换算01!G364+澳门新定位结果!$P364</f>
        <v>1</v>
      </c>
      <c r="H365">
        <f>澳门换算01!H364+澳门新定位结果!$P364</f>
        <v>1</v>
      </c>
      <c r="I365">
        <f>澳门换算01!I364+澳门新定位结果!$P364</f>
        <v>2</v>
      </c>
      <c r="J365" s="1">
        <f>澳门换算01!J364+澳门新定位结果!$P364</f>
        <v>1</v>
      </c>
      <c r="K365">
        <f>澳门换算01!K364+澳门新定位结果!$P364</f>
        <v>2</v>
      </c>
      <c r="L365">
        <f>澳门换算01!L364+澳门新定位结果!$P364</f>
        <v>2</v>
      </c>
      <c r="M365" s="1">
        <f>澳门换算01!M364+澳门新定位结果!$P364</f>
        <v>1</v>
      </c>
      <c r="N365">
        <f>澳门换算01!N364+澳门新定位结果!$P364</f>
        <v>2</v>
      </c>
      <c r="O365">
        <f>澳门换算01!O364+澳门新定位结果!$P364</f>
        <v>2</v>
      </c>
    </row>
    <row r="366" spans="1:15">
      <c r="A366" s="5" t="s">
        <v>749</v>
      </c>
      <c r="B366">
        <f>澳门换算01!B365+澳门新定位结果!$P365</f>
        <v>1</v>
      </c>
      <c r="C366">
        <f>澳门换算01!C365+澳门新定位结果!$P365</f>
        <v>0</v>
      </c>
      <c r="D366" s="1">
        <f>澳门换算01!D365+澳门新定位结果!$P365</f>
        <v>1</v>
      </c>
      <c r="E366">
        <f>澳门换算01!E365+澳门新定位结果!$P365</f>
        <v>1</v>
      </c>
      <c r="F366">
        <f>澳门换算01!F365+澳门新定位结果!$P365</f>
        <v>0</v>
      </c>
      <c r="G366">
        <f>澳门换算01!G365+澳门新定位结果!$P365</f>
        <v>1</v>
      </c>
      <c r="H366">
        <f>澳门换算01!H365+澳门新定位结果!$P365</f>
        <v>0</v>
      </c>
      <c r="I366">
        <f>澳门换算01!I365+澳门新定位结果!$P365</f>
        <v>1</v>
      </c>
      <c r="J366" s="1">
        <f>澳门换算01!J365+澳门新定位结果!$P365</f>
        <v>0</v>
      </c>
      <c r="K366">
        <f>澳门换算01!K365+澳门新定位结果!$P365</f>
        <v>0</v>
      </c>
      <c r="L366">
        <f>澳门换算01!L365+澳门新定位结果!$P365</f>
        <v>1</v>
      </c>
      <c r="M366" s="1">
        <f>澳门换算01!M365+澳门新定位结果!$P365</f>
        <v>1</v>
      </c>
      <c r="N366">
        <f>澳门换算01!N365+澳门新定位结果!$P365</f>
        <v>1</v>
      </c>
      <c r="O366">
        <f>澳门换算01!O365+澳门新定位结果!$P365</f>
        <v>0</v>
      </c>
    </row>
    <row r="367" spans="1:15">
      <c r="A367" s="5" t="s">
        <v>751</v>
      </c>
      <c r="B367">
        <f>澳门换算01!B366+澳门新定位结果!$P366</f>
        <v>0</v>
      </c>
      <c r="C367">
        <f>澳门换算01!C366+澳门新定位结果!$P366</f>
        <v>0</v>
      </c>
      <c r="D367" s="1">
        <f>澳门换算01!D366+澳门新定位结果!$P366</f>
        <v>0</v>
      </c>
      <c r="E367">
        <f>澳门换算01!E366+澳门新定位结果!$P366</f>
        <v>0</v>
      </c>
      <c r="F367">
        <f>澳门换算01!F366+澳门新定位结果!$P366</f>
        <v>0</v>
      </c>
      <c r="G367">
        <f>澳门换算01!G366+澳门新定位结果!$P366</f>
        <v>0</v>
      </c>
      <c r="H367">
        <f>澳门换算01!H366+澳门新定位结果!$P366</f>
        <v>1</v>
      </c>
      <c r="I367">
        <f>澳门换算01!I366+澳门新定位结果!$P366</f>
        <v>1</v>
      </c>
      <c r="J367" s="1">
        <f>澳门换算01!J366+澳门新定位结果!$P366</f>
        <v>0</v>
      </c>
      <c r="K367">
        <f>澳门换算01!K366+澳门新定位结果!$P366</f>
        <v>1</v>
      </c>
      <c r="L367">
        <f>澳门换算01!L366+澳门新定位结果!$P366</f>
        <v>1</v>
      </c>
      <c r="M367" s="1">
        <f>澳门换算01!M366+澳门新定位结果!$P366</f>
        <v>1</v>
      </c>
      <c r="N367">
        <f>澳门换算01!N366+澳门新定位结果!$P366</f>
        <v>0</v>
      </c>
      <c r="O367">
        <f>澳门换算01!O366+澳门新定位结果!$P366</f>
        <v>0</v>
      </c>
    </row>
    <row r="368" spans="1:15">
      <c r="A368" s="5" t="s">
        <v>753</v>
      </c>
      <c r="B368">
        <f>澳门换算01!B367+澳门新定位结果!$P367</f>
        <v>0</v>
      </c>
      <c r="C368">
        <f>澳门换算01!C367+澳门新定位结果!$P367</f>
        <v>1</v>
      </c>
      <c r="D368" s="1">
        <f>澳门换算01!D367+澳门新定位结果!$P367</f>
        <v>0</v>
      </c>
      <c r="E368">
        <f>澳门换算01!E367+澳门新定位结果!$P367</f>
        <v>1</v>
      </c>
      <c r="F368">
        <f>澳门换算01!F367+澳门新定位结果!$P367</f>
        <v>1</v>
      </c>
      <c r="G368">
        <f>澳门换算01!G367+澳门新定位结果!$P367</f>
        <v>0</v>
      </c>
      <c r="H368">
        <f>澳门换算01!H367+澳门新定位结果!$P367</f>
        <v>1</v>
      </c>
      <c r="I368">
        <f>澳门换算01!I367+澳门新定位结果!$P367</f>
        <v>1</v>
      </c>
      <c r="J368" s="1">
        <f>澳门换算01!J367+澳门新定位结果!$P367</f>
        <v>0</v>
      </c>
      <c r="K368">
        <f>澳门换算01!K367+澳门新定位结果!$P367</f>
        <v>0</v>
      </c>
      <c r="L368">
        <f>澳门换算01!L367+澳门新定位结果!$P367</f>
        <v>1</v>
      </c>
      <c r="M368" s="1">
        <f>澳门换算01!M367+澳门新定位结果!$P367</f>
        <v>0</v>
      </c>
      <c r="N368">
        <f>澳门换算01!N367+澳门新定位结果!$P367</f>
        <v>1</v>
      </c>
      <c r="O368">
        <f>澳门换算01!O367+澳门新定位结果!$P367</f>
        <v>1</v>
      </c>
    </row>
    <row r="369" spans="1:15">
      <c r="A369" s="5" t="s">
        <v>755</v>
      </c>
      <c r="B369">
        <f>澳门换算01!B368+澳门新定位结果!$P368</f>
        <v>2</v>
      </c>
      <c r="C369">
        <f>澳门换算01!C368+澳门新定位结果!$P368</f>
        <v>1</v>
      </c>
      <c r="D369" s="1">
        <f>澳门换算01!D368+澳门新定位结果!$P368</f>
        <v>2</v>
      </c>
      <c r="E369">
        <f>澳门换算01!E368+澳门新定位结果!$P368</f>
        <v>2</v>
      </c>
      <c r="F369">
        <f>澳门换算01!F368+澳门新定位结果!$P368</f>
        <v>1</v>
      </c>
      <c r="G369">
        <f>澳门换算01!G368+澳门新定位结果!$P368</f>
        <v>2</v>
      </c>
      <c r="H369">
        <f>澳门换算01!H368+澳门新定位结果!$P368</f>
        <v>1</v>
      </c>
      <c r="I369">
        <f>澳门换算01!I368+澳门新定位结果!$P368</f>
        <v>1</v>
      </c>
      <c r="J369" s="1">
        <f>澳门换算01!J368+澳门新定位结果!$P368</f>
        <v>1</v>
      </c>
      <c r="K369">
        <f>澳门换算01!K368+澳门新定位结果!$P368</f>
        <v>2</v>
      </c>
      <c r="L369">
        <f>澳门换算01!L368+澳门新定位结果!$P368</f>
        <v>1</v>
      </c>
      <c r="M369" s="1">
        <f>澳门换算01!M368+澳门新定位结果!$P368</f>
        <v>1</v>
      </c>
      <c r="N369">
        <f>澳门换算01!N368+澳门新定位结果!$P368</f>
        <v>2</v>
      </c>
      <c r="O369">
        <f>澳门换算01!O368+澳门新定位结果!$P368</f>
        <v>2</v>
      </c>
    </row>
    <row r="370" spans="1:15">
      <c r="A370" s="5" t="s">
        <v>757</v>
      </c>
      <c r="B370">
        <f>澳门换算01!B369+澳门新定位结果!$P369</f>
        <v>0</v>
      </c>
      <c r="C370">
        <f>澳门换算01!C369+澳门新定位结果!$P369</f>
        <v>1</v>
      </c>
      <c r="D370" s="1">
        <f>澳门换算01!D369+澳门新定位结果!$P369</f>
        <v>1</v>
      </c>
      <c r="E370">
        <f>澳门换算01!E369+澳门新定位结果!$P369</f>
        <v>0</v>
      </c>
      <c r="F370">
        <f>澳门换算01!F369+澳门新定位结果!$P369</f>
        <v>0</v>
      </c>
      <c r="G370">
        <f>澳门换算01!G369+澳门新定位结果!$P369</f>
        <v>0</v>
      </c>
      <c r="H370">
        <f>澳门换算01!H369+澳门新定位结果!$P369</f>
        <v>1</v>
      </c>
      <c r="I370">
        <f>澳门换算01!I369+澳门新定位结果!$P369</f>
        <v>1</v>
      </c>
      <c r="J370" s="1">
        <f>澳门换算01!J369+澳门新定位结果!$P369</f>
        <v>0</v>
      </c>
      <c r="K370">
        <f>澳门换算01!K369+澳门新定位结果!$P369</f>
        <v>0</v>
      </c>
      <c r="L370">
        <f>澳门换算01!L369+澳门新定位结果!$P369</f>
        <v>1</v>
      </c>
      <c r="M370" s="1">
        <f>澳门换算01!M369+澳门新定位结果!$P369</f>
        <v>1</v>
      </c>
      <c r="N370">
        <f>澳门换算01!N369+澳门新定位结果!$P369</f>
        <v>0</v>
      </c>
      <c r="O370">
        <f>澳门换算01!O369+澳门新定位结果!$P369</f>
        <v>1</v>
      </c>
    </row>
    <row r="371" spans="1:15">
      <c r="A371" s="5" t="s">
        <v>759</v>
      </c>
      <c r="B371">
        <f>澳门换算01!B370+澳门新定位结果!$P370</f>
        <v>0</v>
      </c>
      <c r="C371">
        <f>澳门换算01!C370+澳门新定位结果!$P370</f>
        <v>0</v>
      </c>
      <c r="D371" s="1">
        <f>澳门换算01!D370+澳门新定位结果!$P370</f>
        <v>0</v>
      </c>
      <c r="E371">
        <f>澳门换算01!E370+澳门新定位结果!$P370</f>
        <v>1</v>
      </c>
      <c r="F371">
        <f>澳门换算01!F370+澳门新定位结果!$P370</f>
        <v>1</v>
      </c>
      <c r="G371">
        <f>澳门换算01!G370+澳门新定位结果!$P370</f>
        <v>0</v>
      </c>
      <c r="H371">
        <f>澳门换算01!H370+澳门新定位结果!$P370</f>
        <v>0</v>
      </c>
      <c r="I371">
        <f>澳门换算01!I370+澳门新定位结果!$P370</f>
        <v>1</v>
      </c>
      <c r="J371" s="1">
        <f>澳门换算01!J370+澳门新定位结果!$P370</f>
        <v>1</v>
      </c>
      <c r="K371">
        <f>澳门换算01!K370+澳门新定位结果!$P370</f>
        <v>0</v>
      </c>
      <c r="L371">
        <f>澳门换算01!L370+澳门新定位结果!$P370</f>
        <v>0</v>
      </c>
      <c r="M371" s="1">
        <f>澳门换算01!M370+澳门新定位结果!$P370</f>
        <v>1</v>
      </c>
      <c r="N371">
        <f>澳门换算01!N370+澳门新定位结果!$P370</f>
        <v>1</v>
      </c>
      <c r="O371">
        <f>澳门换算01!O370+澳门新定位结果!$P370</f>
        <v>1</v>
      </c>
    </row>
    <row r="372" spans="1:15">
      <c r="A372" s="5" t="s">
        <v>761</v>
      </c>
      <c r="B372">
        <f>澳门换算01!B371+澳门新定位结果!$P371</f>
        <v>1</v>
      </c>
      <c r="C372">
        <f>澳门换算01!C371+澳门新定位结果!$P371</f>
        <v>1</v>
      </c>
      <c r="D372" s="1">
        <f>澳门换算01!D371+澳门新定位结果!$P371</f>
        <v>2</v>
      </c>
      <c r="E372">
        <f>澳门换算01!E371+澳门新定位结果!$P371</f>
        <v>2</v>
      </c>
      <c r="F372">
        <f>澳门换算01!F371+澳门新定位结果!$P371</f>
        <v>1</v>
      </c>
      <c r="G372">
        <f>澳门换算01!G371+澳门新定位结果!$P371</f>
        <v>1</v>
      </c>
      <c r="H372">
        <f>澳门换算01!H371+澳门新定位结果!$P371</f>
        <v>1</v>
      </c>
      <c r="I372">
        <f>澳门换算01!I371+澳门新定位结果!$P371</f>
        <v>2</v>
      </c>
      <c r="J372" s="1">
        <f>澳门换算01!J371+澳门新定位结果!$P371</f>
        <v>1</v>
      </c>
      <c r="K372">
        <f>澳门换算01!K371+澳门新定位结果!$P371</f>
        <v>1</v>
      </c>
      <c r="L372">
        <f>澳门换算01!L371+澳门新定位结果!$P371</f>
        <v>1</v>
      </c>
      <c r="M372" s="1">
        <f>澳门换算01!M371+澳门新定位结果!$P371</f>
        <v>1</v>
      </c>
      <c r="N372">
        <f>澳门换算01!N371+澳门新定位结果!$P371</f>
        <v>1</v>
      </c>
      <c r="O372">
        <f>澳门换算01!O371+澳门新定位结果!$P371</f>
        <v>1</v>
      </c>
    </row>
    <row r="373" spans="1:15">
      <c r="A373" s="5" t="s">
        <v>763</v>
      </c>
      <c r="B373">
        <f>澳门换算01!B372+澳门新定位结果!$P372</f>
        <v>2</v>
      </c>
      <c r="C373">
        <f>澳门换算01!C372+澳门新定位结果!$P372</f>
        <v>2</v>
      </c>
      <c r="D373" s="1">
        <f>澳门换算01!D372+澳门新定位结果!$P372</f>
        <v>1</v>
      </c>
      <c r="E373">
        <f>澳门换算01!E372+澳门新定位结果!$P372</f>
        <v>1</v>
      </c>
      <c r="F373">
        <f>澳门换算01!F372+澳门新定位结果!$P372</f>
        <v>2</v>
      </c>
      <c r="G373">
        <f>澳门换算01!G372+澳门新定位结果!$P372</f>
        <v>1</v>
      </c>
      <c r="H373">
        <f>澳门换算01!H372+澳门新定位结果!$P372</f>
        <v>2</v>
      </c>
      <c r="I373">
        <f>澳门换算01!I372+澳门新定位结果!$P372</f>
        <v>2</v>
      </c>
      <c r="J373" s="1">
        <f>澳门换算01!J372+澳门新定位结果!$P372</f>
        <v>1</v>
      </c>
      <c r="K373">
        <f>澳门换算01!K372+澳门新定位结果!$P372</f>
        <v>2</v>
      </c>
      <c r="L373">
        <f>澳门换算01!L372+澳门新定位结果!$P372</f>
        <v>1</v>
      </c>
      <c r="M373" s="1">
        <f>澳门换算01!M372+澳门新定位结果!$P372</f>
        <v>1</v>
      </c>
      <c r="N373">
        <f>澳门换算01!N372+澳门新定位结果!$P372</f>
        <v>1</v>
      </c>
      <c r="O373">
        <f>澳门换算01!O372+澳门新定位结果!$P372</f>
        <v>2</v>
      </c>
    </row>
    <row r="374" spans="1:15">
      <c r="A374" s="5" t="s">
        <v>765</v>
      </c>
      <c r="B374">
        <f>澳门换算01!B373+澳门新定位结果!$P373</f>
        <v>1</v>
      </c>
      <c r="C374">
        <f>澳门换算01!C373+澳门新定位结果!$P373</f>
        <v>2</v>
      </c>
      <c r="D374" s="1">
        <f>澳门换算01!D373+澳门新定位结果!$P373</f>
        <v>1</v>
      </c>
      <c r="E374">
        <f>澳门换算01!E373+澳门新定位结果!$P373</f>
        <v>2</v>
      </c>
      <c r="F374">
        <f>澳门换算01!F373+澳门新定位结果!$P373</f>
        <v>1</v>
      </c>
      <c r="G374">
        <f>澳门换算01!G373+澳门新定位结果!$P373</f>
        <v>1</v>
      </c>
      <c r="H374">
        <f>澳门换算01!H373+澳门新定位结果!$P373</f>
        <v>2</v>
      </c>
      <c r="I374">
        <f>澳门换算01!I373+澳门新定位结果!$P373</f>
        <v>1</v>
      </c>
      <c r="J374" s="1">
        <f>澳门换算01!J373+澳门新定位结果!$P373</f>
        <v>1</v>
      </c>
      <c r="K374">
        <f>澳门换算01!K373+澳门新定位结果!$P373</f>
        <v>1</v>
      </c>
      <c r="L374">
        <f>澳门换算01!L373+澳门新定位结果!$P373</f>
        <v>2</v>
      </c>
      <c r="M374" s="1">
        <f>澳门换算01!M373+澳门新定位结果!$P373</f>
        <v>1</v>
      </c>
      <c r="N374">
        <f>澳门换算01!N373+澳门新定位结果!$P373</f>
        <v>2</v>
      </c>
      <c r="O374">
        <f>澳门换算01!O373+澳门新定位结果!$P373</f>
        <v>1</v>
      </c>
    </row>
    <row r="375" spans="1:15">
      <c r="A375" s="5" t="s">
        <v>767</v>
      </c>
      <c r="B375">
        <f>澳门换算01!B374+澳门新定位结果!$P374</f>
        <v>2</v>
      </c>
      <c r="C375">
        <f>澳门换算01!C374+澳门新定位结果!$P374</f>
        <v>2</v>
      </c>
      <c r="D375" s="1">
        <f>澳门换算01!D374+澳门新定位结果!$P374</f>
        <v>1</v>
      </c>
      <c r="E375">
        <f>澳门换算01!E374+澳门新定位结果!$P374</f>
        <v>2</v>
      </c>
      <c r="F375">
        <f>澳门换算01!F374+澳门新定位结果!$P374</f>
        <v>1</v>
      </c>
      <c r="G375">
        <f>澳门换算01!G374+澳门新定位结果!$P374</f>
        <v>2</v>
      </c>
      <c r="H375">
        <f>澳门换算01!H374+澳门新定位结果!$P374</f>
        <v>2</v>
      </c>
      <c r="I375">
        <f>澳门换算01!I374+澳门新定位结果!$P374</f>
        <v>2</v>
      </c>
      <c r="J375" s="1">
        <f>澳门换算01!J374+澳门新定位结果!$P374</f>
        <v>1</v>
      </c>
      <c r="K375">
        <f>澳门换算01!K374+澳门新定位结果!$P374</f>
        <v>2</v>
      </c>
      <c r="L375">
        <f>澳门换算01!L374+澳门新定位结果!$P374</f>
        <v>2</v>
      </c>
      <c r="M375" s="1">
        <f>澳门换算01!M374+澳门新定位结果!$P374</f>
        <v>1</v>
      </c>
      <c r="N375">
        <f>澳门换算01!N374+澳门新定位结果!$P374</f>
        <v>2</v>
      </c>
      <c r="O375">
        <f>澳门换算01!O374+澳门新定位结果!$P374</f>
        <v>1</v>
      </c>
    </row>
    <row r="376" spans="1:15">
      <c r="A376" s="5" t="s">
        <v>769</v>
      </c>
      <c r="B376">
        <f>澳门换算01!B375+澳门新定位结果!$P375</f>
        <v>0</v>
      </c>
      <c r="C376">
        <f>澳门换算01!C375+澳门新定位结果!$P375</f>
        <v>1</v>
      </c>
      <c r="D376" s="1">
        <f>澳门换算01!D375+澳门新定位结果!$P375</f>
        <v>0</v>
      </c>
      <c r="E376">
        <f>澳门换算01!E375+澳门新定位结果!$P375</f>
        <v>0</v>
      </c>
      <c r="F376">
        <f>澳门换算01!F375+澳门新定位结果!$P375</f>
        <v>1</v>
      </c>
      <c r="G376">
        <f>澳门换算01!G375+澳门新定位结果!$P375</f>
        <v>0</v>
      </c>
      <c r="H376">
        <f>澳门换算01!H375+澳门新定位结果!$P375</f>
        <v>0</v>
      </c>
      <c r="I376">
        <f>澳门换算01!I375+澳门新定位结果!$P375</f>
        <v>0</v>
      </c>
      <c r="J376" s="1">
        <f>澳门换算01!J375+澳门新定位结果!$P375</f>
        <v>0</v>
      </c>
      <c r="K376">
        <f>澳门换算01!K375+澳门新定位结果!$P375</f>
        <v>1</v>
      </c>
      <c r="L376">
        <f>澳门换算01!L375+澳门新定位结果!$P375</f>
        <v>0</v>
      </c>
      <c r="M376" s="1">
        <f>澳门换算01!M375+澳门新定位结果!$P375</f>
        <v>0</v>
      </c>
      <c r="N376">
        <f>澳门换算01!N375+澳门新定位结果!$P375</f>
        <v>1</v>
      </c>
      <c r="O376">
        <f>澳门换算01!O375+澳门新定位结果!$P375</f>
        <v>1</v>
      </c>
    </row>
    <row r="377" spans="1:15">
      <c r="A377" s="4" t="s">
        <v>771</v>
      </c>
      <c r="B377">
        <f>澳门换算01!B376+澳门新定位结果!$P376</f>
        <v>1</v>
      </c>
      <c r="C377">
        <f>澳门换算01!C376+澳门新定位结果!$P376</f>
        <v>1</v>
      </c>
      <c r="D377" s="1">
        <f>澳门换算01!D376+澳门新定位结果!$P376</f>
        <v>0</v>
      </c>
      <c r="E377">
        <f>澳门换算01!E376+澳门新定位结果!$P376</f>
        <v>1</v>
      </c>
      <c r="F377">
        <f>澳门换算01!F376+澳门新定位结果!$P376</f>
        <v>0</v>
      </c>
      <c r="G377">
        <f>澳门换算01!G376+澳门新定位结果!$P376</f>
        <v>1</v>
      </c>
      <c r="H377">
        <f>澳门换算01!H376+澳门新定位结果!$P376</f>
        <v>1</v>
      </c>
      <c r="I377">
        <f>澳门换算01!I376+澳门新定位结果!$P376</f>
        <v>1</v>
      </c>
      <c r="J377" s="1">
        <f>澳门换算01!J376+澳门新定位结果!$P376</f>
        <v>1</v>
      </c>
      <c r="K377">
        <f>澳门换算01!K376+澳门新定位结果!$P376</f>
        <v>1</v>
      </c>
      <c r="L377">
        <f>澳门换算01!L376+澳门新定位结果!$P376</f>
        <v>1</v>
      </c>
      <c r="M377" s="1">
        <f>澳门换算01!M376+澳门新定位结果!$P376</f>
        <v>1</v>
      </c>
      <c r="N377">
        <f>澳门换算01!N376+澳门新定位结果!$P376</f>
        <v>0</v>
      </c>
      <c r="O377">
        <f>澳门换算01!O376+澳门新定位结果!$P376</f>
        <v>0</v>
      </c>
    </row>
    <row r="378" spans="1:15">
      <c r="A378" s="4" t="s">
        <v>773</v>
      </c>
      <c r="B378">
        <f>澳门换算01!B377+澳门新定位结果!$P377</f>
        <v>1</v>
      </c>
      <c r="C378">
        <f>澳门换算01!C377+澳门新定位结果!$P377</f>
        <v>2</v>
      </c>
      <c r="D378" s="1">
        <f>澳门换算01!D377+澳门新定位结果!$P377</f>
        <v>1</v>
      </c>
      <c r="E378">
        <f>澳门换算01!E377+澳门新定位结果!$P377</f>
        <v>1</v>
      </c>
      <c r="F378">
        <f>澳门换算01!F377+澳门新定位结果!$P377</f>
        <v>1</v>
      </c>
      <c r="G378">
        <f>澳门换算01!G377+澳门新定位结果!$P377</f>
        <v>1</v>
      </c>
      <c r="H378">
        <f>澳门换算01!H377+澳门新定位结果!$P377</f>
        <v>1</v>
      </c>
      <c r="I378">
        <f>澳门换算01!I377+澳门新定位结果!$P377</f>
        <v>2</v>
      </c>
      <c r="J378" s="1">
        <f>澳门换算01!J377+澳门新定位结果!$P377</f>
        <v>2</v>
      </c>
      <c r="K378">
        <f>澳门换算01!K377+澳门新定位结果!$P377</f>
        <v>2</v>
      </c>
      <c r="L378">
        <f>澳门换算01!L377+澳门新定位结果!$P377</f>
        <v>2</v>
      </c>
      <c r="M378" s="1">
        <f>澳门换算01!M377+澳门新定位结果!$P377</f>
        <v>1</v>
      </c>
      <c r="N378">
        <f>澳门换算01!N377+澳门新定位结果!$P377</f>
        <v>1</v>
      </c>
      <c r="O378">
        <f>澳门换算01!O377+澳门新定位结果!$P377</f>
        <v>2</v>
      </c>
    </row>
    <row r="379" spans="1:15">
      <c r="A379" s="4" t="s">
        <v>775</v>
      </c>
      <c r="B379">
        <f>澳门换算01!B378+澳门新定位结果!$P378</f>
        <v>1</v>
      </c>
      <c r="C379">
        <f>澳门换算01!C378+澳门新定位结果!$P378</f>
        <v>1</v>
      </c>
      <c r="D379" s="1">
        <f>澳门换算01!D378+澳门新定位结果!$P378</f>
        <v>1</v>
      </c>
      <c r="E379">
        <f>澳门换算01!E378+澳门新定位结果!$P378</f>
        <v>2</v>
      </c>
      <c r="F379">
        <f>澳门换算01!F378+澳门新定位结果!$P378</f>
        <v>2</v>
      </c>
      <c r="G379">
        <f>澳门换算01!G378+澳门新定位结果!$P378</f>
        <v>1</v>
      </c>
      <c r="H379">
        <f>澳门换算01!H378+澳门新定位结果!$P378</f>
        <v>1</v>
      </c>
      <c r="I379">
        <f>澳门换算01!I378+澳门新定位结果!$P378</f>
        <v>1</v>
      </c>
      <c r="J379" s="1">
        <f>澳门换算01!J378+澳门新定位结果!$P378</f>
        <v>1</v>
      </c>
      <c r="K379">
        <f>澳门换算01!K378+澳门新定位结果!$P378</f>
        <v>1</v>
      </c>
      <c r="L379">
        <f>澳门换算01!L378+澳门新定位结果!$P378</f>
        <v>1</v>
      </c>
      <c r="M379" s="1">
        <f>澳门换算01!M378+澳门新定位结果!$P378</f>
        <v>1</v>
      </c>
      <c r="N379">
        <f>澳门换算01!N378+澳门新定位结果!$P378</f>
        <v>2</v>
      </c>
      <c r="O379">
        <f>澳门换算01!O378+澳门新定位结果!$P378</f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1"/>
  <sheetViews>
    <sheetView topLeftCell="A88" workbookViewId="0">
      <selection activeCell="Q1" sqref="Q1:R151"/>
    </sheetView>
  </sheetViews>
  <sheetFormatPr defaultColWidth="9" defaultRowHeight="13.5"/>
  <cols>
    <col min="1" max="1" width="11.75" customWidth="1"/>
    <col min="17" max="17" width="23.375" style="7" customWidth="1"/>
    <col min="18" max="18" width="9" style="7"/>
  </cols>
  <sheetData>
    <row r="1" spans="1:18">
      <c r="A1" s="2" t="s">
        <v>0</v>
      </c>
      <c r="B1" s="2" t="s">
        <v>781</v>
      </c>
      <c r="C1" s="2" t="s">
        <v>782</v>
      </c>
      <c r="D1" s="2" t="s">
        <v>783</v>
      </c>
      <c r="E1" s="2" t="s">
        <v>784</v>
      </c>
      <c r="F1" s="2" t="s">
        <v>785</v>
      </c>
      <c r="G1" s="2" t="s">
        <v>786</v>
      </c>
      <c r="H1" s="2" t="s">
        <v>787</v>
      </c>
      <c r="I1" s="2" t="s">
        <v>788</v>
      </c>
      <c r="J1" s="2" t="s">
        <v>789</v>
      </c>
      <c r="K1" s="2" t="s">
        <v>790</v>
      </c>
      <c r="L1" s="2" t="s">
        <v>791</v>
      </c>
      <c r="M1" s="2" t="s">
        <v>792</v>
      </c>
      <c r="N1" s="2" t="s">
        <v>793</v>
      </c>
      <c r="O1" s="2" t="s">
        <v>794</v>
      </c>
      <c r="P1" s="8" t="s">
        <v>795</v>
      </c>
      <c r="Q1" s="10" t="s">
        <v>12</v>
      </c>
      <c r="R1" s="10" t="s">
        <v>13</v>
      </c>
    </row>
    <row r="2" spans="1:18">
      <c r="A2" s="4" t="s">
        <v>20</v>
      </c>
      <c r="B2" s="4">
        <v>-4</v>
      </c>
      <c r="C2" s="4">
        <v>-3</v>
      </c>
      <c r="D2" s="4">
        <v>-2</v>
      </c>
      <c r="E2" s="4">
        <v>3</v>
      </c>
      <c r="F2" s="4">
        <v>-6</v>
      </c>
      <c r="G2" s="4">
        <v>-3</v>
      </c>
      <c r="H2" s="4">
        <v>-7</v>
      </c>
      <c r="I2" s="4">
        <v>1</v>
      </c>
      <c r="J2" s="4">
        <v>-7</v>
      </c>
      <c r="K2" s="4">
        <v>8</v>
      </c>
      <c r="L2" s="4">
        <v>7.5</v>
      </c>
      <c r="M2" s="4">
        <v>-4</v>
      </c>
      <c r="N2" s="4">
        <v>0.5</v>
      </c>
      <c r="O2" s="4">
        <v>6</v>
      </c>
      <c r="P2" s="4">
        <v>1</v>
      </c>
      <c r="Q2" s="7" t="s">
        <v>21</v>
      </c>
      <c r="R2" s="7" t="s">
        <v>22</v>
      </c>
    </row>
    <row r="3" spans="1:18">
      <c r="A3" s="4" t="s">
        <v>26</v>
      </c>
      <c r="B3" s="4">
        <v>-1</v>
      </c>
      <c r="C3" s="4">
        <v>0</v>
      </c>
      <c r="D3" s="4">
        <v>-1</v>
      </c>
      <c r="E3" s="4">
        <v>0</v>
      </c>
      <c r="F3" s="4">
        <v>-1</v>
      </c>
      <c r="G3" s="4">
        <v>-5.5</v>
      </c>
      <c r="H3" s="4">
        <v>0</v>
      </c>
      <c r="I3" s="4">
        <v>1</v>
      </c>
      <c r="J3" s="4">
        <v>5</v>
      </c>
      <c r="K3" s="4">
        <v>2</v>
      </c>
      <c r="L3" s="4">
        <v>5</v>
      </c>
      <c r="M3" s="4">
        <v>5</v>
      </c>
      <c r="N3" s="4">
        <v>3</v>
      </c>
      <c r="O3" s="4">
        <v>-1</v>
      </c>
      <c r="P3" s="4">
        <v>0</v>
      </c>
      <c r="Q3" s="7" t="s">
        <v>27</v>
      </c>
      <c r="R3" s="7" t="s">
        <v>28</v>
      </c>
    </row>
    <row r="4" spans="1:18">
      <c r="A4" s="4" t="s">
        <v>32</v>
      </c>
      <c r="B4" s="4">
        <v>3</v>
      </c>
      <c r="C4" s="4">
        <v>4</v>
      </c>
      <c r="D4" s="4">
        <v>3</v>
      </c>
      <c r="E4" s="4">
        <v>3</v>
      </c>
      <c r="F4" s="4">
        <v>6</v>
      </c>
      <c r="G4" s="4">
        <v>-4</v>
      </c>
      <c r="H4" s="4">
        <v>3</v>
      </c>
      <c r="I4" s="4">
        <v>4.5</v>
      </c>
      <c r="J4" s="4">
        <v>0</v>
      </c>
      <c r="K4" s="4">
        <v>2</v>
      </c>
      <c r="L4" s="4">
        <v>0</v>
      </c>
      <c r="M4" s="4">
        <v>4</v>
      </c>
      <c r="N4" s="4">
        <v>8</v>
      </c>
      <c r="O4" s="4">
        <v>5</v>
      </c>
      <c r="P4" s="9">
        <v>1</v>
      </c>
      <c r="Q4" s="7" t="s">
        <v>33</v>
      </c>
      <c r="R4" s="7" t="s">
        <v>34</v>
      </c>
    </row>
    <row r="5" spans="1:18">
      <c r="A5" s="4" t="s">
        <v>41</v>
      </c>
      <c r="B5" s="4">
        <v>4</v>
      </c>
      <c r="C5" s="4">
        <v>2</v>
      </c>
      <c r="D5" s="4">
        <v>-7.5</v>
      </c>
      <c r="E5" s="4">
        <v>0</v>
      </c>
      <c r="F5" s="4">
        <v>-3</v>
      </c>
      <c r="G5" s="4">
        <v>-1</v>
      </c>
      <c r="H5" s="4">
        <v>4</v>
      </c>
      <c r="I5" s="4">
        <v>0</v>
      </c>
      <c r="J5" s="4">
        <v>2</v>
      </c>
      <c r="K5" s="4">
        <v>3</v>
      </c>
      <c r="L5" s="4">
        <v>3</v>
      </c>
      <c r="M5" s="4">
        <v>0</v>
      </c>
      <c r="N5" s="4">
        <v>0</v>
      </c>
      <c r="O5" s="4">
        <v>-3</v>
      </c>
      <c r="P5" s="4">
        <v>1</v>
      </c>
      <c r="Q5" s="7" t="s">
        <v>42</v>
      </c>
      <c r="R5" s="7" t="s">
        <v>31</v>
      </c>
    </row>
    <row r="6" spans="1:18">
      <c r="A6" s="4" t="s">
        <v>45</v>
      </c>
      <c r="B6" s="4">
        <v>0</v>
      </c>
      <c r="C6" s="4">
        <v>2</v>
      </c>
      <c r="D6" s="4">
        <v>0</v>
      </c>
      <c r="E6" s="4">
        <v>2</v>
      </c>
      <c r="F6" s="4">
        <v>-1</v>
      </c>
      <c r="G6" s="4">
        <v>-4</v>
      </c>
      <c r="H6" s="4">
        <v>2</v>
      </c>
      <c r="I6" s="4">
        <v>-0.5</v>
      </c>
      <c r="J6" s="4">
        <v>0</v>
      </c>
      <c r="K6" s="4">
        <v>-1</v>
      </c>
      <c r="L6" s="4">
        <v>2</v>
      </c>
      <c r="M6" s="4">
        <v>0</v>
      </c>
      <c r="N6" s="4">
        <v>2</v>
      </c>
      <c r="O6" s="4">
        <v>-3</v>
      </c>
      <c r="P6" s="4">
        <v>0</v>
      </c>
      <c r="Q6" s="7" t="s">
        <v>46</v>
      </c>
      <c r="R6" s="7" t="s">
        <v>19</v>
      </c>
    </row>
    <row r="7" spans="1:18">
      <c r="A7" s="4" t="s">
        <v>49</v>
      </c>
      <c r="B7" s="4">
        <v>-1</v>
      </c>
      <c r="C7" s="4">
        <v>3</v>
      </c>
      <c r="D7" s="4">
        <v>-3</v>
      </c>
      <c r="E7" s="4">
        <v>-7</v>
      </c>
      <c r="F7" s="4">
        <v>3</v>
      </c>
      <c r="G7" s="4">
        <v>-5</v>
      </c>
      <c r="H7" s="4">
        <v>-1</v>
      </c>
      <c r="I7" s="4">
        <v>-1</v>
      </c>
      <c r="J7" s="4">
        <v>-1</v>
      </c>
      <c r="K7" s="4">
        <v>3</v>
      </c>
      <c r="L7" s="4">
        <v>-1</v>
      </c>
      <c r="M7" s="4">
        <v>-1</v>
      </c>
      <c r="N7" s="4">
        <v>1</v>
      </c>
      <c r="O7" s="4">
        <v>3</v>
      </c>
      <c r="P7" s="4">
        <v>1</v>
      </c>
      <c r="Q7" s="7" t="s">
        <v>50</v>
      </c>
      <c r="R7" s="7" t="s">
        <v>25</v>
      </c>
    </row>
    <row r="8" spans="1:18">
      <c r="A8" s="4" t="s">
        <v>55</v>
      </c>
      <c r="B8" s="4">
        <v>-1</v>
      </c>
      <c r="C8" s="4">
        <v>-5</v>
      </c>
      <c r="D8" s="4">
        <v>-8</v>
      </c>
      <c r="E8" s="4">
        <v>3</v>
      </c>
      <c r="F8" s="4">
        <v>2</v>
      </c>
      <c r="G8" s="4">
        <v>-5</v>
      </c>
      <c r="H8" s="4">
        <v>-2</v>
      </c>
      <c r="I8" s="4">
        <v>-1</v>
      </c>
      <c r="J8" s="4">
        <v>0</v>
      </c>
      <c r="K8" s="4">
        <v>-9</v>
      </c>
      <c r="L8" s="4">
        <v>-3</v>
      </c>
      <c r="M8" s="4">
        <v>-5</v>
      </c>
      <c r="N8" s="4">
        <v>2</v>
      </c>
      <c r="O8" s="4">
        <v>-1</v>
      </c>
      <c r="P8" s="4">
        <v>0</v>
      </c>
      <c r="Q8" s="7" t="s">
        <v>56</v>
      </c>
      <c r="R8" s="7" t="s">
        <v>34</v>
      </c>
    </row>
    <row r="9" spans="1:18">
      <c r="A9" s="4" t="s">
        <v>59</v>
      </c>
      <c r="B9" s="4">
        <v>-8</v>
      </c>
      <c r="C9" s="4">
        <v>3</v>
      </c>
      <c r="D9" s="4">
        <v>1</v>
      </c>
      <c r="E9" s="4">
        <v>-8</v>
      </c>
      <c r="F9" s="4">
        <v>0</v>
      </c>
      <c r="G9" s="4">
        <v>0</v>
      </c>
      <c r="H9" s="4">
        <v>-2</v>
      </c>
      <c r="I9" s="4">
        <v>2</v>
      </c>
      <c r="J9" s="4">
        <v>-6</v>
      </c>
      <c r="K9" s="4">
        <v>3</v>
      </c>
      <c r="L9" s="4">
        <v>-5</v>
      </c>
      <c r="M9" s="4">
        <v>-9.5</v>
      </c>
      <c r="N9" s="4">
        <v>-1.5</v>
      </c>
      <c r="O9" s="4">
        <v>0</v>
      </c>
      <c r="P9" s="4">
        <v>1</v>
      </c>
      <c r="Q9" s="7" t="s">
        <v>60</v>
      </c>
      <c r="R9" s="7" t="s">
        <v>40</v>
      </c>
    </row>
    <row r="10" spans="1:18">
      <c r="A10" s="4" t="s">
        <v>73</v>
      </c>
      <c r="B10" s="4">
        <v>-4</v>
      </c>
      <c r="C10" s="4">
        <v>1</v>
      </c>
      <c r="D10" s="4">
        <v>-7</v>
      </c>
      <c r="E10" s="4">
        <v>3</v>
      </c>
      <c r="F10" s="4">
        <v>2</v>
      </c>
      <c r="G10" s="4">
        <v>0</v>
      </c>
      <c r="H10" s="4">
        <v>1</v>
      </c>
      <c r="I10" s="4">
        <v>9</v>
      </c>
      <c r="J10" s="4">
        <v>1</v>
      </c>
      <c r="K10" s="4">
        <v>-1</v>
      </c>
      <c r="L10" s="4">
        <v>-4</v>
      </c>
      <c r="M10" s="4">
        <v>5</v>
      </c>
      <c r="N10" s="4">
        <v>0</v>
      </c>
      <c r="O10" s="4">
        <v>5.5</v>
      </c>
      <c r="P10" s="4">
        <v>1</v>
      </c>
      <c r="Q10" s="7" t="s">
        <v>74</v>
      </c>
      <c r="R10" s="7" t="s">
        <v>19</v>
      </c>
    </row>
    <row r="11" spans="1:18">
      <c r="A11" s="4" t="s">
        <v>77</v>
      </c>
      <c r="B11" s="4">
        <v>-3</v>
      </c>
      <c r="C11" s="4">
        <v>7</v>
      </c>
      <c r="D11" s="4">
        <v>-6</v>
      </c>
      <c r="E11" s="4">
        <v>-3</v>
      </c>
      <c r="F11" s="4">
        <v>-5</v>
      </c>
      <c r="G11" s="4">
        <v>-2</v>
      </c>
      <c r="H11" s="4">
        <v>-2</v>
      </c>
      <c r="I11" s="4">
        <v>0</v>
      </c>
      <c r="J11" s="4">
        <v>-1</v>
      </c>
      <c r="K11" s="4">
        <v>4</v>
      </c>
      <c r="L11" s="4">
        <v>7</v>
      </c>
      <c r="M11" s="4">
        <v>3</v>
      </c>
      <c r="N11" s="4">
        <v>-3</v>
      </c>
      <c r="O11" s="4">
        <v>6</v>
      </c>
      <c r="P11" s="4">
        <v>0</v>
      </c>
      <c r="Q11" s="7" t="s">
        <v>78</v>
      </c>
      <c r="R11" s="7" t="s">
        <v>37</v>
      </c>
    </row>
    <row r="12" spans="1:18">
      <c r="A12" s="4" t="s">
        <v>87</v>
      </c>
      <c r="B12" s="4">
        <v>-8</v>
      </c>
      <c r="C12" s="4">
        <v>-8</v>
      </c>
      <c r="D12" s="4">
        <v>-3</v>
      </c>
      <c r="E12" s="4">
        <v>-4</v>
      </c>
      <c r="F12" s="4">
        <v>-2.5</v>
      </c>
      <c r="G12" s="4">
        <v>-8</v>
      </c>
      <c r="H12" s="4">
        <v>-11</v>
      </c>
      <c r="I12" s="4">
        <v>-0.5</v>
      </c>
      <c r="J12" s="4">
        <v>-4</v>
      </c>
      <c r="K12" s="4">
        <v>2</v>
      </c>
      <c r="L12" s="4">
        <v>0</v>
      </c>
      <c r="M12" s="4">
        <v>-2</v>
      </c>
      <c r="N12" s="4">
        <v>7</v>
      </c>
      <c r="O12" s="4">
        <v>-3</v>
      </c>
      <c r="P12" s="4">
        <v>0</v>
      </c>
      <c r="Q12" s="7" t="s">
        <v>88</v>
      </c>
      <c r="R12" s="7" t="s">
        <v>22</v>
      </c>
    </row>
    <row r="13" spans="1:18">
      <c r="A13" s="4" t="s">
        <v>91</v>
      </c>
      <c r="B13" s="4">
        <v>9</v>
      </c>
      <c r="C13" s="4">
        <v>-2</v>
      </c>
      <c r="D13" s="4">
        <v>1.5</v>
      </c>
      <c r="E13" s="4">
        <v>-2</v>
      </c>
      <c r="F13" s="4">
        <v>-5</v>
      </c>
      <c r="G13" s="4">
        <v>1</v>
      </c>
      <c r="H13" s="4">
        <v>3</v>
      </c>
      <c r="I13" s="4">
        <v>9</v>
      </c>
      <c r="J13" s="4">
        <v>3</v>
      </c>
      <c r="K13" s="4">
        <v>-2</v>
      </c>
      <c r="L13" s="4">
        <v>0</v>
      </c>
      <c r="M13" s="4">
        <v>2</v>
      </c>
      <c r="N13" s="4">
        <v>-4</v>
      </c>
      <c r="O13" s="4">
        <v>-5</v>
      </c>
      <c r="P13" s="4">
        <v>0</v>
      </c>
      <c r="Q13" s="7" t="s">
        <v>92</v>
      </c>
      <c r="R13" s="7" t="s">
        <v>28</v>
      </c>
    </row>
    <row r="14" spans="1:18">
      <c r="A14" s="4" t="s">
        <v>97</v>
      </c>
      <c r="B14" s="4">
        <v>13</v>
      </c>
      <c r="C14" s="4">
        <v>13</v>
      </c>
      <c r="D14" s="4">
        <v>1.5</v>
      </c>
      <c r="E14" s="4">
        <v>-3</v>
      </c>
      <c r="F14" s="4">
        <v>-6</v>
      </c>
      <c r="G14" s="4">
        <v>3</v>
      </c>
      <c r="H14" s="4">
        <v>7</v>
      </c>
      <c r="I14" s="4">
        <v>0.5</v>
      </c>
      <c r="J14" s="4">
        <v>-4</v>
      </c>
      <c r="K14" s="4">
        <v>6</v>
      </c>
      <c r="L14" s="4">
        <v>13</v>
      </c>
      <c r="M14" s="4">
        <v>-3</v>
      </c>
      <c r="N14" s="4">
        <v>4</v>
      </c>
      <c r="O14" s="4">
        <v>-1</v>
      </c>
      <c r="P14" s="4">
        <v>1</v>
      </c>
      <c r="Q14" s="7" t="s">
        <v>98</v>
      </c>
      <c r="R14" s="7" t="s">
        <v>37</v>
      </c>
    </row>
    <row r="15" spans="1:18">
      <c r="A15" s="4" t="s">
        <v>101</v>
      </c>
      <c r="B15" s="4">
        <v>-7</v>
      </c>
      <c r="C15" s="4">
        <v>0</v>
      </c>
      <c r="D15" s="4">
        <v>-1.5</v>
      </c>
      <c r="E15" s="4">
        <v>7</v>
      </c>
      <c r="F15" s="4">
        <v>-6</v>
      </c>
      <c r="G15" s="4">
        <v>4</v>
      </c>
      <c r="H15" s="4">
        <v>0</v>
      </c>
      <c r="I15" s="4">
        <v>4</v>
      </c>
      <c r="J15" s="4">
        <v>0</v>
      </c>
      <c r="K15" s="4">
        <v>-4</v>
      </c>
      <c r="L15" s="4">
        <v>-2</v>
      </c>
      <c r="M15" s="4">
        <v>2</v>
      </c>
      <c r="N15" s="4">
        <v>-7</v>
      </c>
      <c r="O15" s="4">
        <v>-7</v>
      </c>
      <c r="P15" s="4">
        <v>0</v>
      </c>
      <c r="Q15" s="7" t="s">
        <v>102</v>
      </c>
      <c r="R15" s="7" t="s">
        <v>31</v>
      </c>
    </row>
    <row r="16" spans="1:18">
      <c r="A16" s="4" t="s">
        <v>105</v>
      </c>
      <c r="B16" s="4">
        <v>-2</v>
      </c>
      <c r="C16" s="4">
        <v>2</v>
      </c>
      <c r="D16" s="4">
        <v>-2</v>
      </c>
      <c r="E16" s="4">
        <v>3</v>
      </c>
      <c r="F16" s="4">
        <v>2</v>
      </c>
      <c r="G16" s="4">
        <v>-0.5</v>
      </c>
      <c r="H16" s="4">
        <v>2</v>
      </c>
      <c r="I16" s="4">
        <v>8</v>
      </c>
      <c r="J16" s="4">
        <v>0</v>
      </c>
      <c r="K16" s="4">
        <v>-3</v>
      </c>
      <c r="L16" s="4">
        <v>1</v>
      </c>
      <c r="M16" s="4">
        <v>0</v>
      </c>
      <c r="N16" s="4">
        <v>3</v>
      </c>
      <c r="O16" s="4">
        <v>1</v>
      </c>
      <c r="P16" s="4">
        <v>0</v>
      </c>
      <c r="Q16" s="7" t="s">
        <v>106</v>
      </c>
      <c r="R16" s="7" t="s">
        <v>19</v>
      </c>
    </row>
    <row r="17" spans="1:18">
      <c r="A17" s="4" t="s">
        <v>111</v>
      </c>
      <c r="B17" s="4">
        <v>-4.5</v>
      </c>
      <c r="C17" s="4">
        <v>2</v>
      </c>
      <c r="D17" s="4">
        <v>0</v>
      </c>
      <c r="E17" s="4">
        <v>2</v>
      </c>
      <c r="F17" s="4">
        <v>-9</v>
      </c>
      <c r="G17" s="4">
        <v>-4.5</v>
      </c>
      <c r="H17" s="4">
        <v>-7</v>
      </c>
      <c r="I17" s="4">
        <v>3</v>
      </c>
      <c r="J17" s="4">
        <v>2</v>
      </c>
      <c r="K17" s="4">
        <v>-5</v>
      </c>
      <c r="L17" s="4">
        <v>-2</v>
      </c>
      <c r="M17" s="4">
        <v>-2</v>
      </c>
      <c r="N17" s="4">
        <v>-4</v>
      </c>
      <c r="O17" s="4">
        <v>-9</v>
      </c>
      <c r="P17" s="4">
        <v>0</v>
      </c>
      <c r="Q17" s="7" t="s">
        <v>112</v>
      </c>
      <c r="R17" s="7" t="s">
        <v>28</v>
      </c>
    </row>
    <row r="18" spans="1:18">
      <c r="A18" s="4" t="s">
        <v>115</v>
      </c>
      <c r="B18" s="4">
        <v>4.5</v>
      </c>
      <c r="C18" s="4">
        <v>1</v>
      </c>
      <c r="D18" s="4">
        <v>4</v>
      </c>
      <c r="E18" s="4">
        <v>-3</v>
      </c>
      <c r="F18" s="4">
        <v>7</v>
      </c>
      <c r="G18" s="4">
        <v>-2</v>
      </c>
      <c r="H18" s="4">
        <v>4</v>
      </c>
      <c r="I18" s="4">
        <v>4.5</v>
      </c>
      <c r="J18" s="4">
        <v>0</v>
      </c>
      <c r="K18" s="4">
        <v>4</v>
      </c>
      <c r="L18" s="4">
        <v>-4</v>
      </c>
      <c r="M18" s="4">
        <v>1</v>
      </c>
      <c r="N18" s="4">
        <v>-1</v>
      </c>
      <c r="O18" s="4">
        <v>-2</v>
      </c>
      <c r="P18" s="4">
        <v>0</v>
      </c>
      <c r="Q18" s="7" t="s">
        <v>116</v>
      </c>
      <c r="R18" s="7" t="s">
        <v>34</v>
      </c>
    </row>
    <row r="19" spans="1:18">
      <c r="A19" s="4" t="s">
        <v>119</v>
      </c>
      <c r="B19" s="4">
        <v>1</v>
      </c>
      <c r="C19" s="4">
        <v>1</v>
      </c>
      <c r="D19" s="4">
        <v>5</v>
      </c>
      <c r="E19" s="4">
        <v>1</v>
      </c>
      <c r="F19" s="4">
        <v>5</v>
      </c>
      <c r="G19" s="4">
        <v>-0.5</v>
      </c>
      <c r="H19" s="4">
        <v>-5</v>
      </c>
      <c r="I19" s="4">
        <v>2.5</v>
      </c>
      <c r="J19" s="4">
        <v>-3</v>
      </c>
      <c r="K19" s="4">
        <v>1</v>
      </c>
      <c r="L19" s="4">
        <v>3</v>
      </c>
      <c r="M19" s="4">
        <v>-0.5</v>
      </c>
      <c r="N19" s="4">
        <v>8</v>
      </c>
      <c r="O19" s="4">
        <v>10</v>
      </c>
      <c r="P19" s="4">
        <v>1</v>
      </c>
      <c r="Q19" s="7" t="s">
        <v>120</v>
      </c>
      <c r="R19" s="7" t="s">
        <v>40</v>
      </c>
    </row>
    <row r="20" spans="1:18">
      <c r="A20" s="4" t="s">
        <v>125</v>
      </c>
      <c r="B20" s="4">
        <v>5</v>
      </c>
      <c r="C20" s="4">
        <v>-3</v>
      </c>
      <c r="D20" s="4">
        <v>4</v>
      </c>
      <c r="E20" s="4">
        <v>5</v>
      </c>
      <c r="F20" s="4">
        <v>0</v>
      </c>
      <c r="G20" s="4">
        <v>-5</v>
      </c>
      <c r="H20" s="4">
        <v>-3</v>
      </c>
      <c r="I20" s="4">
        <v>1</v>
      </c>
      <c r="J20" s="4">
        <v>-2</v>
      </c>
      <c r="K20" s="4">
        <v>-2</v>
      </c>
      <c r="L20" s="4">
        <v>5.5</v>
      </c>
      <c r="M20" s="4">
        <v>1</v>
      </c>
      <c r="N20" s="4">
        <v>5</v>
      </c>
      <c r="O20" s="4">
        <v>7</v>
      </c>
      <c r="P20" s="4">
        <v>0</v>
      </c>
      <c r="Q20" s="7" t="s">
        <v>126</v>
      </c>
      <c r="R20" s="7" t="s">
        <v>19</v>
      </c>
    </row>
    <row r="21" spans="1:18">
      <c r="A21" s="4" t="s">
        <v>129</v>
      </c>
      <c r="B21" s="4">
        <v>-2</v>
      </c>
      <c r="C21" s="4">
        <v>6.5</v>
      </c>
      <c r="D21" s="4">
        <v>-2</v>
      </c>
      <c r="E21" s="4">
        <v>1</v>
      </c>
      <c r="F21" s="4">
        <v>6.5</v>
      </c>
      <c r="G21" s="4">
        <v>-5</v>
      </c>
      <c r="H21" s="4">
        <v>-9</v>
      </c>
      <c r="I21" s="4">
        <v>5</v>
      </c>
      <c r="J21" s="4">
        <v>2</v>
      </c>
      <c r="K21" s="4">
        <v>3</v>
      </c>
      <c r="L21" s="4">
        <v>5</v>
      </c>
      <c r="M21" s="4">
        <v>-6</v>
      </c>
      <c r="N21" s="4">
        <v>-4</v>
      </c>
      <c r="O21" s="4">
        <v>4</v>
      </c>
      <c r="P21" s="4">
        <v>0</v>
      </c>
      <c r="Q21" s="7" t="s">
        <v>130</v>
      </c>
      <c r="R21" s="7" t="s">
        <v>25</v>
      </c>
    </row>
    <row r="22" spans="1:18">
      <c r="A22" s="4" t="s">
        <v>133</v>
      </c>
      <c r="B22" s="4">
        <v>2</v>
      </c>
      <c r="C22" s="4">
        <v>1</v>
      </c>
      <c r="D22" s="4">
        <v>-1</v>
      </c>
      <c r="E22" s="4">
        <v>0</v>
      </c>
      <c r="F22" s="4">
        <v>2</v>
      </c>
      <c r="G22" s="4">
        <v>3</v>
      </c>
      <c r="H22" s="4">
        <v>-4</v>
      </c>
      <c r="I22" s="4">
        <v>2</v>
      </c>
      <c r="J22" s="4">
        <v>-1</v>
      </c>
      <c r="K22" s="4">
        <v>2</v>
      </c>
      <c r="L22" s="4">
        <v>2.5</v>
      </c>
      <c r="M22" s="4">
        <v>1</v>
      </c>
      <c r="N22" s="4">
        <v>0</v>
      </c>
      <c r="O22" s="4">
        <v>4</v>
      </c>
      <c r="P22" s="4">
        <v>1</v>
      </c>
      <c r="Q22" s="7" t="s">
        <v>134</v>
      </c>
      <c r="R22" s="7" t="s">
        <v>28</v>
      </c>
    </row>
    <row r="23" spans="1:18">
      <c r="A23" s="4" t="s">
        <v>139</v>
      </c>
      <c r="B23" s="4">
        <v>2.5</v>
      </c>
      <c r="C23" s="4">
        <v>4</v>
      </c>
      <c r="D23" s="4">
        <v>-3</v>
      </c>
      <c r="E23" s="4">
        <v>0</v>
      </c>
      <c r="F23" s="4">
        <v>3</v>
      </c>
      <c r="G23" s="4">
        <v>1</v>
      </c>
      <c r="H23" s="4">
        <v>-8</v>
      </c>
      <c r="I23" s="4">
        <v>2.5</v>
      </c>
      <c r="J23" s="4">
        <v>5</v>
      </c>
      <c r="K23" s="4">
        <v>4</v>
      </c>
      <c r="L23" s="4">
        <v>5</v>
      </c>
      <c r="M23" s="4">
        <v>1</v>
      </c>
      <c r="N23" s="4">
        <v>0.5</v>
      </c>
      <c r="O23" s="4">
        <v>6.5</v>
      </c>
      <c r="P23" s="4">
        <v>1</v>
      </c>
      <c r="Q23" s="7" t="s">
        <v>140</v>
      </c>
      <c r="R23" s="7" t="s">
        <v>40</v>
      </c>
    </row>
    <row r="24" spans="1:18">
      <c r="A24" s="4" t="s">
        <v>143</v>
      </c>
      <c r="B24" s="4">
        <v>1</v>
      </c>
      <c r="C24" s="4">
        <v>3</v>
      </c>
      <c r="D24" s="4">
        <v>-5</v>
      </c>
      <c r="E24" s="4">
        <v>-2</v>
      </c>
      <c r="F24" s="4">
        <v>4</v>
      </c>
      <c r="G24" s="4">
        <v>6</v>
      </c>
      <c r="H24" s="4">
        <v>-1</v>
      </c>
      <c r="I24" s="4">
        <v>3</v>
      </c>
      <c r="J24" s="4">
        <v>5</v>
      </c>
      <c r="K24" s="4">
        <v>1</v>
      </c>
      <c r="L24" s="4">
        <v>6.5</v>
      </c>
      <c r="M24" s="4">
        <v>-3</v>
      </c>
      <c r="N24" s="4">
        <v>-6</v>
      </c>
      <c r="O24" s="4">
        <v>4.5</v>
      </c>
      <c r="P24" s="4">
        <v>0</v>
      </c>
      <c r="Q24" s="7" t="s">
        <v>144</v>
      </c>
      <c r="R24" s="7" t="s">
        <v>16</v>
      </c>
    </row>
    <row r="25" spans="1:18">
      <c r="A25" s="4" t="s">
        <v>147</v>
      </c>
      <c r="B25" s="4">
        <v>0</v>
      </c>
      <c r="C25" s="4">
        <v>-3</v>
      </c>
      <c r="D25" s="4">
        <v>5</v>
      </c>
      <c r="E25" s="4">
        <v>1</v>
      </c>
      <c r="F25" s="4">
        <v>1</v>
      </c>
      <c r="G25" s="4">
        <v>-3</v>
      </c>
      <c r="H25" s="4">
        <v>3</v>
      </c>
      <c r="I25" s="4">
        <v>6.5</v>
      </c>
      <c r="J25" s="4">
        <v>-5</v>
      </c>
      <c r="K25" s="4">
        <v>1</v>
      </c>
      <c r="L25" s="4">
        <v>-4</v>
      </c>
      <c r="M25" s="4">
        <v>0</v>
      </c>
      <c r="N25" s="4">
        <v>3.5</v>
      </c>
      <c r="O25" s="4">
        <v>3.5</v>
      </c>
      <c r="P25" s="4">
        <v>0</v>
      </c>
      <c r="Q25" s="7" t="s">
        <v>148</v>
      </c>
      <c r="R25" s="7" t="s">
        <v>22</v>
      </c>
    </row>
    <row r="26" spans="1:18">
      <c r="A26" s="4" t="s">
        <v>153</v>
      </c>
      <c r="B26" s="4">
        <v>-6</v>
      </c>
      <c r="C26" s="4">
        <v>3.5</v>
      </c>
      <c r="D26" s="4">
        <v>-6</v>
      </c>
      <c r="E26" s="4">
        <v>-0.5</v>
      </c>
      <c r="F26" s="4">
        <v>0</v>
      </c>
      <c r="G26" s="4">
        <v>-1.5</v>
      </c>
      <c r="H26" s="4">
        <v>3.5</v>
      </c>
      <c r="I26" s="4">
        <v>6</v>
      </c>
      <c r="J26" s="4">
        <v>-4</v>
      </c>
      <c r="K26" s="4">
        <v>-4</v>
      </c>
      <c r="L26" s="4">
        <v>5</v>
      </c>
      <c r="M26" s="4">
        <v>-4</v>
      </c>
      <c r="N26" s="4">
        <v>1.5</v>
      </c>
      <c r="O26" s="4">
        <v>8</v>
      </c>
      <c r="P26" s="4">
        <v>0</v>
      </c>
      <c r="Q26" s="7" t="s">
        <v>154</v>
      </c>
      <c r="R26" s="7" t="s">
        <v>31</v>
      </c>
    </row>
    <row r="27" spans="1:18">
      <c r="A27" s="4" t="s">
        <v>157</v>
      </c>
      <c r="B27" s="4">
        <v>-3</v>
      </c>
      <c r="C27" s="4">
        <v>1</v>
      </c>
      <c r="D27" s="4">
        <v>3</v>
      </c>
      <c r="E27" s="4">
        <v>-3</v>
      </c>
      <c r="F27" s="4">
        <v>-3</v>
      </c>
      <c r="G27" s="4">
        <v>0</v>
      </c>
      <c r="H27" s="4">
        <v>4.5</v>
      </c>
      <c r="I27" s="4">
        <v>2</v>
      </c>
      <c r="J27" s="4">
        <v>-3</v>
      </c>
      <c r="K27" s="4">
        <v>-1</v>
      </c>
      <c r="L27" s="4">
        <v>1</v>
      </c>
      <c r="M27" s="4">
        <v>0</v>
      </c>
      <c r="N27" s="4">
        <v>-5</v>
      </c>
      <c r="O27" s="4">
        <v>9</v>
      </c>
      <c r="P27" s="4">
        <v>1</v>
      </c>
      <c r="Q27" s="7" t="s">
        <v>158</v>
      </c>
      <c r="R27" s="7" t="s">
        <v>37</v>
      </c>
    </row>
    <row r="28" spans="1:18">
      <c r="A28" s="4" t="s">
        <v>163</v>
      </c>
      <c r="B28" s="4">
        <v>2</v>
      </c>
      <c r="C28" s="4">
        <v>2</v>
      </c>
      <c r="D28" s="4">
        <v>-1</v>
      </c>
      <c r="E28" s="4">
        <v>0</v>
      </c>
      <c r="F28" s="4">
        <v>8.5</v>
      </c>
      <c r="G28" s="4">
        <v>2</v>
      </c>
      <c r="H28" s="4">
        <v>1</v>
      </c>
      <c r="I28" s="4">
        <v>2</v>
      </c>
      <c r="J28" s="4">
        <v>5</v>
      </c>
      <c r="K28" s="4">
        <v>-1</v>
      </c>
      <c r="L28" s="4">
        <v>5</v>
      </c>
      <c r="M28" s="4">
        <v>-1</v>
      </c>
      <c r="N28" s="4">
        <v>-7</v>
      </c>
      <c r="O28" s="4">
        <v>3</v>
      </c>
      <c r="P28" s="4">
        <v>0</v>
      </c>
      <c r="Q28" s="7" t="s">
        <v>164</v>
      </c>
      <c r="R28" s="7" t="s">
        <v>16</v>
      </c>
    </row>
    <row r="29" spans="1:18">
      <c r="A29" s="4" t="s">
        <v>167</v>
      </c>
      <c r="B29" s="4">
        <v>-1</v>
      </c>
      <c r="C29" s="4">
        <v>1</v>
      </c>
      <c r="D29" s="4">
        <v>-5</v>
      </c>
      <c r="E29" s="4">
        <v>2.5</v>
      </c>
      <c r="F29" s="4">
        <v>-1</v>
      </c>
      <c r="G29" s="4">
        <v>1</v>
      </c>
      <c r="H29" s="4">
        <v>-1</v>
      </c>
      <c r="I29" s="4">
        <v>4</v>
      </c>
      <c r="J29" s="4">
        <v>-7</v>
      </c>
      <c r="K29" s="4">
        <v>-1</v>
      </c>
      <c r="L29" s="4">
        <v>-1.5</v>
      </c>
      <c r="M29" s="4">
        <v>-5</v>
      </c>
      <c r="N29" s="4">
        <v>-1.5</v>
      </c>
      <c r="O29" s="4">
        <v>2</v>
      </c>
      <c r="P29" s="4">
        <v>1</v>
      </c>
      <c r="Q29" s="7" t="s">
        <v>168</v>
      </c>
      <c r="R29" s="7" t="s">
        <v>22</v>
      </c>
    </row>
    <row r="30" spans="1:18">
      <c r="A30" s="4" t="s">
        <v>171</v>
      </c>
      <c r="B30" s="4">
        <v>-5</v>
      </c>
      <c r="C30" s="4">
        <v>1.5</v>
      </c>
      <c r="D30" s="4">
        <v>-1</v>
      </c>
      <c r="E30" s="4">
        <v>1.5</v>
      </c>
      <c r="F30" s="4">
        <v>-9</v>
      </c>
      <c r="G30" s="4">
        <v>0</v>
      </c>
      <c r="H30" s="4">
        <v>0</v>
      </c>
      <c r="I30" s="4">
        <v>5</v>
      </c>
      <c r="J30" s="4">
        <v>-1</v>
      </c>
      <c r="K30" s="4">
        <v>1</v>
      </c>
      <c r="L30" s="4">
        <v>-3</v>
      </c>
      <c r="M30" s="4">
        <v>-5</v>
      </c>
      <c r="N30" s="4">
        <v>0</v>
      </c>
      <c r="O30" s="4">
        <v>-9</v>
      </c>
      <c r="P30" s="4">
        <v>1</v>
      </c>
      <c r="Q30" s="7" t="s">
        <v>172</v>
      </c>
      <c r="R30" s="7" t="s">
        <v>28</v>
      </c>
    </row>
    <row r="31" spans="1:18">
      <c r="A31" s="4" t="s">
        <v>175</v>
      </c>
      <c r="B31" s="4">
        <v>7</v>
      </c>
      <c r="C31" s="4">
        <v>2</v>
      </c>
      <c r="D31" s="4">
        <v>1</v>
      </c>
      <c r="E31" s="4">
        <v>-2</v>
      </c>
      <c r="F31" s="4">
        <v>0</v>
      </c>
      <c r="G31" s="4">
        <v>-3</v>
      </c>
      <c r="H31" s="4">
        <v>-4</v>
      </c>
      <c r="I31" s="4">
        <v>4</v>
      </c>
      <c r="J31" s="4">
        <v>5</v>
      </c>
      <c r="K31" s="4">
        <v>3</v>
      </c>
      <c r="L31" s="4">
        <v>-4</v>
      </c>
      <c r="M31" s="4">
        <v>2</v>
      </c>
      <c r="N31" s="4">
        <v>0</v>
      </c>
      <c r="O31" s="4">
        <v>7</v>
      </c>
      <c r="P31" s="4">
        <v>1</v>
      </c>
      <c r="Q31" s="7" t="s">
        <v>176</v>
      </c>
      <c r="R31" s="7" t="s">
        <v>34</v>
      </c>
    </row>
    <row r="32" spans="1:18">
      <c r="A32" s="4" t="s">
        <v>181</v>
      </c>
      <c r="B32" s="4">
        <v>-0.5</v>
      </c>
      <c r="C32" s="4">
        <v>0.5</v>
      </c>
      <c r="D32" s="4">
        <v>4</v>
      </c>
      <c r="E32" s="4">
        <v>1</v>
      </c>
      <c r="F32" s="4">
        <v>-0.5</v>
      </c>
      <c r="G32" s="4">
        <v>-1</v>
      </c>
      <c r="H32" s="4">
        <v>1.5</v>
      </c>
      <c r="I32" s="4">
        <v>4.5</v>
      </c>
      <c r="J32" s="4">
        <v>0.5</v>
      </c>
      <c r="K32" s="4">
        <v>2.5</v>
      </c>
      <c r="L32" s="4">
        <v>3.5</v>
      </c>
      <c r="M32" s="4">
        <v>2</v>
      </c>
      <c r="N32" s="4">
        <v>3.5</v>
      </c>
      <c r="O32" s="4">
        <v>0.5</v>
      </c>
      <c r="P32" s="4">
        <v>1</v>
      </c>
      <c r="Q32" s="7" t="s">
        <v>182</v>
      </c>
      <c r="R32" s="7" t="s">
        <v>31</v>
      </c>
    </row>
    <row r="33" spans="1:18">
      <c r="A33" s="4" t="s">
        <v>185</v>
      </c>
      <c r="B33" s="4">
        <v>0</v>
      </c>
      <c r="C33" s="4">
        <v>0</v>
      </c>
      <c r="D33" s="4">
        <v>6</v>
      </c>
      <c r="E33" s="4">
        <v>3.5</v>
      </c>
      <c r="F33" s="4">
        <v>2</v>
      </c>
      <c r="G33" s="4">
        <v>-9</v>
      </c>
      <c r="H33" s="4">
        <v>0</v>
      </c>
      <c r="I33" s="4">
        <v>6.5</v>
      </c>
      <c r="J33" s="4">
        <v>6</v>
      </c>
      <c r="K33" s="4">
        <v>2</v>
      </c>
      <c r="L33" s="4">
        <v>3</v>
      </c>
      <c r="M33" s="4">
        <v>0</v>
      </c>
      <c r="N33" s="4">
        <v>4</v>
      </c>
      <c r="O33" s="4">
        <v>1</v>
      </c>
      <c r="P33" s="4">
        <v>1</v>
      </c>
      <c r="Q33" s="7" t="s">
        <v>186</v>
      </c>
      <c r="R33" s="7" t="s">
        <v>19</v>
      </c>
    </row>
    <row r="34" spans="1:18">
      <c r="A34" s="4" t="s">
        <v>189</v>
      </c>
      <c r="B34" s="4">
        <v>5</v>
      </c>
      <c r="C34" s="4">
        <v>1.5</v>
      </c>
      <c r="D34" s="4">
        <v>-5</v>
      </c>
      <c r="E34" s="4">
        <v>4</v>
      </c>
      <c r="F34" s="4">
        <v>1.5</v>
      </c>
      <c r="G34" s="4">
        <v>0.5</v>
      </c>
      <c r="H34" s="4">
        <v>-4</v>
      </c>
      <c r="I34" s="4">
        <v>3</v>
      </c>
      <c r="J34" s="4">
        <v>5</v>
      </c>
      <c r="K34" s="4">
        <v>1</v>
      </c>
      <c r="L34" s="4">
        <v>4.5</v>
      </c>
      <c r="M34" s="4">
        <v>6</v>
      </c>
      <c r="N34" s="4">
        <v>3</v>
      </c>
      <c r="O34" s="4">
        <v>1</v>
      </c>
      <c r="P34" s="4">
        <v>0</v>
      </c>
      <c r="Q34" s="7" t="s">
        <v>190</v>
      </c>
      <c r="R34" s="7" t="s">
        <v>25</v>
      </c>
    </row>
    <row r="35" spans="1:18">
      <c r="A35" s="4" t="s">
        <v>195</v>
      </c>
      <c r="B35" s="4">
        <v>0</v>
      </c>
      <c r="C35" s="4">
        <v>0</v>
      </c>
      <c r="D35" s="4">
        <v>3</v>
      </c>
      <c r="E35" s="4">
        <v>5</v>
      </c>
      <c r="F35" s="4">
        <v>2</v>
      </c>
      <c r="G35" s="4">
        <v>-6</v>
      </c>
      <c r="H35" s="4">
        <v>-5</v>
      </c>
      <c r="I35" s="4">
        <v>-1</v>
      </c>
      <c r="J35" s="4">
        <v>-3</v>
      </c>
      <c r="K35" s="4">
        <v>-3</v>
      </c>
      <c r="L35" s="4">
        <v>3.5</v>
      </c>
      <c r="M35" s="4">
        <v>0</v>
      </c>
      <c r="N35" s="4">
        <v>5</v>
      </c>
      <c r="O35" s="4">
        <v>8</v>
      </c>
      <c r="P35" s="4">
        <v>1</v>
      </c>
      <c r="Q35" s="7" t="s">
        <v>196</v>
      </c>
      <c r="R35" s="7" t="s">
        <v>34</v>
      </c>
    </row>
    <row r="36" spans="1:18">
      <c r="A36" s="4" t="s">
        <v>199</v>
      </c>
      <c r="B36" s="4">
        <v>5</v>
      </c>
      <c r="C36" s="4">
        <v>3</v>
      </c>
      <c r="D36" s="4">
        <v>-1</v>
      </c>
      <c r="E36" s="4">
        <v>1</v>
      </c>
      <c r="F36" s="4">
        <v>7.5</v>
      </c>
      <c r="G36" s="4">
        <v>-7</v>
      </c>
      <c r="H36" s="4">
        <v>-8</v>
      </c>
      <c r="I36" s="4">
        <v>7</v>
      </c>
      <c r="J36" s="4">
        <v>2</v>
      </c>
      <c r="K36" s="4">
        <v>3</v>
      </c>
      <c r="L36" s="4">
        <v>4</v>
      </c>
      <c r="M36" s="4">
        <v>-6</v>
      </c>
      <c r="N36" s="4">
        <v>-4</v>
      </c>
      <c r="O36" s="4">
        <v>5</v>
      </c>
      <c r="P36" s="4">
        <v>1</v>
      </c>
      <c r="Q36" s="7" t="s">
        <v>200</v>
      </c>
      <c r="R36" s="7" t="s">
        <v>40</v>
      </c>
    </row>
    <row r="37" spans="1:18">
      <c r="A37" s="4" t="s">
        <v>203</v>
      </c>
      <c r="B37" s="4">
        <v>0</v>
      </c>
      <c r="C37" s="4">
        <v>2</v>
      </c>
      <c r="D37" s="4">
        <v>-2</v>
      </c>
      <c r="E37" s="4">
        <v>0</v>
      </c>
      <c r="F37" s="4">
        <v>2</v>
      </c>
      <c r="G37" s="4">
        <v>4</v>
      </c>
      <c r="H37" s="4">
        <v>-5</v>
      </c>
      <c r="I37" s="4">
        <v>2</v>
      </c>
      <c r="J37" s="4">
        <v>-1</v>
      </c>
      <c r="K37" s="4">
        <v>1</v>
      </c>
      <c r="L37" s="4">
        <v>3.5</v>
      </c>
      <c r="M37" s="4">
        <v>1</v>
      </c>
      <c r="N37" s="4">
        <v>-1</v>
      </c>
      <c r="O37" s="4">
        <v>3</v>
      </c>
      <c r="P37" s="4">
        <v>1</v>
      </c>
      <c r="Q37" s="7" t="s">
        <v>204</v>
      </c>
      <c r="R37" s="7" t="s">
        <v>16</v>
      </c>
    </row>
    <row r="38" spans="1:18">
      <c r="A38" s="4" t="s">
        <v>209</v>
      </c>
      <c r="B38" s="4">
        <v>-10</v>
      </c>
      <c r="C38" s="4">
        <v>2</v>
      </c>
      <c r="D38" s="4">
        <v>-2</v>
      </c>
      <c r="E38" s="4">
        <v>0</v>
      </c>
      <c r="F38" s="4">
        <v>2</v>
      </c>
      <c r="G38" s="4">
        <v>2</v>
      </c>
      <c r="H38" s="4">
        <v>-10</v>
      </c>
      <c r="I38" s="4">
        <v>2.5</v>
      </c>
      <c r="J38" s="4">
        <v>5</v>
      </c>
      <c r="K38" s="4">
        <v>4</v>
      </c>
      <c r="L38" s="4">
        <v>5</v>
      </c>
      <c r="M38" s="4">
        <v>1</v>
      </c>
      <c r="N38" s="4">
        <v>0.5</v>
      </c>
      <c r="O38" s="4">
        <v>5.5</v>
      </c>
      <c r="P38" s="4">
        <v>1</v>
      </c>
      <c r="Q38" s="7" t="s">
        <v>210</v>
      </c>
      <c r="R38" s="7" t="s">
        <v>25</v>
      </c>
    </row>
    <row r="39" spans="1:18">
      <c r="A39" s="4" t="s">
        <v>217</v>
      </c>
      <c r="B39" s="4">
        <v>0</v>
      </c>
      <c r="C39" s="4">
        <v>0</v>
      </c>
      <c r="D39" s="4">
        <v>1</v>
      </c>
      <c r="E39" s="4">
        <v>-1</v>
      </c>
      <c r="F39" s="4">
        <v>-2</v>
      </c>
      <c r="G39" s="4">
        <v>3</v>
      </c>
      <c r="H39" s="4">
        <v>-12</v>
      </c>
      <c r="I39" s="4">
        <v>5</v>
      </c>
      <c r="J39" s="4">
        <v>-5</v>
      </c>
      <c r="K39" s="4">
        <v>-1.5</v>
      </c>
      <c r="L39" s="4">
        <v>0</v>
      </c>
      <c r="M39" s="4">
        <v>-3</v>
      </c>
      <c r="N39" s="4">
        <v>-5.5</v>
      </c>
      <c r="O39" s="4">
        <v>2</v>
      </c>
      <c r="P39" s="4">
        <v>0</v>
      </c>
      <c r="Q39" s="7" t="s">
        <v>218</v>
      </c>
      <c r="R39" s="7" t="s">
        <v>37</v>
      </c>
    </row>
    <row r="40" spans="1:18">
      <c r="A40" s="4" t="s">
        <v>223</v>
      </c>
      <c r="B40" s="4">
        <v>0</v>
      </c>
      <c r="C40" s="4">
        <v>0</v>
      </c>
      <c r="D40" s="4">
        <v>-1</v>
      </c>
      <c r="E40" s="4">
        <v>2.5</v>
      </c>
      <c r="F40" s="4">
        <v>2</v>
      </c>
      <c r="G40" s="4">
        <v>5</v>
      </c>
      <c r="H40" s="4">
        <v>3</v>
      </c>
      <c r="I40" s="4">
        <v>0</v>
      </c>
      <c r="J40" s="4">
        <v>-4</v>
      </c>
      <c r="K40" s="4">
        <v>-5</v>
      </c>
      <c r="L40" s="4">
        <v>4</v>
      </c>
      <c r="M40" s="4">
        <v>-2</v>
      </c>
      <c r="N40" s="4">
        <v>-4</v>
      </c>
      <c r="O40" s="4">
        <v>0</v>
      </c>
      <c r="P40" s="4">
        <v>1</v>
      </c>
      <c r="Q40" s="7" t="s">
        <v>224</v>
      </c>
      <c r="R40" s="7" t="s">
        <v>16</v>
      </c>
    </row>
    <row r="41" spans="1:18">
      <c r="A41" s="4" t="s">
        <v>227</v>
      </c>
      <c r="B41" s="4">
        <v>-4</v>
      </c>
      <c r="C41" s="4">
        <v>2</v>
      </c>
      <c r="D41" s="4">
        <v>-1</v>
      </c>
      <c r="E41" s="4">
        <v>-4</v>
      </c>
      <c r="F41" s="4">
        <v>-3</v>
      </c>
      <c r="G41" s="4">
        <v>2</v>
      </c>
      <c r="H41" s="4">
        <v>2.5</v>
      </c>
      <c r="I41" s="4">
        <v>3.5</v>
      </c>
      <c r="J41" s="4">
        <v>0</v>
      </c>
      <c r="K41" s="4">
        <v>5</v>
      </c>
      <c r="L41" s="4">
        <v>-1</v>
      </c>
      <c r="M41" s="4">
        <v>1</v>
      </c>
      <c r="N41" s="4">
        <v>-2</v>
      </c>
      <c r="O41" s="4">
        <v>3</v>
      </c>
      <c r="P41" s="4">
        <v>0</v>
      </c>
      <c r="Q41" s="7" t="s">
        <v>228</v>
      </c>
      <c r="R41" s="7" t="s">
        <v>22</v>
      </c>
    </row>
    <row r="42" spans="1:18">
      <c r="A42" s="4" t="s">
        <v>233</v>
      </c>
      <c r="B42" s="4">
        <v>-5</v>
      </c>
      <c r="C42" s="4">
        <v>-5</v>
      </c>
      <c r="D42" s="4">
        <v>-3</v>
      </c>
      <c r="E42" s="4">
        <v>-7</v>
      </c>
      <c r="F42" s="4">
        <v>2.5</v>
      </c>
      <c r="G42" s="4">
        <v>2</v>
      </c>
      <c r="H42" s="4">
        <v>-5</v>
      </c>
      <c r="I42" s="4">
        <v>2</v>
      </c>
      <c r="J42" s="4">
        <v>-1</v>
      </c>
      <c r="K42" s="4">
        <v>-3</v>
      </c>
      <c r="L42" s="4">
        <v>-5</v>
      </c>
      <c r="M42" s="4">
        <v>-6</v>
      </c>
      <c r="N42" s="4">
        <v>-10</v>
      </c>
      <c r="O42" s="4">
        <v>-2</v>
      </c>
      <c r="P42" s="4">
        <v>1</v>
      </c>
      <c r="Q42" s="7" t="s">
        <v>234</v>
      </c>
      <c r="R42" s="7" t="s">
        <v>25</v>
      </c>
    </row>
    <row r="43" spans="1:18">
      <c r="A43" s="4" t="s">
        <v>237</v>
      </c>
      <c r="B43" s="4">
        <v>-2</v>
      </c>
      <c r="C43" s="4">
        <v>0.5</v>
      </c>
      <c r="D43" s="4">
        <v>-2</v>
      </c>
      <c r="E43" s="4">
        <v>-0.5</v>
      </c>
      <c r="F43" s="4">
        <v>3</v>
      </c>
      <c r="G43" s="4">
        <v>2</v>
      </c>
      <c r="H43" s="4">
        <v>-1</v>
      </c>
      <c r="I43" s="4">
        <v>2</v>
      </c>
      <c r="J43" s="4">
        <v>-2</v>
      </c>
      <c r="K43" s="4">
        <v>-2</v>
      </c>
      <c r="L43" s="4">
        <v>0.5</v>
      </c>
      <c r="M43" s="4">
        <v>0</v>
      </c>
      <c r="N43" s="4">
        <v>-1.5</v>
      </c>
      <c r="O43" s="4">
        <v>-4</v>
      </c>
      <c r="P43" s="4">
        <v>1</v>
      </c>
      <c r="Q43" s="7" t="s">
        <v>238</v>
      </c>
      <c r="R43" s="7" t="s">
        <v>37</v>
      </c>
    </row>
    <row r="44" spans="1:18">
      <c r="A44" s="4" t="s">
        <v>241</v>
      </c>
      <c r="B44" s="4">
        <v>3</v>
      </c>
      <c r="C44" s="4">
        <v>5</v>
      </c>
      <c r="D44" s="4">
        <v>0</v>
      </c>
      <c r="E44" s="4">
        <v>4</v>
      </c>
      <c r="F44" s="4">
        <v>-3</v>
      </c>
      <c r="G44" s="4">
        <v>3</v>
      </c>
      <c r="H44" s="4">
        <v>5</v>
      </c>
      <c r="I44" s="4">
        <v>5</v>
      </c>
      <c r="J44" s="4">
        <v>5</v>
      </c>
      <c r="K44" s="4">
        <v>1</v>
      </c>
      <c r="L44" s="4">
        <v>3</v>
      </c>
      <c r="M44" s="4">
        <v>4</v>
      </c>
      <c r="N44" s="4">
        <v>-1</v>
      </c>
      <c r="O44" s="4">
        <v>-4</v>
      </c>
      <c r="P44" s="4">
        <v>0</v>
      </c>
      <c r="Q44" s="7" t="s">
        <v>242</v>
      </c>
      <c r="R44" s="7" t="s">
        <v>31</v>
      </c>
    </row>
    <row r="45" spans="1:18">
      <c r="A45" s="4" t="s">
        <v>245</v>
      </c>
      <c r="B45" s="4">
        <v>0</v>
      </c>
      <c r="C45" s="4">
        <v>0</v>
      </c>
      <c r="D45" s="4">
        <v>-8</v>
      </c>
      <c r="E45" s="4">
        <v>-2</v>
      </c>
      <c r="F45" s="4">
        <v>2</v>
      </c>
      <c r="G45" s="4">
        <v>-6</v>
      </c>
      <c r="H45" s="4">
        <v>0</v>
      </c>
      <c r="I45" s="4">
        <v>-1</v>
      </c>
      <c r="J45" s="4">
        <v>-1</v>
      </c>
      <c r="K45" s="4">
        <v>-10</v>
      </c>
      <c r="L45" s="4">
        <v>-1</v>
      </c>
      <c r="M45" s="4">
        <v>-4</v>
      </c>
      <c r="N45" s="4">
        <v>0</v>
      </c>
      <c r="O45" s="4">
        <v>-1</v>
      </c>
      <c r="P45" s="4">
        <v>1</v>
      </c>
      <c r="Q45" s="7" t="s">
        <v>246</v>
      </c>
      <c r="R45" s="7" t="s">
        <v>19</v>
      </c>
    </row>
    <row r="46" spans="1:18">
      <c r="A46" s="4" t="s">
        <v>251</v>
      </c>
      <c r="B46" s="4">
        <v>0</v>
      </c>
      <c r="C46" s="4">
        <v>0</v>
      </c>
      <c r="D46" s="4">
        <v>-1</v>
      </c>
      <c r="E46" s="4">
        <v>0</v>
      </c>
      <c r="F46" s="4">
        <v>-2</v>
      </c>
      <c r="G46" s="4">
        <v>-5.5</v>
      </c>
      <c r="H46" s="4">
        <v>1</v>
      </c>
      <c r="I46" s="4">
        <v>1</v>
      </c>
      <c r="J46" s="4">
        <v>5</v>
      </c>
      <c r="K46" s="4">
        <v>2</v>
      </c>
      <c r="L46" s="4">
        <v>5</v>
      </c>
      <c r="M46" s="4">
        <v>5</v>
      </c>
      <c r="N46" s="4">
        <v>3</v>
      </c>
      <c r="O46" s="4">
        <v>-2</v>
      </c>
      <c r="P46" s="4">
        <v>0</v>
      </c>
      <c r="Q46" s="7" t="s">
        <v>252</v>
      </c>
      <c r="R46" s="7" t="s">
        <v>28</v>
      </c>
    </row>
    <row r="47" spans="1:18">
      <c r="A47" s="4" t="s">
        <v>255</v>
      </c>
      <c r="B47" s="4">
        <v>-3</v>
      </c>
      <c r="C47" s="4">
        <v>4</v>
      </c>
      <c r="D47" s="4">
        <v>3</v>
      </c>
      <c r="E47" s="4">
        <v>1</v>
      </c>
      <c r="F47" s="4">
        <v>6</v>
      </c>
      <c r="G47" s="4">
        <v>-3</v>
      </c>
      <c r="H47" s="4">
        <v>5</v>
      </c>
      <c r="I47" s="4">
        <v>5.5</v>
      </c>
      <c r="J47" s="4">
        <v>0</v>
      </c>
      <c r="K47" s="4">
        <v>2</v>
      </c>
      <c r="L47" s="4">
        <v>-2</v>
      </c>
      <c r="M47" s="4">
        <v>4</v>
      </c>
      <c r="N47" s="4">
        <v>6</v>
      </c>
      <c r="O47" s="4">
        <v>5</v>
      </c>
      <c r="P47" s="4">
        <v>1</v>
      </c>
      <c r="Q47" s="7" t="s">
        <v>256</v>
      </c>
      <c r="R47" s="7" t="s">
        <v>34</v>
      </c>
    </row>
    <row r="48" spans="1:18">
      <c r="A48" s="4" t="s">
        <v>259</v>
      </c>
      <c r="B48" s="4">
        <v>-0.5</v>
      </c>
      <c r="C48" s="4">
        <v>0</v>
      </c>
      <c r="D48" s="4">
        <v>1</v>
      </c>
      <c r="E48" s="4">
        <v>-1</v>
      </c>
      <c r="F48" s="4">
        <v>4</v>
      </c>
      <c r="G48" s="4">
        <v>-5.5</v>
      </c>
      <c r="H48" s="4">
        <v>-3</v>
      </c>
      <c r="I48" s="4">
        <v>-0.5</v>
      </c>
      <c r="J48" s="4">
        <v>-4</v>
      </c>
      <c r="K48" s="4">
        <v>0</v>
      </c>
      <c r="L48" s="4">
        <v>1</v>
      </c>
      <c r="M48" s="4">
        <v>-3.5</v>
      </c>
      <c r="N48" s="4">
        <v>3</v>
      </c>
      <c r="O48" s="4">
        <v>3</v>
      </c>
      <c r="P48" s="4">
        <v>0</v>
      </c>
      <c r="Q48" s="7" t="s">
        <v>260</v>
      </c>
      <c r="R48" s="7" t="s">
        <v>40</v>
      </c>
    </row>
    <row r="49" spans="1:18">
      <c r="A49" s="4" t="s">
        <v>265</v>
      </c>
      <c r="B49" s="4">
        <v>3</v>
      </c>
      <c r="C49" s="4">
        <v>0</v>
      </c>
      <c r="D49" s="4">
        <v>0</v>
      </c>
      <c r="E49" s="4">
        <v>2</v>
      </c>
      <c r="F49" s="4">
        <v>-1</v>
      </c>
      <c r="G49" s="4">
        <v>-4</v>
      </c>
      <c r="H49" s="4">
        <v>0</v>
      </c>
      <c r="I49" s="4">
        <v>-0.5</v>
      </c>
      <c r="J49" s="4">
        <v>1</v>
      </c>
      <c r="K49" s="4">
        <v>-1</v>
      </c>
      <c r="L49" s="4">
        <v>3</v>
      </c>
      <c r="M49" s="4">
        <v>0</v>
      </c>
      <c r="N49" s="4">
        <v>2</v>
      </c>
      <c r="O49" s="4">
        <v>-3</v>
      </c>
      <c r="P49" s="4">
        <v>1</v>
      </c>
      <c r="Q49" s="7" t="s">
        <v>266</v>
      </c>
      <c r="R49" s="7" t="s">
        <v>19</v>
      </c>
    </row>
    <row r="50" spans="1:18">
      <c r="A50" s="4" t="s">
        <v>269</v>
      </c>
      <c r="B50" s="4">
        <v>1</v>
      </c>
      <c r="C50" s="4">
        <v>4</v>
      </c>
      <c r="D50" s="4">
        <v>-2</v>
      </c>
      <c r="E50" s="4">
        <v>-7</v>
      </c>
      <c r="F50" s="4">
        <v>4</v>
      </c>
      <c r="G50" s="4">
        <v>-5</v>
      </c>
      <c r="H50" s="4">
        <v>-1</v>
      </c>
      <c r="I50" s="4">
        <v>-1</v>
      </c>
      <c r="J50" s="4">
        <v>-1</v>
      </c>
      <c r="K50" s="4">
        <v>-1</v>
      </c>
      <c r="L50" s="4">
        <v>-1</v>
      </c>
      <c r="M50" s="4">
        <v>0</v>
      </c>
      <c r="N50" s="4">
        <v>1</v>
      </c>
      <c r="O50" s="4">
        <v>4</v>
      </c>
      <c r="P50" s="4">
        <v>0</v>
      </c>
      <c r="Q50" s="7" t="s">
        <v>270</v>
      </c>
      <c r="R50" s="7" t="s">
        <v>25</v>
      </c>
    </row>
    <row r="51" spans="1:18">
      <c r="A51" s="4" t="s">
        <v>273</v>
      </c>
      <c r="B51" s="4">
        <v>-7</v>
      </c>
      <c r="C51" s="4">
        <v>-1</v>
      </c>
      <c r="D51" s="4">
        <v>-7</v>
      </c>
      <c r="E51" s="4">
        <v>4</v>
      </c>
      <c r="F51" s="4">
        <v>7</v>
      </c>
      <c r="G51" s="4">
        <v>0</v>
      </c>
      <c r="H51" s="4">
        <v>-1</v>
      </c>
      <c r="I51" s="4">
        <v>1</v>
      </c>
      <c r="J51" s="4">
        <v>2</v>
      </c>
      <c r="K51" s="4">
        <v>0.5</v>
      </c>
      <c r="L51" s="4">
        <v>1</v>
      </c>
      <c r="M51" s="4">
        <v>-1</v>
      </c>
      <c r="N51" s="4">
        <v>-2</v>
      </c>
      <c r="O51" s="4">
        <v>4</v>
      </c>
      <c r="P51" s="4">
        <v>1</v>
      </c>
      <c r="Q51" s="7" t="s">
        <v>274</v>
      </c>
      <c r="R51" s="7" t="s">
        <v>31</v>
      </c>
    </row>
    <row r="52" spans="1:18">
      <c r="A52" s="4" t="s">
        <v>279</v>
      </c>
      <c r="B52" s="4">
        <v>2</v>
      </c>
      <c r="C52" s="4">
        <v>-2</v>
      </c>
      <c r="D52" s="4">
        <v>8</v>
      </c>
      <c r="E52" s="4">
        <v>2</v>
      </c>
      <c r="F52" s="4">
        <v>1</v>
      </c>
      <c r="G52" s="4">
        <v>2</v>
      </c>
      <c r="H52" s="4">
        <v>-2</v>
      </c>
      <c r="I52" s="4">
        <v>-1</v>
      </c>
      <c r="J52" s="4">
        <v>2</v>
      </c>
      <c r="K52" s="4">
        <v>-2</v>
      </c>
      <c r="L52" s="4">
        <v>-1</v>
      </c>
      <c r="M52" s="4">
        <v>3</v>
      </c>
      <c r="N52" s="4">
        <v>-3</v>
      </c>
      <c r="O52" s="4">
        <v>1</v>
      </c>
      <c r="P52" s="4">
        <v>0</v>
      </c>
      <c r="Q52" s="7" t="s">
        <v>280</v>
      </c>
      <c r="R52" s="7" t="s">
        <v>40</v>
      </c>
    </row>
    <row r="53" spans="1:18">
      <c r="A53" s="4" t="s">
        <v>283</v>
      </c>
      <c r="B53" s="4">
        <v>8</v>
      </c>
      <c r="C53" s="4">
        <v>8</v>
      </c>
      <c r="D53" s="4">
        <v>-2</v>
      </c>
      <c r="E53" s="4">
        <v>1.5</v>
      </c>
      <c r="F53" s="4">
        <v>2</v>
      </c>
      <c r="G53" s="4">
        <v>3</v>
      </c>
      <c r="H53" s="4">
        <v>5</v>
      </c>
      <c r="I53" s="4">
        <v>8</v>
      </c>
      <c r="J53" s="4">
        <v>-1</v>
      </c>
      <c r="K53" s="4">
        <v>-4</v>
      </c>
      <c r="L53" s="4">
        <v>8</v>
      </c>
      <c r="M53" s="4">
        <v>-2</v>
      </c>
      <c r="N53" s="4">
        <v>0</v>
      </c>
      <c r="O53" s="4">
        <v>5</v>
      </c>
      <c r="P53" s="4">
        <v>0</v>
      </c>
      <c r="Q53" s="7" t="s">
        <v>284</v>
      </c>
      <c r="R53" s="7" t="s">
        <v>16</v>
      </c>
    </row>
    <row r="54" spans="1:18">
      <c r="A54" s="4" t="s">
        <v>289</v>
      </c>
      <c r="B54" s="4">
        <v>-5</v>
      </c>
      <c r="C54" s="4">
        <v>4</v>
      </c>
      <c r="D54" s="4">
        <v>-4</v>
      </c>
      <c r="E54" s="4">
        <v>3.5</v>
      </c>
      <c r="F54" s="4">
        <v>4</v>
      </c>
      <c r="G54" s="4">
        <v>3</v>
      </c>
      <c r="H54" s="4">
        <v>-1</v>
      </c>
      <c r="I54" s="4">
        <v>1</v>
      </c>
      <c r="J54" s="4">
        <v>3</v>
      </c>
      <c r="K54" s="4">
        <v>-4</v>
      </c>
      <c r="L54" s="4">
        <v>-5</v>
      </c>
      <c r="M54" s="4">
        <v>0</v>
      </c>
      <c r="N54" s="4">
        <v>-2</v>
      </c>
      <c r="O54" s="4">
        <v>4</v>
      </c>
      <c r="P54" s="4">
        <v>0</v>
      </c>
      <c r="Q54" s="7" t="s">
        <v>290</v>
      </c>
      <c r="R54" s="7" t="s">
        <v>25</v>
      </c>
    </row>
    <row r="55" spans="1:18">
      <c r="A55" s="4" t="s">
        <v>293</v>
      </c>
      <c r="B55" s="4">
        <v>-10</v>
      </c>
      <c r="C55" s="4">
        <v>3</v>
      </c>
      <c r="D55" s="4">
        <v>-1</v>
      </c>
      <c r="E55" s="4">
        <v>-2</v>
      </c>
      <c r="F55" s="4">
        <v>9</v>
      </c>
      <c r="G55" s="4">
        <v>3</v>
      </c>
      <c r="H55" s="4">
        <v>2.5</v>
      </c>
      <c r="I55" s="4">
        <v>3</v>
      </c>
      <c r="J55" s="4">
        <v>5.5</v>
      </c>
      <c r="K55" s="4">
        <v>1</v>
      </c>
      <c r="L55" s="4">
        <v>3</v>
      </c>
      <c r="M55" s="4">
        <v>1</v>
      </c>
      <c r="N55" s="4">
        <v>-10</v>
      </c>
      <c r="O55" s="4">
        <v>0</v>
      </c>
      <c r="P55" s="4">
        <v>0</v>
      </c>
      <c r="Q55" s="7" t="s">
        <v>294</v>
      </c>
      <c r="R55" s="7" t="s">
        <v>16</v>
      </c>
    </row>
    <row r="56" spans="1:18">
      <c r="A56" s="4" t="s">
        <v>297</v>
      </c>
      <c r="B56" s="4">
        <v>-3</v>
      </c>
      <c r="C56" s="4">
        <v>1</v>
      </c>
      <c r="D56" s="4">
        <v>-3</v>
      </c>
      <c r="E56" s="4">
        <v>4.5</v>
      </c>
      <c r="F56" s="4">
        <v>0</v>
      </c>
      <c r="G56" s="4">
        <v>2</v>
      </c>
      <c r="H56" s="4">
        <v>1</v>
      </c>
      <c r="I56" s="4">
        <v>3</v>
      </c>
      <c r="J56" s="4">
        <v>-1</v>
      </c>
      <c r="K56" s="4">
        <v>-1</v>
      </c>
      <c r="L56" s="4">
        <v>1</v>
      </c>
      <c r="M56" s="4">
        <v>1</v>
      </c>
      <c r="N56" s="4">
        <v>2.5</v>
      </c>
      <c r="O56" s="4">
        <v>-2</v>
      </c>
      <c r="P56" s="4">
        <v>1</v>
      </c>
      <c r="Q56" s="7" t="s">
        <v>298</v>
      </c>
      <c r="R56" s="7" t="s">
        <v>37</v>
      </c>
    </row>
    <row r="57" spans="1:18">
      <c r="A57" s="4" t="s">
        <v>301</v>
      </c>
      <c r="B57" s="4">
        <v>-6</v>
      </c>
      <c r="C57" s="4">
        <v>3</v>
      </c>
      <c r="D57" s="4">
        <v>1</v>
      </c>
      <c r="E57" s="4">
        <v>4.5</v>
      </c>
      <c r="F57" s="4">
        <v>-6</v>
      </c>
      <c r="G57" s="4">
        <v>-1</v>
      </c>
      <c r="H57" s="4">
        <v>2</v>
      </c>
      <c r="I57" s="4">
        <v>0</v>
      </c>
      <c r="J57" s="4">
        <v>3</v>
      </c>
      <c r="K57" s="4">
        <v>4</v>
      </c>
      <c r="L57" s="4">
        <v>-2</v>
      </c>
      <c r="M57" s="4">
        <v>-2</v>
      </c>
      <c r="N57" s="4">
        <v>4</v>
      </c>
      <c r="O57" s="4">
        <v>-6</v>
      </c>
      <c r="P57" s="4">
        <v>0</v>
      </c>
      <c r="Q57" s="7" t="s">
        <v>302</v>
      </c>
      <c r="R57" s="7" t="s">
        <v>31</v>
      </c>
    </row>
    <row r="58" spans="1:18">
      <c r="A58" s="4" t="s">
        <v>307</v>
      </c>
      <c r="B58" s="4">
        <v>-2</v>
      </c>
      <c r="C58" s="4">
        <v>0.5</v>
      </c>
      <c r="D58" s="4">
        <v>6</v>
      </c>
      <c r="E58" s="4">
        <v>1</v>
      </c>
      <c r="F58" s="4">
        <v>-2</v>
      </c>
      <c r="G58" s="4">
        <v>0.5</v>
      </c>
      <c r="H58" s="4">
        <v>-1</v>
      </c>
      <c r="I58" s="4">
        <v>-2</v>
      </c>
      <c r="J58" s="4">
        <v>-8</v>
      </c>
      <c r="K58" s="4">
        <v>-7</v>
      </c>
      <c r="L58" s="4">
        <v>0</v>
      </c>
      <c r="M58" s="4">
        <v>-3</v>
      </c>
      <c r="N58" s="4">
        <v>6</v>
      </c>
      <c r="O58" s="4">
        <v>2.5</v>
      </c>
      <c r="P58" s="4">
        <v>1</v>
      </c>
      <c r="Q58" s="7" t="s">
        <v>308</v>
      </c>
      <c r="R58" s="7" t="s">
        <v>22</v>
      </c>
    </row>
    <row r="59" spans="1:18">
      <c r="A59" s="4" t="s">
        <v>311</v>
      </c>
      <c r="B59" s="4">
        <v>1</v>
      </c>
      <c r="C59" s="4">
        <v>3</v>
      </c>
      <c r="D59" s="4">
        <v>1</v>
      </c>
      <c r="E59" s="4">
        <v>3</v>
      </c>
      <c r="F59" s="4">
        <v>-3</v>
      </c>
      <c r="G59" s="4">
        <v>-1.5</v>
      </c>
      <c r="H59" s="4">
        <v>-1</v>
      </c>
      <c r="I59" s="4">
        <v>1</v>
      </c>
      <c r="J59" s="4">
        <v>7</v>
      </c>
      <c r="K59" s="4">
        <v>1</v>
      </c>
      <c r="L59" s="4">
        <v>5</v>
      </c>
      <c r="M59" s="4">
        <v>4</v>
      </c>
      <c r="N59" s="4">
        <v>-1</v>
      </c>
      <c r="O59" s="4">
        <v>-3</v>
      </c>
      <c r="P59" s="4">
        <v>1</v>
      </c>
      <c r="Q59" s="7" t="s">
        <v>312</v>
      </c>
      <c r="R59" s="7" t="s">
        <v>28</v>
      </c>
    </row>
    <row r="60" spans="1:18">
      <c r="A60" s="4" t="s">
        <v>315</v>
      </c>
      <c r="B60" s="4">
        <v>4</v>
      </c>
      <c r="C60" s="4">
        <v>4</v>
      </c>
      <c r="D60" s="4">
        <v>5</v>
      </c>
      <c r="E60" s="4">
        <v>-2</v>
      </c>
      <c r="F60" s="4">
        <v>7</v>
      </c>
      <c r="G60" s="4">
        <v>-3</v>
      </c>
      <c r="H60" s="4">
        <v>5</v>
      </c>
      <c r="I60" s="4">
        <v>4.5</v>
      </c>
      <c r="J60" s="4">
        <v>0</v>
      </c>
      <c r="K60" s="4">
        <v>4</v>
      </c>
      <c r="L60" s="4">
        <v>-3</v>
      </c>
      <c r="M60" s="4">
        <v>4</v>
      </c>
      <c r="N60" s="4">
        <v>3</v>
      </c>
      <c r="O60" s="4">
        <v>0</v>
      </c>
      <c r="P60" s="4">
        <v>1</v>
      </c>
      <c r="Q60" s="7" t="s">
        <v>316</v>
      </c>
      <c r="R60" s="7" t="s">
        <v>34</v>
      </c>
    </row>
    <row r="61" spans="1:18">
      <c r="A61" s="4" t="s">
        <v>321</v>
      </c>
      <c r="B61" s="4">
        <v>-1.5</v>
      </c>
      <c r="C61" s="4">
        <v>6</v>
      </c>
      <c r="D61" s="4">
        <v>-1.5</v>
      </c>
      <c r="E61" s="4">
        <v>0</v>
      </c>
      <c r="F61" s="4">
        <v>-2</v>
      </c>
      <c r="G61" s="4">
        <v>2</v>
      </c>
      <c r="H61" s="4">
        <v>6</v>
      </c>
      <c r="I61" s="4">
        <v>5</v>
      </c>
      <c r="J61" s="4">
        <v>6</v>
      </c>
      <c r="K61" s="4">
        <v>4</v>
      </c>
      <c r="L61" s="4">
        <v>4</v>
      </c>
      <c r="M61" s="4">
        <v>5</v>
      </c>
      <c r="N61" s="4">
        <v>-1</v>
      </c>
      <c r="O61" s="4">
        <v>-2</v>
      </c>
      <c r="P61" s="4">
        <v>1</v>
      </c>
      <c r="Q61" s="7" t="s">
        <v>322</v>
      </c>
      <c r="R61" s="7" t="s">
        <v>31</v>
      </c>
    </row>
    <row r="62" spans="1:18">
      <c r="A62" s="4" t="s">
        <v>325</v>
      </c>
      <c r="B62" s="4">
        <v>1</v>
      </c>
      <c r="C62" s="4">
        <v>3</v>
      </c>
      <c r="D62" s="4">
        <v>2</v>
      </c>
      <c r="E62" s="4">
        <v>1</v>
      </c>
      <c r="F62" s="4">
        <v>1</v>
      </c>
      <c r="G62" s="4">
        <v>-2.5</v>
      </c>
      <c r="H62" s="4">
        <v>3</v>
      </c>
      <c r="I62" s="4">
        <v>0</v>
      </c>
      <c r="J62" s="4">
        <v>3</v>
      </c>
      <c r="K62" s="4">
        <v>0.5</v>
      </c>
      <c r="L62" s="4">
        <v>3</v>
      </c>
      <c r="M62" s="4">
        <v>4</v>
      </c>
      <c r="N62" s="4">
        <v>1</v>
      </c>
      <c r="O62" s="4">
        <v>-4</v>
      </c>
      <c r="P62" s="4">
        <v>1</v>
      </c>
      <c r="Q62" s="7" t="s">
        <v>326</v>
      </c>
      <c r="R62" s="7" t="s">
        <v>19</v>
      </c>
    </row>
    <row r="63" spans="1:18">
      <c r="A63" s="4" t="s">
        <v>329</v>
      </c>
      <c r="B63" s="4">
        <v>-6</v>
      </c>
      <c r="C63" s="4">
        <v>4</v>
      </c>
      <c r="D63" s="4">
        <v>-4</v>
      </c>
      <c r="E63" s="4">
        <v>-3</v>
      </c>
      <c r="F63" s="4">
        <v>4</v>
      </c>
      <c r="G63" s="4">
        <v>-2</v>
      </c>
      <c r="H63" s="4">
        <v>-6</v>
      </c>
      <c r="I63" s="4">
        <v>-4</v>
      </c>
      <c r="J63" s="4">
        <v>4</v>
      </c>
      <c r="K63" s="4">
        <v>-1</v>
      </c>
      <c r="L63" s="4">
        <v>-2</v>
      </c>
      <c r="M63" s="4">
        <v>-2</v>
      </c>
      <c r="N63" s="4">
        <v>3</v>
      </c>
      <c r="O63" s="4">
        <v>2.5</v>
      </c>
      <c r="P63" s="4">
        <v>0</v>
      </c>
      <c r="Q63" s="7" t="s">
        <v>330</v>
      </c>
      <c r="R63" s="7" t="s">
        <v>25</v>
      </c>
    </row>
    <row r="64" spans="1:18">
      <c r="A64" s="4" t="s">
        <v>335</v>
      </c>
      <c r="B64" s="4">
        <v>-1</v>
      </c>
      <c r="C64" s="4">
        <v>1</v>
      </c>
      <c r="D64" s="4">
        <v>-2</v>
      </c>
      <c r="E64" s="4">
        <v>3</v>
      </c>
      <c r="F64" s="4">
        <v>-0.5</v>
      </c>
      <c r="G64" s="4">
        <v>-1</v>
      </c>
      <c r="H64" s="4">
        <v>6</v>
      </c>
      <c r="I64" s="4">
        <v>-2</v>
      </c>
      <c r="J64" s="4">
        <v>0.5</v>
      </c>
      <c r="K64" s="4">
        <v>-1</v>
      </c>
      <c r="L64" s="4">
        <v>-7</v>
      </c>
      <c r="M64" s="4">
        <v>1</v>
      </c>
      <c r="N64" s="4">
        <v>2</v>
      </c>
      <c r="O64" s="4">
        <v>2.5</v>
      </c>
      <c r="P64" s="4">
        <v>0</v>
      </c>
      <c r="Q64" s="7" t="s">
        <v>336</v>
      </c>
      <c r="R64" s="7" t="s">
        <v>34</v>
      </c>
    </row>
    <row r="65" spans="1:18">
      <c r="A65" s="4" t="s">
        <v>339</v>
      </c>
      <c r="B65" s="4">
        <v>3</v>
      </c>
      <c r="C65" s="4">
        <v>8</v>
      </c>
      <c r="D65" s="4">
        <v>-5</v>
      </c>
      <c r="E65" s="4">
        <v>-2</v>
      </c>
      <c r="F65" s="4">
        <v>3</v>
      </c>
      <c r="G65" s="4">
        <v>1</v>
      </c>
      <c r="H65" s="4">
        <v>-4</v>
      </c>
      <c r="I65" s="4">
        <v>5.5</v>
      </c>
      <c r="J65" s="4">
        <v>3</v>
      </c>
      <c r="K65" s="4">
        <v>8</v>
      </c>
      <c r="L65" s="4">
        <v>3</v>
      </c>
      <c r="M65" s="4">
        <v>3</v>
      </c>
      <c r="N65" s="4">
        <v>2.5</v>
      </c>
      <c r="O65" s="4">
        <v>7.5</v>
      </c>
      <c r="P65" s="4">
        <v>1</v>
      </c>
      <c r="Q65" s="7" t="s">
        <v>340</v>
      </c>
      <c r="R65" s="7" t="s">
        <v>40</v>
      </c>
    </row>
    <row r="66" spans="1:18">
      <c r="A66" s="4" t="s">
        <v>345</v>
      </c>
      <c r="B66" s="4">
        <v>2</v>
      </c>
      <c r="C66" s="4">
        <v>0</v>
      </c>
      <c r="D66" s="4">
        <v>2</v>
      </c>
      <c r="E66" s="4">
        <v>3</v>
      </c>
      <c r="F66" s="4">
        <v>-2</v>
      </c>
      <c r="G66" s="4">
        <v>-11</v>
      </c>
      <c r="H66" s="4">
        <v>0</v>
      </c>
      <c r="I66" s="4">
        <v>2.5</v>
      </c>
      <c r="J66" s="4">
        <v>4</v>
      </c>
      <c r="K66" s="4">
        <v>2.5</v>
      </c>
      <c r="L66" s="4">
        <v>0.5</v>
      </c>
      <c r="M66" s="4">
        <v>-4</v>
      </c>
      <c r="N66" s="4">
        <v>-3</v>
      </c>
      <c r="O66" s="4">
        <v>-2</v>
      </c>
      <c r="P66" s="4">
        <v>1</v>
      </c>
      <c r="Q66" s="7" t="s">
        <v>346</v>
      </c>
      <c r="R66" s="7" t="s">
        <v>19</v>
      </c>
    </row>
    <row r="67" spans="1:18">
      <c r="A67" s="4" t="s">
        <v>349</v>
      </c>
      <c r="B67" s="4">
        <v>4.5</v>
      </c>
      <c r="C67" s="4">
        <v>4.5</v>
      </c>
      <c r="D67" s="4">
        <v>-3</v>
      </c>
      <c r="E67" s="4">
        <v>5</v>
      </c>
      <c r="F67" s="4">
        <v>4.5</v>
      </c>
      <c r="G67" s="4">
        <v>0</v>
      </c>
      <c r="H67" s="4">
        <v>-4</v>
      </c>
      <c r="I67" s="4">
        <v>1</v>
      </c>
      <c r="J67" s="4">
        <v>4</v>
      </c>
      <c r="K67" s="4">
        <v>-1</v>
      </c>
      <c r="L67" s="4">
        <v>6.5</v>
      </c>
      <c r="M67" s="4">
        <v>11.5</v>
      </c>
      <c r="N67" s="4">
        <v>6</v>
      </c>
      <c r="O67" s="4">
        <v>-2</v>
      </c>
      <c r="P67" s="4">
        <v>0</v>
      </c>
      <c r="Q67" s="7" t="s">
        <v>350</v>
      </c>
      <c r="R67" s="7" t="s">
        <v>25</v>
      </c>
    </row>
    <row r="68" spans="1:18">
      <c r="A68" s="4" t="s">
        <v>353</v>
      </c>
      <c r="B68" s="4">
        <v>-1</v>
      </c>
      <c r="C68" s="4">
        <v>-2</v>
      </c>
      <c r="D68" s="4">
        <v>-11</v>
      </c>
      <c r="E68" s="4">
        <v>5</v>
      </c>
      <c r="F68" s="4">
        <v>2</v>
      </c>
      <c r="G68" s="4">
        <v>-2</v>
      </c>
      <c r="H68" s="4">
        <v>-1</v>
      </c>
      <c r="I68" s="4">
        <v>6</v>
      </c>
      <c r="J68" s="4">
        <v>-1</v>
      </c>
      <c r="K68" s="4">
        <v>-2</v>
      </c>
      <c r="L68" s="4">
        <v>-2</v>
      </c>
      <c r="M68" s="4">
        <v>2</v>
      </c>
      <c r="N68" s="4">
        <v>-2</v>
      </c>
      <c r="O68" s="4">
        <v>7.5</v>
      </c>
      <c r="P68" s="4">
        <v>0</v>
      </c>
      <c r="Q68" s="7" t="s">
        <v>354</v>
      </c>
      <c r="R68" s="7" t="s">
        <v>25</v>
      </c>
    </row>
    <row r="69" spans="1:18">
      <c r="A69" s="4" t="s">
        <v>357</v>
      </c>
      <c r="B69" s="4">
        <v>-3</v>
      </c>
      <c r="C69" s="4">
        <v>6</v>
      </c>
      <c r="D69" s="4">
        <v>-5</v>
      </c>
      <c r="E69" s="4">
        <v>-1</v>
      </c>
      <c r="F69" s="4">
        <v>-1</v>
      </c>
      <c r="G69" s="4">
        <v>0</v>
      </c>
      <c r="H69" s="4">
        <v>2</v>
      </c>
      <c r="I69" s="4">
        <v>2</v>
      </c>
      <c r="J69" s="4">
        <v>-3</v>
      </c>
      <c r="K69" s="4">
        <v>7</v>
      </c>
      <c r="L69" s="4">
        <v>6</v>
      </c>
      <c r="M69" s="4">
        <v>0</v>
      </c>
      <c r="N69" s="4">
        <v>-2</v>
      </c>
      <c r="O69" s="4">
        <v>5</v>
      </c>
      <c r="P69" s="4">
        <v>1</v>
      </c>
      <c r="Q69" s="7" t="s">
        <v>358</v>
      </c>
      <c r="R69" s="7" t="s">
        <v>37</v>
      </c>
    </row>
    <row r="70" spans="1:18">
      <c r="A70" s="4" t="s">
        <v>363</v>
      </c>
      <c r="B70" s="4">
        <v>6</v>
      </c>
      <c r="C70" s="4">
        <v>2</v>
      </c>
      <c r="D70" s="4">
        <v>-2</v>
      </c>
      <c r="E70" s="4">
        <v>2</v>
      </c>
      <c r="F70" s="4">
        <v>5</v>
      </c>
      <c r="G70" s="4">
        <v>4</v>
      </c>
      <c r="H70" s="4">
        <v>-1</v>
      </c>
      <c r="I70" s="4">
        <v>2</v>
      </c>
      <c r="J70" s="4">
        <v>4</v>
      </c>
      <c r="K70" s="4">
        <v>2</v>
      </c>
      <c r="L70" s="4">
        <v>4.5</v>
      </c>
      <c r="M70" s="4">
        <v>6</v>
      </c>
      <c r="N70" s="4">
        <v>-3</v>
      </c>
      <c r="O70" s="4">
        <v>6</v>
      </c>
      <c r="P70" s="4">
        <v>1</v>
      </c>
      <c r="Q70" s="7" t="s">
        <v>364</v>
      </c>
      <c r="R70" s="7" t="s">
        <v>16</v>
      </c>
    </row>
    <row r="71" spans="1:18">
      <c r="A71" s="4" t="s">
        <v>367</v>
      </c>
      <c r="B71" s="4">
        <v>4</v>
      </c>
      <c r="C71" s="4">
        <v>4</v>
      </c>
      <c r="D71" s="4">
        <v>4</v>
      </c>
      <c r="E71" s="4">
        <v>2</v>
      </c>
      <c r="F71" s="4">
        <v>-1</v>
      </c>
      <c r="G71" s="4">
        <v>4</v>
      </c>
      <c r="H71" s="4">
        <v>4</v>
      </c>
      <c r="I71" s="4">
        <v>3</v>
      </c>
      <c r="J71" s="4">
        <v>-4</v>
      </c>
      <c r="K71" s="4">
        <v>-2</v>
      </c>
      <c r="L71" s="4">
        <v>7</v>
      </c>
      <c r="M71" s="4">
        <v>2</v>
      </c>
      <c r="N71" s="4">
        <v>0.5</v>
      </c>
      <c r="O71" s="4">
        <v>4</v>
      </c>
      <c r="P71" s="4">
        <v>0</v>
      </c>
      <c r="Q71" s="7" t="s">
        <v>368</v>
      </c>
      <c r="R71" s="7" t="s">
        <v>22</v>
      </c>
    </row>
    <row r="72" spans="1:18">
      <c r="A72" s="4" t="s">
        <v>371</v>
      </c>
      <c r="B72" s="4">
        <v>-2.5</v>
      </c>
      <c r="C72" s="4">
        <v>-2.5</v>
      </c>
      <c r="D72" s="4">
        <v>-5</v>
      </c>
      <c r="E72" s="4">
        <v>-2.5</v>
      </c>
      <c r="F72" s="4">
        <v>-8</v>
      </c>
      <c r="G72" s="4">
        <v>0</v>
      </c>
      <c r="H72" s="4">
        <v>1</v>
      </c>
      <c r="I72" s="4">
        <v>4</v>
      </c>
      <c r="J72" s="4">
        <v>-4</v>
      </c>
      <c r="K72" s="4">
        <v>2</v>
      </c>
      <c r="L72" s="4">
        <v>2</v>
      </c>
      <c r="M72" s="4">
        <v>-3</v>
      </c>
      <c r="N72" s="4">
        <v>3</v>
      </c>
      <c r="O72" s="4">
        <v>-9</v>
      </c>
      <c r="P72" s="4">
        <v>0</v>
      </c>
      <c r="Q72" s="7" t="s">
        <v>372</v>
      </c>
      <c r="R72" s="7" t="s">
        <v>28</v>
      </c>
    </row>
    <row r="73" spans="1:18">
      <c r="A73" s="4" t="s">
        <v>377</v>
      </c>
      <c r="B73" s="4">
        <v>5</v>
      </c>
      <c r="C73" s="4">
        <v>-0.5</v>
      </c>
      <c r="D73" s="4">
        <v>-3</v>
      </c>
      <c r="E73" s="4">
        <v>11</v>
      </c>
      <c r="F73" s="4">
        <v>-6</v>
      </c>
      <c r="G73" s="4">
        <v>2</v>
      </c>
      <c r="H73" s="4">
        <v>5</v>
      </c>
      <c r="I73" s="4">
        <v>4</v>
      </c>
      <c r="J73" s="4">
        <v>-5</v>
      </c>
      <c r="K73" s="4">
        <v>-2</v>
      </c>
      <c r="L73" s="4">
        <v>-0.5</v>
      </c>
      <c r="M73" s="4">
        <v>-1</v>
      </c>
      <c r="N73" s="4">
        <v>-3.5</v>
      </c>
      <c r="O73" s="4">
        <v>4</v>
      </c>
      <c r="P73" s="4">
        <v>1</v>
      </c>
      <c r="Q73" s="7" t="s">
        <v>378</v>
      </c>
      <c r="R73" s="7" t="s">
        <v>37</v>
      </c>
    </row>
    <row r="74" spans="1:18">
      <c r="A74" s="4" t="s">
        <v>381</v>
      </c>
      <c r="B74" s="4">
        <v>3</v>
      </c>
      <c r="C74" s="4">
        <v>3</v>
      </c>
      <c r="D74" s="4">
        <v>-2</v>
      </c>
      <c r="E74" s="4">
        <v>-1</v>
      </c>
      <c r="F74" s="4">
        <v>-3</v>
      </c>
      <c r="G74" s="4">
        <v>-3</v>
      </c>
      <c r="H74" s="4">
        <v>2</v>
      </c>
      <c r="I74" s="4">
        <v>6</v>
      </c>
      <c r="J74" s="4">
        <v>3</v>
      </c>
      <c r="K74" s="4">
        <v>5</v>
      </c>
      <c r="L74" s="4">
        <v>2</v>
      </c>
      <c r="M74" s="4">
        <v>2</v>
      </c>
      <c r="N74" s="4">
        <v>2</v>
      </c>
      <c r="O74" s="4">
        <v>-3</v>
      </c>
      <c r="P74" s="4">
        <v>1</v>
      </c>
      <c r="Q74" s="7" t="s">
        <v>382</v>
      </c>
      <c r="R74" s="7" t="s">
        <v>31</v>
      </c>
    </row>
    <row r="75" spans="1:18">
      <c r="A75" s="4" t="s">
        <v>387</v>
      </c>
      <c r="B75" s="4">
        <v>-4</v>
      </c>
      <c r="C75" s="4">
        <v>2</v>
      </c>
      <c r="D75" s="4">
        <v>4</v>
      </c>
      <c r="E75" s="4">
        <v>-1</v>
      </c>
      <c r="F75" s="4">
        <v>-1</v>
      </c>
      <c r="G75" s="4">
        <v>2</v>
      </c>
      <c r="H75" s="4">
        <v>4.5</v>
      </c>
      <c r="I75" s="4">
        <v>-1</v>
      </c>
      <c r="J75" s="4">
        <v>-5</v>
      </c>
      <c r="K75" s="4">
        <v>1.5</v>
      </c>
      <c r="L75" s="4">
        <v>1</v>
      </c>
      <c r="M75" s="4">
        <v>-4</v>
      </c>
      <c r="N75" s="4">
        <v>-5</v>
      </c>
      <c r="O75" s="4">
        <v>4</v>
      </c>
      <c r="P75" s="4">
        <v>0</v>
      </c>
      <c r="Q75" s="7" t="s">
        <v>388</v>
      </c>
      <c r="R75" s="7" t="s">
        <v>22</v>
      </c>
    </row>
    <row r="76" spans="1:18">
      <c r="A76" s="4" t="s">
        <v>391</v>
      </c>
      <c r="B76" s="4">
        <v>-3</v>
      </c>
      <c r="C76" s="4">
        <v>0.5</v>
      </c>
      <c r="D76" s="4">
        <v>-1</v>
      </c>
      <c r="E76" s="4">
        <v>0.5</v>
      </c>
      <c r="F76" s="4">
        <v>-3</v>
      </c>
      <c r="G76" s="4">
        <v>-1</v>
      </c>
      <c r="H76" s="4">
        <v>5</v>
      </c>
      <c r="I76" s="4">
        <v>0</v>
      </c>
      <c r="J76" s="4">
        <v>1</v>
      </c>
      <c r="K76" s="4">
        <v>6</v>
      </c>
      <c r="L76" s="4">
        <v>0</v>
      </c>
      <c r="M76" s="4">
        <v>-4</v>
      </c>
      <c r="N76" s="4">
        <v>5</v>
      </c>
      <c r="O76" s="4">
        <v>-3</v>
      </c>
      <c r="P76" s="4">
        <v>1</v>
      </c>
      <c r="Q76" s="7" t="s">
        <v>392</v>
      </c>
      <c r="R76" s="7" t="s">
        <v>28</v>
      </c>
    </row>
    <row r="77" spans="1:18">
      <c r="A77" s="4" t="s">
        <v>399</v>
      </c>
      <c r="B77" s="4">
        <v>-1</v>
      </c>
      <c r="C77" s="4">
        <v>3</v>
      </c>
      <c r="D77" s="4">
        <v>-5</v>
      </c>
      <c r="E77" s="4">
        <v>-6</v>
      </c>
      <c r="F77" s="4">
        <v>-1</v>
      </c>
      <c r="G77" s="4">
        <v>-1</v>
      </c>
      <c r="H77" s="4">
        <v>-2</v>
      </c>
      <c r="I77" s="4">
        <v>6</v>
      </c>
      <c r="J77" s="4">
        <v>-1</v>
      </c>
      <c r="K77" s="4">
        <v>3</v>
      </c>
      <c r="L77" s="4">
        <v>3</v>
      </c>
      <c r="M77" s="4">
        <v>0</v>
      </c>
      <c r="N77" s="4">
        <v>3</v>
      </c>
      <c r="O77" s="4">
        <v>-0.5</v>
      </c>
      <c r="P77" s="4">
        <v>0</v>
      </c>
      <c r="Q77" s="7" t="s">
        <v>400</v>
      </c>
      <c r="R77" s="7" t="s">
        <v>40</v>
      </c>
    </row>
    <row r="78" spans="1:18">
      <c r="A78" s="4" t="s">
        <v>405</v>
      </c>
      <c r="B78" s="4">
        <v>3</v>
      </c>
      <c r="C78" s="4">
        <v>2</v>
      </c>
      <c r="D78" s="4">
        <v>-1</v>
      </c>
      <c r="E78" s="4">
        <v>0</v>
      </c>
      <c r="F78" s="4">
        <v>-2</v>
      </c>
      <c r="G78" s="4">
        <v>2.5</v>
      </c>
      <c r="H78" s="4">
        <v>2</v>
      </c>
      <c r="I78" s="4">
        <v>1</v>
      </c>
      <c r="J78" s="4">
        <v>3</v>
      </c>
      <c r="K78" s="4">
        <v>-4</v>
      </c>
      <c r="L78" s="4">
        <v>0</v>
      </c>
      <c r="M78" s="4">
        <v>-4</v>
      </c>
      <c r="N78" s="4">
        <v>4</v>
      </c>
      <c r="O78" s="4">
        <v>2</v>
      </c>
      <c r="P78" s="4">
        <v>1</v>
      </c>
      <c r="Q78" s="7" t="s">
        <v>406</v>
      </c>
      <c r="R78" s="7" t="s">
        <v>19</v>
      </c>
    </row>
    <row r="79" spans="1:18">
      <c r="A79" s="4" t="s">
        <v>409</v>
      </c>
      <c r="B79" s="4">
        <v>-1</v>
      </c>
      <c r="C79" s="4">
        <v>4</v>
      </c>
      <c r="D79" s="4">
        <v>-2.5</v>
      </c>
      <c r="E79" s="4">
        <v>-1</v>
      </c>
      <c r="F79" s="4">
        <v>4</v>
      </c>
      <c r="G79" s="4">
        <v>-1</v>
      </c>
      <c r="H79" s="4">
        <v>-4</v>
      </c>
      <c r="I79" s="4">
        <v>7</v>
      </c>
      <c r="J79" s="4">
        <v>-11</v>
      </c>
      <c r="K79" s="4">
        <v>4</v>
      </c>
      <c r="L79" s="4">
        <v>-1</v>
      </c>
      <c r="M79" s="4">
        <v>-5.5</v>
      </c>
      <c r="N79" s="4">
        <v>-1</v>
      </c>
      <c r="O79" s="4">
        <v>1</v>
      </c>
      <c r="P79" s="4">
        <v>0</v>
      </c>
      <c r="Q79" s="7" t="s">
        <v>410</v>
      </c>
      <c r="R79" s="7" t="s">
        <v>25</v>
      </c>
    </row>
    <row r="80" spans="1:18">
      <c r="A80" s="4" t="s">
        <v>413</v>
      </c>
      <c r="B80" s="4">
        <v>-3</v>
      </c>
      <c r="C80" s="4">
        <v>1</v>
      </c>
      <c r="D80" s="4">
        <v>-6</v>
      </c>
      <c r="E80" s="4">
        <v>-1</v>
      </c>
      <c r="F80" s="4">
        <v>1</v>
      </c>
      <c r="G80" s="4">
        <v>-3.5</v>
      </c>
      <c r="H80" s="4">
        <v>1</v>
      </c>
      <c r="I80" s="4">
        <v>1</v>
      </c>
      <c r="J80" s="4">
        <v>3</v>
      </c>
      <c r="K80" s="4">
        <v>0</v>
      </c>
      <c r="L80" s="4">
        <v>5</v>
      </c>
      <c r="M80" s="4">
        <v>-0.5</v>
      </c>
      <c r="N80" s="4">
        <v>-3</v>
      </c>
      <c r="O80" s="4">
        <v>2</v>
      </c>
      <c r="P80" s="4">
        <v>0</v>
      </c>
      <c r="Q80" s="7" t="s">
        <v>414</v>
      </c>
      <c r="R80" s="7" t="s">
        <v>16</v>
      </c>
    </row>
    <row r="81" spans="1:18">
      <c r="A81" s="4" t="s">
        <v>419</v>
      </c>
      <c r="B81" s="4">
        <v>-1</v>
      </c>
      <c r="C81" s="4">
        <v>1</v>
      </c>
      <c r="D81" s="4">
        <v>8</v>
      </c>
      <c r="E81" s="4">
        <v>-1</v>
      </c>
      <c r="F81" s="4">
        <v>2</v>
      </c>
      <c r="G81" s="4">
        <v>-3.5</v>
      </c>
      <c r="H81" s="4">
        <v>-2</v>
      </c>
      <c r="I81" s="4">
        <v>4</v>
      </c>
      <c r="J81" s="4">
        <v>-1</v>
      </c>
      <c r="K81" s="4">
        <v>1</v>
      </c>
      <c r="L81" s="4">
        <v>-4</v>
      </c>
      <c r="M81" s="4">
        <v>2</v>
      </c>
      <c r="N81" s="4">
        <v>-1</v>
      </c>
      <c r="O81" s="4">
        <v>6</v>
      </c>
      <c r="P81" s="4">
        <v>1</v>
      </c>
      <c r="Q81" s="7" t="s">
        <v>420</v>
      </c>
      <c r="R81" s="7" t="s">
        <v>40</v>
      </c>
    </row>
    <row r="82" spans="1:18">
      <c r="A82" s="4" t="s">
        <v>423</v>
      </c>
      <c r="B82" s="4">
        <v>-6.5</v>
      </c>
      <c r="C82" s="4">
        <v>-0.5</v>
      </c>
      <c r="D82" s="4">
        <v>-12</v>
      </c>
      <c r="E82" s="4">
        <v>0</v>
      </c>
      <c r="F82" s="4">
        <v>5</v>
      </c>
      <c r="G82" s="4">
        <v>-6.5</v>
      </c>
      <c r="H82" s="4">
        <v>0</v>
      </c>
      <c r="I82" s="4">
        <v>-0.5</v>
      </c>
      <c r="J82" s="4">
        <v>-6</v>
      </c>
      <c r="K82" s="4">
        <v>-1</v>
      </c>
      <c r="L82" s="4">
        <v>0</v>
      </c>
      <c r="M82" s="4">
        <v>-8</v>
      </c>
      <c r="N82" s="4">
        <v>-2</v>
      </c>
      <c r="O82" s="4">
        <v>1</v>
      </c>
      <c r="P82" s="4">
        <v>0</v>
      </c>
      <c r="Q82" s="7" t="s">
        <v>424</v>
      </c>
      <c r="R82" s="7" t="s">
        <v>16</v>
      </c>
    </row>
    <row r="83" spans="1:18">
      <c r="A83" s="4" t="s">
        <v>433</v>
      </c>
      <c r="B83" s="4">
        <v>3.5</v>
      </c>
      <c r="C83" s="4">
        <v>-2</v>
      </c>
      <c r="D83" s="4">
        <v>-1</v>
      </c>
      <c r="E83" s="4">
        <v>6</v>
      </c>
      <c r="F83" s="4">
        <v>3</v>
      </c>
      <c r="G83" s="4">
        <v>4</v>
      </c>
      <c r="H83" s="4">
        <v>2</v>
      </c>
      <c r="I83" s="4">
        <v>2.5</v>
      </c>
      <c r="J83" s="4">
        <v>-2</v>
      </c>
      <c r="K83" s="4">
        <v>3</v>
      </c>
      <c r="L83" s="4">
        <v>3.5</v>
      </c>
      <c r="M83" s="4">
        <v>0</v>
      </c>
      <c r="N83" s="4">
        <v>-8</v>
      </c>
      <c r="O83" s="4">
        <v>-1</v>
      </c>
      <c r="P83" s="4">
        <v>1</v>
      </c>
      <c r="Q83" s="7" t="s">
        <v>434</v>
      </c>
      <c r="R83" s="7" t="s">
        <v>19</v>
      </c>
    </row>
    <row r="84" spans="1:18">
      <c r="A84" s="4" t="s">
        <v>437</v>
      </c>
      <c r="B84" s="4">
        <v>-5</v>
      </c>
      <c r="C84" s="4">
        <v>3.5</v>
      </c>
      <c r="D84" s="4">
        <v>-4</v>
      </c>
      <c r="E84" s="4">
        <v>3</v>
      </c>
      <c r="F84" s="4">
        <v>-2.5</v>
      </c>
      <c r="G84" s="4">
        <v>-1</v>
      </c>
      <c r="H84" s="4">
        <v>-2</v>
      </c>
      <c r="I84" s="4">
        <v>-0.5</v>
      </c>
      <c r="J84" s="4">
        <v>-5</v>
      </c>
      <c r="K84" s="4">
        <v>-6</v>
      </c>
      <c r="L84" s="4">
        <v>3.5</v>
      </c>
      <c r="M84" s="4">
        <v>1</v>
      </c>
      <c r="N84" s="4">
        <v>-5</v>
      </c>
      <c r="O84" s="4">
        <v>-1.5</v>
      </c>
      <c r="P84" s="4">
        <v>1</v>
      </c>
      <c r="Q84" s="7" t="s">
        <v>438</v>
      </c>
      <c r="R84" s="7" t="s">
        <v>37</v>
      </c>
    </row>
    <row r="85" spans="1:18">
      <c r="A85" s="4" t="s">
        <v>441</v>
      </c>
      <c r="B85" s="4">
        <v>-4</v>
      </c>
      <c r="C85" s="4">
        <v>2</v>
      </c>
      <c r="D85" s="4">
        <v>-4</v>
      </c>
      <c r="E85" s="4">
        <v>-6</v>
      </c>
      <c r="F85" s="4">
        <v>-3</v>
      </c>
      <c r="G85" s="4">
        <v>-2</v>
      </c>
      <c r="H85" s="4">
        <v>1</v>
      </c>
      <c r="I85" s="4">
        <v>0.5</v>
      </c>
      <c r="J85" s="4">
        <v>2</v>
      </c>
      <c r="K85" s="4">
        <v>2.5</v>
      </c>
      <c r="L85" s="4">
        <v>2</v>
      </c>
      <c r="M85" s="4">
        <v>1</v>
      </c>
      <c r="N85" s="4">
        <v>0</v>
      </c>
      <c r="O85" s="4">
        <v>-2</v>
      </c>
      <c r="P85" s="4">
        <v>0</v>
      </c>
      <c r="Q85" s="7" t="s">
        <v>442</v>
      </c>
      <c r="R85" s="7" t="s">
        <v>31</v>
      </c>
    </row>
    <row r="86" spans="1:18">
      <c r="A86" s="4" t="s">
        <v>447</v>
      </c>
      <c r="B86" s="4">
        <v>-3</v>
      </c>
      <c r="C86" s="4">
        <v>-3</v>
      </c>
      <c r="D86" s="4">
        <v>-7</v>
      </c>
      <c r="E86" s="4">
        <v>-6</v>
      </c>
      <c r="F86" s="4">
        <v>-2</v>
      </c>
      <c r="G86" s="4">
        <v>-3</v>
      </c>
      <c r="H86" s="4">
        <v>-2</v>
      </c>
      <c r="I86" s="4">
        <v>2.5</v>
      </c>
      <c r="J86" s="4">
        <v>-3</v>
      </c>
      <c r="K86" s="4">
        <v>3</v>
      </c>
      <c r="L86" s="4">
        <v>-1</v>
      </c>
      <c r="M86" s="4">
        <v>0</v>
      </c>
      <c r="N86" s="4">
        <v>1</v>
      </c>
      <c r="O86" s="4">
        <v>5.5</v>
      </c>
      <c r="P86" s="4">
        <v>0</v>
      </c>
      <c r="Q86" s="7" t="s">
        <v>448</v>
      </c>
      <c r="R86" s="7" t="s">
        <v>22</v>
      </c>
    </row>
    <row r="87" spans="1:18">
      <c r="A87" s="4" t="s">
        <v>451</v>
      </c>
      <c r="B87" s="4">
        <v>-4</v>
      </c>
      <c r="C87" s="4">
        <v>3</v>
      </c>
      <c r="D87" s="4">
        <v>-2</v>
      </c>
      <c r="E87" s="4">
        <v>3</v>
      </c>
      <c r="F87" s="4">
        <v>-5</v>
      </c>
      <c r="G87" s="4">
        <v>-7</v>
      </c>
      <c r="H87" s="4">
        <v>-2</v>
      </c>
      <c r="I87" s="4">
        <v>-4</v>
      </c>
      <c r="J87" s="4">
        <v>1</v>
      </c>
      <c r="K87" s="4">
        <v>1</v>
      </c>
      <c r="L87" s="4">
        <v>1.5</v>
      </c>
      <c r="M87" s="4">
        <v>0</v>
      </c>
      <c r="N87" s="4">
        <v>-1</v>
      </c>
      <c r="O87" s="4">
        <v>-4</v>
      </c>
      <c r="P87" s="4">
        <v>0</v>
      </c>
      <c r="Q87" s="7" t="s">
        <v>452</v>
      </c>
      <c r="R87" s="7" t="s">
        <v>28</v>
      </c>
    </row>
    <row r="88" spans="1:18">
      <c r="A88" s="4" t="s">
        <v>455</v>
      </c>
      <c r="B88" s="4">
        <v>-1</v>
      </c>
      <c r="C88" s="4">
        <v>1</v>
      </c>
      <c r="D88" s="4">
        <v>3</v>
      </c>
      <c r="E88" s="4">
        <v>-1</v>
      </c>
      <c r="F88" s="4">
        <v>0.5</v>
      </c>
      <c r="G88" s="4">
        <v>-5</v>
      </c>
      <c r="H88" s="4">
        <v>-6</v>
      </c>
      <c r="I88" s="4">
        <v>3.5</v>
      </c>
      <c r="J88" s="4">
        <v>-3</v>
      </c>
      <c r="K88" s="4">
        <v>-1</v>
      </c>
      <c r="L88" s="4">
        <v>-2</v>
      </c>
      <c r="M88" s="4">
        <v>1</v>
      </c>
      <c r="N88" s="4">
        <v>0</v>
      </c>
      <c r="O88" s="4">
        <v>8</v>
      </c>
      <c r="P88" s="4">
        <v>1</v>
      </c>
      <c r="Q88" s="7" t="s">
        <v>456</v>
      </c>
      <c r="R88" s="7" t="s">
        <v>34</v>
      </c>
    </row>
    <row r="89" spans="1:18">
      <c r="A89" s="4" t="s">
        <v>461</v>
      </c>
      <c r="B89" s="4">
        <v>-6</v>
      </c>
      <c r="C89" s="4">
        <v>0</v>
      </c>
      <c r="D89" s="4">
        <v>-7</v>
      </c>
      <c r="E89" s="4">
        <v>-0.5</v>
      </c>
      <c r="F89" s="4">
        <v>-7</v>
      </c>
      <c r="G89" s="4">
        <v>-4.5</v>
      </c>
      <c r="H89" s="4">
        <v>1</v>
      </c>
      <c r="I89" s="4">
        <v>1</v>
      </c>
      <c r="J89" s="4">
        <v>0</v>
      </c>
      <c r="K89" s="4">
        <v>-4</v>
      </c>
      <c r="L89" s="4">
        <v>0</v>
      </c>
      <c r="M89" s="4">
        <v>-2</v>
      </c>
      <c r="N89" s="4">
        <v>-6</v>
      </c>
      <c r="O89" s="4">
        <v>-8</v>
      </c>
      <c r="P89" s="4">
        <v>1</v>
      </c>
      <c r="Q89" s="7" t="s">
        <v>462</v>
      </c>
      <c r="R89" s="7" t="s">
        <v>31</v>
      </c>
    </row>
    <row r="90" spans="1:18">
      <c r="A90" s="4" t="s">
        <v>465</v>
      </c>
      <c r="B90" s="4">
        <v>3</v>
      </c>
      <c r="C90" s="4">
        <v>-1</v>
      </c>
      <c r="D90" s="4">
        <v>3</v>
      </c>
      <c r="E90" s="4">
        <v>1</v>
      </c>
      <c r="F90" s="4">
        <v>5</v>
      </c>
      <c r="G90" s="4">
        <v>-3</v>
      </c>
      <c r="H90" s="4">
        <v>-1</v>
      </c>
      <c r="I90" s="4">
        <v>1</v>
      </c>
      <c r="J90" s="4">
        <v>4</v>
      </c>
      <c r="K90" s="4">
        <v>3</v>
      </c>
      <c r="L90" s="4">
        <v>5</v>
      </c>
      <c r="M90" s="4">
        <v>3</v>
      </c>
      <c r="N90" s="4">
        <v>-3</v>
      </c>
      <c r="O90" s="4">
        <v>5</v>
      </c>
      <c r="P90" s="4">
        <v>0</v>
      </c>
      <c r="Q90" s="7" t="s">
        <v>466</v>
      </c>
      <c r="R90" s="7" t="s">
        <v>19</v>
      </c>
    </row>
    <row r="91" spans="1:18">
      <c r="A91" s="4" t="s">
        <v>469</v>
      </c>
      <c r="B91" s="4">
        <v>5</v>
      </c>
      <c r="C91" s="4">
        <v>5</v>
      </c>
      <c r="D91" s="4">
        <v>3</v>
      </c>
      <c r="E91" s="4">
        <v>4</v>
      </c>
      <c r="F91" s="4">
        <v>5</v>
      </c>
      <c r="G91" s="4">
        <v>0.5</v>
      </c>
      <c r="H91" s="4">
        <v>-7</v>
      </c>
      <c r="I91" s="4">
        <v>3.5</v>
      </c>
      <c r="J91" s="4">
        <v>-4</v>
      </c>
      <c r="K91" s="4">
        <v>-2.5</v>
      </c>
      <c r="L91" s="4">
        <v>-5</v>
      </c>
      <c r="M91" s="4">
        <v>0</v>
      </c>
      <c r="N91" s="4">
        <v>1</v>
      </c>
      <c r="O91" s="4">
        <v>4.5</v>
      </c>
      <c r="P91" s="4">
        <v>1</v>
      </c>
      <c r="Q91" s="7" t="s">
        <v>470</v>
      </c>
      <c r="R91" s="7" t="s">
        <v>25</v>
      </c>
    </row>
    <row r="92" spans="1:18">
      <c r="A92" s="4" t="s">
        <v>475</v>
      </c>
      <c r="B92" s="4">
        <v>-1</v>
      </c>
      <c r="C92" s="4">
        <v>-3</v>
      </c>
      <c r="D92" s="4">
        <v>-1</v>
      </c>
      <c r="E92" s="4">
        <v>1</v>
      </c>
      <c r="F92" s="4">
        <v>5</v>
      </c>
      <c r="G92" s="4">
        <v>-3.5</v>
      </c>
      <c r="H92" s="4">
        <v>-2</v>
      </c>
      <c r="I92" s="4">
        <v>-1</v>
      </c>
      <c r="J92" s="4">
        <v>-3</v>
      </c>
      <c r="K92" s="4">
        <v>-7</v>
      </c>
      <c r="L92" s="4">
        <v>-4</v>
      </c>
      <c r="M92" s="4">
        <v>-3</v>
      </c>
      <c r="N92" s="4">
        <v>-2</v>
      </c>
      <c r="O92" s="4">
        <v>0</v>
      </c>
      <c r="P92" s="4">
        <v>0</v>
      </c>
      <c r="Q92" s="7" t="s">
        <v>476</v>
      </c>
      <c r="R92" s="7" t="s">
        <v>34</v>
      </c>
    </row>
    <row r="93" spans="1:18">
      <c r="A93" s="4" t="s">
        <v>479</v>
      </c>
      <c r="B93" s="4">
        <v>2</v>
      </c>
      <c r="C93" s="4">
        <v>2</v>
      </c>
      <c r="D93" s="4">
        <v>-4</v>
      </c>
      <c r="E93" s="4">
        <v>-6</v>
      </c>
      <c r="F93" s="4">
        <v>-3</v>
      </c>
      <c r="G93" s="4">
        <v>2</v>
      </c>
      <c r="H93" s="4">
        <v>-3</v>
      </c>
      <c r="I93" s="4">
        <v>6</v>
      </c>
      <c r="J93" s="4">
        <v>0</v>
      </c>
      <c r="K93" s="4">
        <v>2</v>
      </c>
      <c r="L93" s="4">
        <v>2</v>
      </c>
      <c r="M93" s="4">
        <v>0</v>
      </c>
      <c r="N93" s="4">
        <v>2</v>
      </c>
      <c r="O93" s="4">
        <v>-1</v>
      </c>
      <c r="P93" s="4">
        <v>0</v>
      </c>
      <c r="Q93" s="7" t="s">
        <v>480</v>
      </c>
      <c r="R93" s="7" t="s">
        <v>40</v>
      </c>
    </row>
    <row r="94" spans="1:18">
      <c r="A94" s="4" t="s">
        <v>483</v>
      </c>
      <c r="B94" s="4">
        <v>-5.5</v>
      </c>
      <c r="C94" s="4">
        <v>2</v>
      </c>
      <c r="D94" s="4">
        <v>-4.5</v>
      </c>
      <c r="E94" s="4">
        <v>3</v>
      </c>
      <c r="F94" s="4">
        <v>0</v>
      </c>
      <c r="G94" s="4">
        <v>-6</v>
      </c>
      <c r="H94" s="4">
        <v>-6</v>
      </c>
      <c r="I94" s="4">
        <v>2</v>
      </c>
      <c r="J94" s="4">
        <v>3</v>
      </c>
      <c r="K94" s="4">
        <v>3</v>
      </c>
      <c r="L94" s="4">
        <v>3</v>
      </c>
      <c r="M94" s="4">
        <v>-5.5</v>
      </c>
      <c r="N94" s="4">
        <v>-2</v>
      </c>
      <c r="O94" s="4">
        <v>0</v>
      </c>
      <c r="P94" s="4">
        <v>1</v>
      </c>
      <c r="Q94" s="7" t="s">
        <v>484</v>
      </c>
      <c r="R94" s="7" t="s">
        <v>16</v>
      </c>
    </row>
    <row r="95" spans="1:18">
      <c r="A95" s="4" t="s">
        <v>489</v>
      </c>
      <c r="B95" s="4">
        <v>-2.5</v>
      </c>
      <c r="C95" s="4">
        <v>2</v>
      </c>
      <c r="D95" s="4">
        <v>-2.5</v>
      </c>
      <c r="E95" s="4">
        <v>1</v>
      </c>
      <c r="F95" s="4">
        <v>2</v>
      </c>
      <c r="G95" s="4">
        <v>2</v>
      </c>
      <c r="H95" s="4">
        <v>-8</v>
      </c>
      <c r="I95" s="4">
        <v>6</v>
      </c>
      <c r="J95" s="4">
        <v>-9</v>
      </c>
      <c r="K95" s="4">
        <v>2</v>
      </c>
      <c r="L95" s="4">
        <v>1</v>
      </c>
      <c r="M95" s="4">
        <v>-4.5</v>
      </c>
      <c r="N95" s="4">
        <v>-1</v>
      </c>
      <c r="O95" s="4">
        <v>-1</v>
      </c>
      <c r="P95" s="4">
        <v>1</v>
      </c>
      <c r="Q95" s="7" t="s">
        <v>490</v>
      </c>
      <c r="R95" s="7" t="s">
        <v>25</v>
      </c>
    </row>
    <row r="96" spans="1:18">
      <c r="A96" s="4" t="s">
        <v>493</v>
      </c>
      <c r="B96" s="4">
        <v>2.5</v>
      </c>
      <c r="C96" s="4">
        <v>4</v>
      </c>
      <c r="D96" s="4">
        <v>0</v>
      </c>
      <c r="E96" s="4">
        <v>1</v>
      </c>
      <c r="F96" s="4">
        <v>2.5</v>
      </c>
      <c r="G96" s="4">
        <v>2.5</v>
      </c>
      <c r="H96" s="4">
        <v>0</v>
      </c>
      <c r="I96" s="4">
        <v>4</v>
      </c>
      <c r="J96" s="4">
        <v>-1</v>
      </c>
      <c r="K96" s="4">
        <v>5</v>
      </c>
      <c r="L96" s="4">
        <v>0.5</v>
      </c>
      <c r="M96" s="4">
        <v>4</v>
      </c>
      <c r="N96" s="4">
        <v>0</v>
      </c>
      <c r="O96" s="4">
        <v>6.5</v>
      </c>
      <c r="P96" s="4">
        <v>0</v>
      </c>
      <c r="Q96" s="7" t="s">
        <v>494</v>
      </c>
      <c r="R96" s="7" t="s">
        <v>28</v>
      </c>
    </row>
    <row r="97" spans="1:18">
      <c r="A97" s="4" t="s">
        <v>497</v>
      </c>
      <c r="B97" s="4">
        <v>0</v>
      </c>
      <c r="C97" s="4">
        <v>3</v>
      </c>
      <c r="D97" s="4">
        <v>-7</v>
      </c>
      <c r="E97" s="4">
        <v>-4</v>
      </c>
      <c r="F97" s="4">
        <v>2</v>
      </c>
      <c r="G97" s="4">
        <v>-3</v>
      </c>
      <c r="H97" s="4">
        <v>0</v>
      </c>
      <c r="I97" s="4">
        <v>0.5</v>
      </c>
      <c r="J97" s="4">
        <v>-3</v>
      </c>
      <c r="K97" s="4">
        <v>1</v>
      </c>
      <c r="L97" s="4">
        <v>3</v>
      </c>
      <c r="M97" s="4">
        <v>-1</v>
      </c>
      <c r="N97" s="4">
        <v>-3</v>
      </c>
      <c r="O97" s="4">
        <v>3.5</v>
      </c>
      <c r="P97" s="4">
        <v>1</v>
      </c>
      <c r="Q97" s="7" t="s">
        <v>498</v>
      </c>
      <c r="R97" s="7" t="s">
        <v>37</v>
      </c>
    </row>
    <row r="98" spans="1:18">
      <c r="A98" s="4" t="s">
        <v>503</v>
      </c>
      <c r="B98" s="4">
        <v>-2</v>
      </c>
      <c r="C98" s="4">
        <v>7</v>
      </c>
      <c r="D98" s="4">
        <v>-4</v>
      </c>
      <c r="E98" s="4">
        <v>-2</v>
      </c>
      <c r="F98" s="4">
        <v>-0.5</v>
      </c>
      <c r="G98" s="4">
        <v>0</v>
      </c>
      <c r="H98" s="4">
        <v>-2</v>
      </c>
      <c r="I98" s="4">
        <v>7</v>
      </c>
      <c r="J98" s="4">
        <v>0</v>
      </c>
      <c r="K98" s="4">
        <v>-2</v>
      </c>
      <c r="L98" s="4">
        <v>1.5</v>
      </c>
      <c r="M98" s="4">
        <v>-4</v>
      </c>
      <c r="N98" s="4">
        <v>-5</v>
      </c>
      <c r="O98" s="4">
        <v>-1.5</v>
      </c>
      <c r="P98" s="4">
        <v>0</v>
      </c>
      <c r="Q98" s="7" t="s">
        <v>504</v>
      </c>
      <c r="R98" s="7" t="s">
        <v>16</v>
      </c>
    </row>
    <row r="99" spans="1:18">
      <c r="A99" s="4" t="s">
        <v>507</v>
      </c>
      <c r="B99" s="4">
        <v>2</v>
      </c>
      <c r="C99" s="4">
        <v>-3</v>
      </c>
      <c r="D99" s="4">
        <v>1</v>
      </c>
      <c r="E99" s="4">
        <v>3</v>
      </c>
      <c r="F99" s="4">
        <v>-3</v>
      </c>
      <c r="G99" s="4">
        <v>-3</v>
      </c>
      <c r="H99" s="4">
        <v>0</v>
      </c>
      <c r="I99" s="4">
        <v>3</v>
      </c>
      <c r="J99" s="4">
        <v>0</v>
      </c>
      <c r="K99" s="4">
        <v>1</v>
      </c>
      <c r="L99" s="4">
        <v>5</v>
      </c>
      <c r="M99" s="4">
        <v>2</v>
      </c>
      <c r="N99" s="4">
        <v>-1</v>
      </c>
      <c r="O99" s="4">
        <v>5</v>
      </c>
      <c r="P99" s="4">
        <v>0</v>
      </c>
      <c r="Q99" s="7" t="s">
        <v>508</v>
      </c>
      <c r="R99" s="7" t="s">
        <v>22</v>
      </c>
    </row>
    <row r="100" spans="1:18">
      <c r="A100" s="4" t="s">
        <v>513</v>
      </c>
      <c r="B100" s="4">
        <v>-3</v>
      </c>
      <c r="C100" s="4">
        <v>-1</v>
      </c>
      <c r="D100" s="4">
        <v>-3</v>
      </c>
      <c r="E100" s="4">
        <v>2</v>
      </c>
      <c r="F100" s="4">
        <v>-2</v>
      </c>
      <c r="G100" s="4">
        <v>2</v>
      </c>
      <c r="H100" s="4">
        <v>-1</v>
      </c>
      <c r="I100" s="4">
        <v>3.5</v>
      </c>
      <c r="J100" s="4">
        <v>-4</v>
      </c>
      <c r="K100" s="4">
        <v>0</v>
      </c>
      <c r="L100" s="4">
        <v>-1.5</v>
      </c>
      <c r="M100" s="4">
        <v>-5</v>
      </c>
      <c r="N100" s="4">
        <v>-4</v>
      </c>
      <c r="O100" s="4">
        <v>-1</v>
      </c>
      <c r="P100" s="4">
        <v>0</v>
      </c>
      <c r="Q100" s="7" t="s">
        <v>514</v>
      </c>
      <c r="R100" s="7" t="s">
        <v>31</v>
      </c>
    </row>
    <row r="101" spans="1:18">
      <c r="A101" s="4" t="s">
        <v>517</v>
      </c>
      <c r="B101" s="4">
        <v>-4.5</v>
      </c>
      <c r="C101" s="4">
        <v>-1.5</v>
      </c>
      <c r="D101" s="4">
        <v>-5</v>
      </c>
      <c r="E101" s="4">
        <v>1</v>
      </c>
      <c r="F101" s="4">
        <v>-4.5</v>
      </c>
      <c r="G101" s="4">
        <v>1</v>
      </c>
      <c r="H101" s="4">
        <v>-3</v>
      </c>
      <c r="I101" s="4">
        <v>-1.5</v>
      </c>
      <c r="J101" s="4">
        <v>-7</v>
      </c>
      <c r="K101" s="4">
        <v>-2</v>
      </c>
      <c r="L101" s="4">
        <v>-1.5</v>
      </c>
      <c r="M101" s="4">
        <v>-1</v>
      </c>
      <c r="N101" s="4">
        <v>-1</v>
      </c>
      <c r="O101" s="4">
        <v>-2.5</v>
      </c>
      <c r="P101" s="4">
        <v>1</v>
      </c>
      <c r="Q101" s="7" t="s">
        <v>518</v>
      </c>
      <c r="R101" s="7" t="s">
        <v>37</v>
      </c>
    </row>
    <row r="102" spans="1:18">
      <c r="A102" s="4" t="s">
        <v>521</v>
      </c>
      <c r="B102" s="4">
        <v>1</v>
      </c>
      <c r="C102" s="4">
        <v>2</v>
      </c>
      <c r="D102" s="4">
        <v>-5</v>
      </c>
      <c r="E102" s="4">
        <v>-5</v>
      </c>
      <c r="F102" s="4">
        <v>-2</v>
      </c>
      <c r="G102" s="4">
        <v>-2</v>
      </c>
      <c r="H102" s="4">
        <v>1</v>
      </c>
      <c r="I102" s="4">
        <v>2.5</v>
      </c>
      <c r="J102" s="4">
        <v>2</v>
      </c>
      <c r="K102" s="4">
        <v>1.5</v>
      </c>
      <c r="L102" s="4">
        <v>3</v>
      </c>
      <c r="M102" s="4">
        <v>1</v>
      </c>
      <c r="N102" s="4">
        <v>2</v>
      </c>
      <c r="O102" s="4">
        <v>-1</v>
      </c>
      <c r="P102" s="4">
        <v>0</v>
      </c>
      <c r="Q102" s="7" t="s">
        <v>522</v>
      </c>
      <c r="R102" s="7" t="s">
        <v>31</v>
      </c>
    </row>
    <row r="103" spans="1:18">
      <c r="A103" s="4" t="s">
        <v>525</v>
      </c>
      <c r="B103" s="4">
        <v>3</v>
      </c>
      <c r="C103" s="4">
        <v>-3</v>
      </c>
      <c r="D103" s="4">
        <v>-3</v>
      </c>
      <c r="E103" s="4">
        <v>-1</v>
      </c>
      <c r="F103" s="4">
        <v>-5</v>
      </c>
      <c r="G103" s="4">
        <v>-3</v>
      </c>
      <c r="H103" s="4">
        <v>-3</v>
      </c>
      <c r="I103" s="4">
        <v>0</v>
      </c>
      <c r="J103" s="4">
        <v>3</v>
      </c>
      <c r="K103" s="4">
        <v>-2</v>
      </c>
      <c r="L103" s="4">
        <v>0</v>
      </c>
      <c r="M103" s="4">
        <v>0</v>
      </c>
      <c r="N103" s="4">
        <v>-2</v>
      </c>
      <c r="O103" s="4">
        <v>0</v>
      </c>
      <c r="P103" s="4">
        <v>0</v>
      </c>
      <c r="Q103" s="7" t="s">
        <v>526</v>
      </c>
      <c r="R103" s="7" t="s">
        <v>19</v>
      </c>
    </row>
    <row r="104" spans="1:18">
      <c r="A104" s="4" t="s">
        <v>531</v>
      </c>
      <c r="B104" s="4">
        <v>-3</v>
      </c>
      <c r="C104" s="4">
        <v>-5</v>
      </c>
      <c r="D104" s="4">
        <v>-5</v>
      </c>
      <c r="E104" s="4">
        <v>-5</v>
      </c>
      <c r="F104" s="4">
        <v>-8</v>
      </c>
      <c r="G104" s="4">
        <v>-4</v>
      </c>
      <c r="H104" s="4">
        <v>1</v>
      </c>
      <c r="I104" s="4">
        <v>2</v>
      </c>
      <c r="J104" s="4">
        <v>-2</v>
      </c>
      <c r="K104" s="4">
        <v>0</v>
      </c>
      <c r="L104" s="4">
        <v>-2</v>
      </c>
      <c r="M104" s="4">
        <v>-3</v>
      </c>
      <c r="N104" s="4">
        <v>-4</v>
      </c>
      <c r="O104" s="4">
        <v>-8</v>
      </c>
      <c r="P104" s="4">
        <v>0</v>
      </c>
      <c r="Q104" s="7" t="s">
        <v>532</v>
      </c>
      <c r="R104" s="7" t="s">
        <v>28</v>
      </c>
    </row>
    <row r="105" spans="1:18">
      <c r="A105" s="4" t="s">
        <v>535</v>
      </c>
      <c r="B105" s="4">
        <v>1</v>
      </c>
      <c r="C105" s="4">
        <v>5</v>
      </c>
      <c r="D105" s="4">
        <v>4</v>
      </c>
      <c r="E105" s="4">
        <v>4</v>
      </c>
      <c r="F105" s="4">
        <v>0</v>
      </c>
      <c r="G105" s="4">
        <v>-5</v>
      </c>
      <c r="H105" s="4">
        <v>-4</v>
      </c>
      <c r="I105" s="4">
        <v>-2</v>
      </c>
      <c r="J105" s="4">
        <v>-4</v>
      </c>
      <c r="K105" s="4">
        <v>2.5</v>
      </c>
      <c r="L105" s="4">
        <v>0</v>
      </c>
      <c r="M105" s="4">
        <v>5</v>
      </c>
      <c r="N105" s="4">
        <v>4</v>
      </c>
      <c r="O105" s="4">
        <v>1</v>
      </c>
      <c r="P105" s="4">
        <v>1</v>
      </c>
      <c r="Q105" s="7" t="s">
        <v>536</v>
      </c>
      <c r="R105" s="7" t="s">
        <v>34</v>
      </c>
    </row>
    <row r="106" spans="1:18">
      <c r="A106" s="4" t="s">
        <v>539</v>
      </c>
      <c r="B106" s="4">
        <v>4</v>
      </c>
      <c r="C106" s="4">
        <v>3</v>
      </c>
      <c r="D106" s="4">
        <v>-1</v>
      </c>
      <c r="E106" s="4">
        <v>4</v>
      </c>
      <c r="F106" s="4">
        <v>3</v>
      </c>
      <c r="G106" s="4">
        <v>1</v>
      </c>
      <c r="H106" s="4">
        <v>-0.5</v>
      </c>
      <c r="I106" s="4">
        <v>3</v>
      </c>
      <c r="J106" s="4">
        <v>2</v>
      </c>
      <c r="K106" s="4">
        <v>3</v>
      </c>
      <c r="L106" s="4">
        <v>2</v>
      </c>
      <c r="M106" s="4">
        <v>-2</v>
      </c>
      <c r="N106" s="4">
        <v>-3</v>
      </c>
      <c r="O106" s="4">
        <v>3</v>
      </c>
      <c r="P106" s="4">
        <v>0</v>
      </c>
      <c r="Q106" s="7" t="s">
        <v>540</v>
      </c>
      <c r="R106" s="7" t="s">
        <v>40</v>
      </c>
    </row>
    <row r="107" spans="1:18">
      <c r="A107" s="4" t="s">
        <v>545</v>
      </c>
      <c r="B107" s="4">
        <v>0.5</v>
      </c>
      <c r="C107" s="4">
        <v>0.5</v>
      </c>
      <c r="D107" s="4">
        <v>-3</v>
      </c>
      <c r="E107" s="4">
        <v>-6</v>
      </c>
      <c r="F107" s="4">
        <v>-1</v>
      </c>
      <c r="G107" s="4">
        <v>-3</v>
      </c>
      <c r="H107" s="4">
        <v>0.5</v>
      </c>
      <c r="I107" s="4">
        <v>-1</v>
      </c>
      <c r="J107" s="4">
        <v>-3</v>
      </c>
      <c r="K107" s="4">
        <v>-5</v>
      </c>
      <c r="L107" s="4">
        <v>-2</v>
      </c>
      <c r="M107" s="4">
        <v>2</v>
      </c>
      <c r="N107" s="4">
        <v>1.5</v>
      </c>
      <c r="O107" s="4">
        <v>-1</v>
      </c>
      <c r="P107" s="4">
        <v>0</v>
      </c>
      <c r="Q107" s="7" t="s">
        <v>546</v>
      </c>
      <c r="R107" s="7" t="s">
        <v>19</v>
      </c>
    </row>
    <row r="108" spans="1:18">
      <c r="A108" s="4" t="s">
        <v>549</v>
      </c>
      <c r="B108" s="4">
        <v>0</v>
      </c>
      <c r="C108" s="4">
        <v>-1</v>
      </c>
      <c r="D108" s="4">
        <v>-4</v>
      </c>
      <c r="E108" s="4">
        <v>-6</v>
      </c>
      <c r="F108" s="4">
        <v>-1</v>
      </c>
      <c r="G108" s="4">
        <v>-11</v>
      </c>
      <c r="H108" s="4">
        <v>-1</v>
      </c>
      <c r="I108" s="4">
        <v>-2</v>
      </c>
      <c r="J108" s="4">
        <v>0</v>
      </c>
      <c r="K108" s="4">
        <v>4.5</v>
      </c>
      <c r="L108" s="4">
        <v>-1</v>
      </c>
      <c r="M108" s="4">
        <v>1</v>
      </c>
      <c r="N108" s="4">
        <v>3</v>
      </c>
      <c r="O108" s="4">
        <v>1</v>
      </c>
      <c r="P108" s="4">
        <v>0</v>
      </c>
      <c r="Q108" s="7" t="s">
        <v>550</v>
      </c>
      <c r="R108" s="7" t="s">
        <v>25</v>
      </c>
    </row>
    <row r="109" spans="1:18">
      <c r="A109" s="4" t="s">
        <v>553</v>
      </c>
      <c r="B109" s="4">
        <v>-0.5</v>
      </c>
      <c r="C109" s="4">
        <v>-4</v>
      </c>
      <c r="D109" s="4">
        <v>-2</v>
      </c>
      <c r="E109" s="4">
        <v>2</v>
      </c>
      <c r="F109" s="4">
        <v>-3</v>
      </c>
      <c r="G109" s="4">
        <v>2</v>
      </c>
      <c r="H109" s="4">
        <v>-4</v>
      </c>
      <c r="I109" s="4">
        <v>3.5</v>
      </c>
      <c r="J109" s="4">
        <v>-4</v>
      </c>
      <c r="K109" s="4">
        <v>0</v>
      </c>
      <c r="L109" s="4">
        <v>-0.5</v>
      </c>
      <c r="M109" s="4">
        <v>-5</v>
      </c>
      <c r="N109" s="4">
        <v>-4</v>
      </c>
      <c r="O109" s="4">
        <v>0</v>
      </c>
      <c r="P109" s="4">
        <v>0</v>
      </c>
      <c r="Q109" s="7" t="s">
        <v>554</v>
      </c>
      <c r="R109" s="7" t="s">
        <v>19</v>
      </c>
    </row>
    <row r="110" spans="1:18">
      <c r="A110" s="4" t="s">
        <v>563</v>
      </c>
      <c r="B110" s="4">
        <v>1</v>
      </c>
      <c r="C110" s="4">
        <v>0</v>
      </c>
      <c r="D110" s="4">
        <v>0</v>
      </c>
      <c r="E110" s="4">
        <v>1</v>
      </c>
      <c r="F110" s="4">
        <v>3.5</v>
      </c>
      <c r="G110" s="4">
        <v>3.5</v>
      </c>
      <c r="H110" s="4">
        <v>0</v>
      </c>
      <c r="I110" s="4">
        <v>0</v>
      </c>
      <c r="J110" s="4">
        <v>-1</v>
      </c>
      <c r="K110" s="4">
        <v>3</v>
      </c>
      <c r="L110" s="4">
        <v>1.5</v>
      </c>
      <c r="M110" s="4">
        <v>3</v>
      </c>
      <c r="N110" s="4">
        <v>-1</v>
      </c>
      <c r="O110" s="4">
        <v>7.5</v>
      </c>
      <c r="P110" s="4">
        <v>1</v>
      </c>
      <c r="Q110" s="7" t="s">
        <v>564</v>
      </c>
      <c r="R110" s="7" t="s">
        <v>16</v>
      </c>
    </row>
    <row r="111" spans="1:18">
      <c r="A111" s="4" t="s">
        <v>567</v>
      </c>
      <c r="B111" s="4">
        <v>-4</v>
      </c>
      <c r="C111" s="4">
        <v>-4</v>
      </c>
      <c r="D111" s="4">
        <v>-8</v>
      </c>
      <c r="E111" s="4">
        <v>-4</v>
      </c>
      <c r="F111" s="4">
        <v>1</v>
      </c>
      <c r="G111" s="4">
        <v>-4</v>
      </c>
      <c r="H111" s="4">
        <v>0</v>
      </c>
      <c r="I111" s="4">
        <v>1.5</v>
      </c>
      <c r="J111" s="4">
        <v>-5</v>
      </c>
      <c r="K111" s="4">
        <v>2</v>
      </c>
      <c r="L111" s="4">
        <v>2</v>
      </c>
      <c r="M111" s="4">
        <v>-2</v>
      </c>
      <c r="N111" s="4">
        <v>-3</v>
      </c>
      <c r="O111" s="4">
        <v>3.5</v>
      </c>
      <c r="P111" s="4">
        <v>0</v>
      </c>
      <c r="Q111" s="7" t="s">
        <v>568</v>
      </c>
      <c r="R111" s="7" t="s">
        <v>22</v>
      </c>
    </row>
    <row r="112" spans="1:18">
      <c r="A112" s="4" t="s">
        <v>573</v>
      </c>
      <c r="B112" s="4">
        <v>-1</v>
      </c>
      <c r="C112" s="4">
        <v>-1</v>
      </c>
      <c r="D112" s="4">
        <v>-4</v>
      </c>
      <c r="E112" s="4">
        <v>-2</v>
      </c>
      <c r="F112" s="4">
        <v>-2.5</v>
      </c>
      <c r="G112" s="4">
        <v>2</v>
      </c>
      <c r="H112" s="4">
        <v>-2</v>
      </c>
      <c r="I112" s="4">
        <v>7</v>
      </c>
      <c r="J112" s="4">
        <v>-1</v>
      </c>
      <c r="K112" s="4">
        <v>-1</v>
      </c>
      <c r="L112" s="4">
        <v>-0.5</v>
      </c>
      <c r="M112" s="4">
        <v>-3</v>
      </c>
      <c r="N112" s="4">
        <v>-4</v>
      </c>
      <c r="O112" s="4">
        <v>-3.5</v>
      </c>
      <c r="P112" s="4">
        <v>0</v>
      </c>
      <c r="Q112" s="7" t="s">
        <v>574</v>
      </c>
      <c r="R112" s="7" t="s">
        <v>22</v>
      </c>
    </row>
    <row r="113" spans="1:18">
      <c r="A113" s="4" t="s">
        <v>577</v>
      </c>
      <c r="B113" s="4">
        <v>6</v>
      </c>
      <c r="C113" s="4">
        <v>6</v>
      </c>
      <c r="D113" s="4">
        <v>0</v>
      </c>
      <c r="E113" s="4">
        <v>3</v>
      </c>
      <c r="F113" s="4">
        <v>-4</v>
      </c>
      <c r="G113" s="4">
        <v>-3</v>
      </c>
      <c r="H113" s="4">
        <v>0</v>
      </c>
      <c r="I113" s="4">
        <v>1</v>
      </c>
      <c r="J113" s="4">
        <v>3</v>
      </c>
      <c r="K113" s="4">
        <v>0</v>
      </c>
      <c r="L113" s="4">
        <v>6</v>
      </c>
      <c r="M113" s="4">
        <v>2</v>
      </c>
      <c r="N113" s="4">
        <v>-1</v>
      </c>
      <c r="O113" s="4">
        <v>4</v>
      </c>
      <c r="P113" s="4">
        <v>0</v>
      </c>
      <c r="Q113" s="7" t="s">
        <v>578</v>
      </c>
      <c r="R113" s="7" t="s">
        <v>37</v>
      </c>
    </row>
    <row r="114" spans="1:18">
      <c r="A114" s="4" t="s">
        <v>581</v>
      </c>
      <c r="B114" s="4">
        <v>5</v>
      </c>
      <c r="C114" s="4">
        <v>5</v>
      </c>
      <c r="D114" s="4">
        <v>3</v>
      </c>
      <c r="E114" s="4">
        <v>6</v>
      </c>
      <c r="F114" s="4">
        <v>-1</v>
      </c>
      <c r="G114" s="4">
        <v>5</v>
      </c>
      <c r="H114" s="4">
        <v>6</v>
      </c>
      <c r="I114" s="4">
        <v>-3</v>
      </c>
      <c r="J114" s="4">
        <v>5</v>
      </c>
      <c r="K114" s="4">
        <v>1</v>
      </c>
      <c r="L114" s="4">
        <v>1</v>
      </c>
      <c r="M114" s="4">
        <v>7.5</v>
      </c>
      <c r="N114" s="4">
        <v>5</v>
      </c>
      <c r="O114" s="4">
        <v>0</v>
      </c>
      <c r="P114" s="4">
        <v>1</v>
      </c>
      <c r="Q114" s="7" t="s">
        <v>582</v>
      </c>
      <c r="R114" s="7" t="s">
        <v>31</v>
      </c>
    </row>
    <row r="115" spans="1:18">
      <c r="A115" s="4" t="s">
        <v>587</v>
      </c>
      <c r="B115" s="4">
        <v>-1</v>
      </c>
      <c r="C115" s="4">
        <v>6</v>
      </c>
      <c r="D115" s="4">
        <v>-1</v>
      </c>
      <c r="E115" s="4">
        <v>-1</v>
      </c>
      <c r="F115" s="4">
        <v>-2</v>
      </c>
      <c r="G115" s="4">
        <v>6</v>
      </c>
      <c r="H115" s="4">
        <v>0</v>
      </c>
      <c r="I115" s="4">
        <v>1</v>
      </c>
      <c r="J115" s="4">
        <v>-7</v>
      </c>
      <c r="K115" s="4">
        <v>-3</v>
      </c>
      <c r="L115" s="4">
        <v>3.5</v>
      </c>
      <c r="M115" s="4">
        <v>-2</v>
      </c>
      <c r="N115" s="4">
        <v>-4.5</v>
      </c>
      <c r="O115" s="4">
        <v>0</v>
      </c>
      <c r="P115" s="4">
        <v>0</v>
      </c>
      <c r="Q115" s="7" t="s">
        <v>588</v>
      </c>
      <c r="R115" s="7" t="s">
        <v>22</v>
      </c>
    </row>
    <row r="116" spans="1:18">
      <c r="A116" s="4" t="s">
        <v>591</v>
      </c>
      <c r="B116" s="4">
        <v>1.5</v>
      </c>
      <c r="C116" s="4">
        <v>-5.5</v>
      </c>
      <c r="D116" s="4">
        <v>-7</v>
      </c>
      <c r="E116" s="4">
        <v>-5.5</v>
      </c>
      <c r="F116" s="4">
        <v>-2</v>
      </c>
      <c r="G116" s="4">
        <v>1.5</v>
      </c>
      <c r="H116" s="4">
        <v>2</v>
      </c>
      <c r="I116" s="4">
        <v>2</v>
      </c>
      <c r="J116" s="4">
        <v>0</v>
      </c>
      <c r="K116" s="4">
        <v>4</v>
      </c>
      <c r="L116" s="4">
        <v>6</v>
      </c>
      <c r="M116" s="4">
        <v>1</v>
      </c>
      <c r="N116" s="4">
        <v>5</v>
      </c>
      <c r="O116" s="4">
        <v>-3</v>
      </c>
      <c r="P116" s="4">
        <v>0</v>
      </c>
      <c r="Q116" s="7" t="s">
        <v>592</v>
      </c>
      <c r="R116" s="7" t="s">
        <v>28</v>
      </c>
    </row>
    <row r="117" spans="1:18">
      <c r="A117" s="4" t="s">
        <v>595</v>
      </c>
      <c r="B117" s="4">
        <v>2</v>
      </c>
      <c r="C117" s="4">
        <v>6</v>
      </c>
      <c r="D117" s="4">
        <v>-1</v>
      </c>
      <c r="E117" s="4">
        <v>-5</v>
      </c>
      <c r="F117" s="4">
        <v>-2</v>
      </c>
      <c r="G117" s="4">
        <v>-6</v>
      </c>
      <c r="H117" s="4">
        <v>-8</v>
      </c>
      <c r="I117" s="4">
        <v>2</v>
      </c>
      <c r="J117" s="4">
        <v>7</v>
      </c>
      <c r="K117" s="4">
        <v>0</v>
      </c>
      <c r="L117" s="4">
        <v>-2</v>
      </c>
      <c r="M117" s="4">
        <v>6</v>
      </c>
      <c r="N117" s="4">
        <v>-1</v>
      </c>
      <c r="O117" s="4">
        <v>2</v>
      </c>
      <c r="P117" s="4">
        <v>1</v>
      </c>
      <c r="Q117" s="7" t="s">
        <v>596</v>
      </c>
      <c r="R117" s="7" t="s">
        <v>34</v>
      </c>
    </row>
    <row r="118" spans="1:18">
      <c r="A118" s="4" t="s">
        <v>601</v>
      </c>
      <c r="B118" s="4">
        <v>0</v>
      </c>
      <c r="C118" s="4">
        <v>3</v>
      </c>
      <c r="D118" s="4">
        <v>-4</v>
      </c>
      <c r="E118" s="4">
        <v>-3</v>
      </c>
      <c r="F118" s="4">
        <v>-4</v>
      </c>
      <c r="G118" s="4">
        <v>-7</v>
      </c>
      <c r="H118" s="4">
        <v>-1</v>
      </c>
      <c r="I118" s="4">
        <v>0</v>
      </c>
      <c r="J118" s="4">
        <v>3</v>
      </c>
      <c r="K118" s="4">
        <v>3</v>
      </c>
      <c r="L118" s="4">
        <v>0</v>
      </c>
      <c r="M118" s="4">
        <v>1</v>
      </c>
      <c r="N118" s="4">
        <v>1</v>
      </c>
      <c r="O118" s="4">
        <v>-4</v>
      </c>
      <c r="P118" s="4">
        <v>0</v>
      </c>
      <c r="Q118" s="7" t="s">
        <v>602</v>
      </c>
      <c r="R118" s="7" t="s">
        <v>31</v>
      </c>
    </row>
    <row r="119" spans="1:18">
      <c r="A119" s="4" t="s">
        <v>605</v>
      </c>
      <c r="B119" s="4">
        <v>4</v>
      </c>
      <c r="C119" s="4">
        <v>-6</v>
      </c>
      <c r="D119" s="4">
        <v>4</v>
      </c>
      <c r="E119" s="4">
        <v>5</v>
      </c>
      <c r="F119" s="4">
        <v>-1</v>
      </c>
      <c r="G119" s="4">
        <v>-7</v>
      </c>
      <c r="H119" s="4">
        <v>-6</v>
      </c>
      <c r="I119" s="4">
        <v>-4</v>
      </c>
      <c r="J119" s="4">
        <v>-6</v>
      </c>
      <c r="K119" s="4">
        <v>2.5</v>
      </c>
      <c r="L119" s="4">
        <v>1</v>
      </c>
      <c r="M119" s="4">
        <v>4</v>
      </c>
      <c r="N119" s="4">
        <v>4</v>
      </c>
      <c r="O119" s="4">
        <v>0</v>
      </c>
      <c r="P119" s="4">
        <v>1</v>
      </c>
      <c r="Q119" s="7" t="s">
        <v>606</v>
      </c>
      <c r="R119" s="7" t="s">
        <v>19</v>
      </c>
    </row>
    <row r="120" spans="1:18">
      <c r="A120" s="4" t="s">
        <v>609</v>
      </c>
      <c r="B120" s="4">
        <v>-1</v>
      </c>
      <c r="C120" s="4">
        <v>5</v>
      </c>
      <c r="D120" s="4">
        <v>-1</v>
      </c>
      <c r="E120" s="4">
        <v>4.5</v>
      </c>
      <c r="F120" s="4">
        <v>5</v>
      </c>
      <c r="G120" s="4">
        <v>1</v>
      </c>
      <c r="H120" s="4">
        <v>-5</v>
      </c>
      <c r="I120" s="4">
        <v>0</v>
      </c>
      <c r="J120" s="4">
        <v>5</v>
      </c>
      <c r="K120" s="4">
        <v>3</v>
      </c>
      <c r="L120" s="4">
        <v>1</v>
      </c>
      <c r="M120" s="4">
        <v>-5</v>
      </c>
      <c r="N120" s="4">
        <v>-8</v>
      </c>
      <c r="O120" s="4">
        <v>2</v>
      </c>
      <c r="P120" s="4">
        <v>0</v>
      </c>
      <c r="Q120" s="7" t="s">
        <v>610</v>
      </c>
      <c r="R120" s="7" t="s">
        <v>25</v>
      </c>
    </row>
    <row r="121" spans="1:18">
      <c r="A121" s="4" t="s">
        <v>615</v>
      </c>
      <c r="B121" s="4">
        <v>-4</v>
      </c>
      <c r="C121" s="4">
        <v>-4</v>
      </c>
      <c r="D121" s="4">
        <v>1</v>
      </c>
      <c r="E121" s="4">
        <v>-1</v>
      </c>
      <c r="F121" s="4">
        <v>4</v>
      </c>
      <c r="G121" s="4">
        <v>-4</v>
      </c>
      <c r="H121" s="4">
        <v>-1</v>
      </c>
      <c r="I121" s="4">
        <v>-1.5</v>
      </c>
      <c r="J121" s="4">
        <v>-3</v>
      </c>
      <c r="K121" s="4">
        <v>-5</v>
      </c>
      <c r="L121" s="4">
        <v>-5</v>
      </c>
      <c r="M121" s="4">
        <v>-4</v>
      </c>
      <c r="N121" s="4">
        <v>0</v>
      </c>
      <c r="O121" s="4">
        <v>1</v>
      </c>
      <c r="P121" s="4">
        <v>1</v>
      </c>
      <c r="Q121" s="7" t="s">
        <v>616</v>
      </c>
      <c r="R121" s="7" t="s">
        <v>34</v>
      </c>
    </row>
    <row r="122" spans="1:18">
      <c r="A122" s="4" t="s">
        <v>619</v>
      </c>
      <c r="B122" s="4">
        <v>6</v>
      </c>
      <c r="C122" s="4">
        <v>4</v>
      </c>
      <c r="D122" s="4">
        <v>-4</v>
      </c>
      <c r="E122" s="4">
        <v>-6</v>
      </c>
      <c r="F122" s="4">
        <v>-3</v>
      </c>
      <c r="G122" s="4">
        <v>-1</v>
      </c>
      <c r="H122" s="4">
        <v>-3</v>
      </c>
      <c r="I122" s="4">
        <v>6</v>
      </c>
      <c r="J122" s="4">
        <v>-1</v>
      </c>
      <c r="K122" s="4">
        <v>4</v>
      </c>
      <c r="L122" s="4">
        <v>3</v>
      </c>
      <c r="M122" s="4">
        <v>1</v>
      </c>
      <c r="N122" s="4">
        <v>4</v>
      </c>
      <c r="O122" s="4">
        <v>-2.5</v>
      </c>
      <c r="P122" s="4">
        <v>1</v>
      </c>
      <c r="Q122" s="7" t="s">
        <v>620</v>
      </c>
      <c r="R122" s="7" t="s">
        <v>40</v>
      </c>
    </row>
    <row r="123" spans="1:18">
      <c r="A123" s="4" t="s">
        <v>629</v>
      </c>
      <c r="B123" s="4">
        <v>0</v>
      </c>
      <c r="C123" s="4">
        <v>4</v>
      </c>
      <c r="D123" s="4">
        <v>-2.5</v>
      </c>
      <c r="E123" s="4">
        <v>1</v>
      </c>
      <c r="F123" s="4">
        <v>4</v>
      </c>
      <c r="G123" s="4">
        <v>0</v>
      </c>
      <c r="H123" s="4">
        <v>-5</v>
      </c>
      <c r="I123" s="4">
        <v>5</v>
      </c>
      <c r="J123" s="4">
        <v>-11</v>
      </c>
      <c r="K123" s="4">
        <v>4</v>
      </c>
      <c r="L123" s="4">
        <v>-1</v>
      </c>
      <c r="M123" s="4">
        <v>-5.5</v>
      </c>
      <c r="N123" s="4">
        <v>0</v>
      </c>
      <c r="O123" s="4">
        <v>1</v>
      </c>
      <c r="P123" s="4">
        <v>0</v>
      </c>
      <c r="Q123" s="7" t="s">
        <v>630</v>
      </c>
      <c r="R123" s="7" t="s">
        <v>25</v>
      </c>
    </row>
    <row r="124" spans="1:18">
      <c r="A124" s="4" t="s">
        <v>633</v>
      </c>
      <c r="B124" s="4">
        <v>-8</v>
      </c>
      <c r="C124" s="4">
        <v>1</v>
      </c>
      <c r="D124" s="4">
        <v>-8</v>
      </c>
      <c r="E124" s="4">
        <v>-1</v>
      </c>
      <c r="F124" s="4">
        <v>1</v>
      </c>
      <c r="G124" s="4">
        <v>-4.5</v>
      </c>
      <c r="H124" s="4">
        <v>1</v>
      </c>
      <c r="I124" s="4">
        <v>1</v>
      </c>
      <c r="J124" s="4">
        <v>4</v>
      </c>
      <c r="K124" s="4">
        <v>-1</v>
      </c>
      <c r="L124" s="4">
        <v>8</v>
      </c>
      <c r="M124" s="4">
        <v>-1.5</v>
      </c>
      <c r="N124" s="4">
        <v>-3</v>
      </c>
      <c r="O124" s="4">
        <v>2</v>
      </c>
      <c r="P124" s="4">
        <v>1</v>
      </c>
      <c r="Q124" s="7" t="s">
        <v>634</v>
      </c>
      <c r="R124" s="7" t="s">
        <v>31</v>
      </c>
    </row>
    <row r="125" spans="1:18">
      <c r="A125" s="4" t="s">
        <v>637</v>
      </c>
      <c r="B125" s="4">
        <v>5</v>
      </c>
      <c r="C125" s="4">
        <v>-4</v>
      </c>
      <c r="D125" s="4">
        <v>-2</v>
      </c>
      <c r="E125" s="4">
        <v>1.5</v>
      </c>
      <c r="F125" s="4">
        <v>5</v>
      </c>
      <c r="G125" s="4">
        <v>5</v>
      </c>
      <c r="H125" s="4">
        <v>4</v>
      </c>
      <c r="I125" s="4">
        <v>3</v>
      </c>
      <c r="J125" s="4">
        <v>-7</v>
      </c>
      <c r="K125" s="4">
        <v>0</v>
      </c>
      <c r="L125" s="4">
        <v>-4</v>
      </c>
      <c r="M125" s="4">
        <v>-7</v>
      </c>
      <c r="N125" s="4">
        <v>-3</v>
      </c>
      <c r="O125" s="4">
        <v>-3</v>
      </c>
      <c r="P125" s="4">
        <v>1</v>
      </c>
      <c r="Q125" s="7" t="s">
        <v>638</v>
      </c>
      <c r="R125" s="7" t="s">
        <v>37</v>
      </c>
    </row>
    <row r="126" spans="1:18">
      <c r="A126" s="4" t="s">
        <v>643</v>
      </c>
      <c r="B126" s="4">
        <v>-0.5</v>
      </c>
      <c r="C126" s="4">
        <v>-0.5</v>
      </c>
      <c r="D126" s="4">
        <v>-12</v>
      </c>
      <c r="E126" s="4">
        <v>-1</v>
      </c>
      <c r="F126" s="4">
        <v>8</v>
      </c>
      <c r="G126" s="4">
        <v>-7.5</v>
      </c>
      <c r="H126" s="4">
        <v>0</v>
      </c>
      <c r="I126" s="4">
        <v>-0.5</v>
      </c>
      <c r="J126" s="4">
        <v>-7</v>
      </c>
      <c r="K126" s="4">
        <v>-1</v>
      </c>
      <c r="L126" s="4">
        <v>0</v>
      </c>
      <c r="M126" s="4">
        <v>-7</v>
      </c>
      <c r="N126" s="4">
        <v>-4</v>
      </c>
      <c r="O126" s="4">
        <v>3</v>
      </c>
      <c r="P126" s="4">
        <v>1</v>
      </c>
      <c r="Q126" s="7" t="s">
        <v>644</v>
      </c>
      <c r="R126" s="7" t="s">
        <v>16</v>
      </c>
    </row>
    <row r="127" spans="1:18">
      <c r="A127" s="4" t="s">
        <v>647</v>
      </c>
      <c r="B127" s="4">
        <v>-5</v>
      </c>
      <c r="C127" s="4">
        <v>2</v>
      </c>
      <c r="D127" s="4">
        <v>2</v>
      </c>
      <c r="E127" s="4">
        <v>1</v>
      </c>
      <c r="F127" s="4">
        <v>-2</v>
      </c>
      <c r="G127" s="4">
        <v>2</v>
      </c>
      <c r="H127" s="4">
        <v>2</v>
      </c>
      <c r="I127" s="4">
        <v>1</v>
      </c>
      <c r="J127" s="4">
        <v>-7</v>
      </c>
      <c r="K127" s="4">
        <v>-5</v>
      </c>
      <c r="L127" s="4">
        <v>3</v>
      </c>
      <c r="M127" s="4">
        <v>-4</v>
      </c>
      <c r="N127" s="4">
        <v>-4.5</v>
      </c>
      <c r="O127" s="4">
        <v>0</v>
      </c>
      <c r="P127" s="4">
        <v>0</v>
      </c>
      <c r="Q127" s="7" t="s">
        <v>648</v>
      </c>
      <c r="R127" s="7" t="s">
        <v>22</v>
      </c>
    </row>
    <row r="128" spans="1:18">
      <c r="A128" s="4" t="s">
        <v>653</v>
      </c>
      <c r="B128" s="4">
        <v>-2</v>
      </c>
      <c r="C128" s="4">
        <v>-2</v>
      </c>
      <c r="D128" s="4">
        <v>-3</v>
      </c>
      <c r="E128" s="4">
        <v>3</v>
      </c>
      <c r="F128" s="4">
        <v>-0.5</v>
      </c>
      <c r="G128" s="4">
        <v>-4</v>
      </c>
      <c r="H128" s="4">
        <v>-2</v>
      </c>
      <c r="I128" s="4">
        <v>-2</v>
      </c>
      <c r="J128" s="4">
        <v>3</v>
      </c>
      <c r="K128" s="4">
        <v>-0.5</v>
      </c>
      <c r="L128" s="4">
        <v>5</v>
      </c>
      <c r="M128" s="4">
        <v>0</v>
      </c>
      <c r="N128" s="4">
        <v>-2</v>
      </c>
      <c r="O128" s="4">
        <v>4</v>
      </c>
      <c r="P128" s="4">
        <v>1</v>
      </c>
      <c r="Q128" s="7" t="s">
        <v>654</v>
      </c>
      <c r="R128" s="7" t="s">
        <v>16</v>
      </c>
    </row>
    <row r="129" spans="1:18">
      <c r="A129" s="4" t="s">
        <v>657</v>
      </c>
      <c r="B129" s="4">
        <v>-2</v>
      </c>
      <c r="C129" s="4">
        <v>2.5</v>
      </c>
      <c r="D129" s="4">
        <v>-2</v>
      </c>
      <c r="E129" s="4">
        <v>7</v>
      </c>
      <c r="F129" s="4">
        <v>-9</v>
      </c>
      <c r="G129" s="4">
        <v>-1</v>
      </c>
      <c r="H129" s="4">
        <v>4</v>
      </c>
      <c r="I129" s="4">
        <v>7</v>
      </c>
      <c r="J129" s="4">
        <v>-2</v>
      </c>
      <c r="K129" s="4">
        <v>2</v>
      </c>
      <c r="L129" s="4">
        <v>2.5</v>
      </c>
      <c r="M129" s="4">
        <v>2</v>
      </c>
      <c r="N129" s="4">
        <v>-1.5</v>
      </c>
      <c r="O129" s="4">
        <v>6</v>
      </c>
      <c r="P129" s="4">
        <v>1</v>
      </c>
      <c r="Q129" s="7" t="s">
        <v>658</v>
      </c>
      <c r="R129" s="7" t="s">
        <v>37</v>
      </c>
    </row>
    <row r="130" spans="1:18">
      <c r="A130" s="4" t="s">
        <v>661</v>
      </c>
      <c r="B130" s="4">
        <v>-6</v>
      </c>
      <c r="C130" s="4">
        <v>-1</v>
      </c>
      <c r="D130" s="4">
        <v>-1</v>
      </c>
      <c r="E130" s="4">
        <v>-1</v>
      </c>
      <c r="F130" s="4">
        <v>-6</v>
      </c>
      <c r="G130" s="4">
        <v>0</v>
      </c>
      <c r="H130" s="4">
        <v>3</v>
      </c>
      <c r="I130" s="4">
        <v>7</v>
      </c>
      <c r="J130" s="4">
        <v>-1</v>
      </c>
      <c r="K130" s="4">
        <v>2</v>
      </c>
      <c r="L130" s="4">
        <v>-3</v>
      </c>
      <c r="M130" s="4">
        <v>-2</v>
      </c>
      <c r="N130" s="4">
        <v>-3</v>
      </c>
      <c r="O130" s="4">
        <v>-6</v>
      </c>
      <c r="P130" s="4">
        <v>1</v>
      </c>
      <c r="Q130" s="7" t="s">
        <v>662</v>
      </c>
      <c r="R130" s="7" t="s">
        <v>31</v>
      </c>
    </row>
    <row r="131" spans="1:18">
      <c r="A131" s="4" t="s">
        <v>665</v>
      </c>
      <c r="B131" s="4">
        <v>-1</v>
      </c>
      <c r="C131" s="4">
        <v>-1</v>
      </c>
      <c r="D131" s="4">
        <v>6</v>
      </c>
      <c r="E131" s="4">
        <v>5</v>
      </c>
      <c r="F131" s="4">
        <v>2</v>
      </c>
      <c r="G131" s="4">
        <v>-2</v>
      </c>
      <c r="H131" s="4">
        <v>-1</v>
      </c>
      <c r="I131" s="4">
        <v>3</v>
      </c>
      <c r="J131" s="4">
        <v>2</v>
      </c>
      <c r="K131" s="4">
        <v>2.5</v>
      </c>
      <c r="L131" s="4">
        <v>0</v>
      </c>
      <c r="M131" s="4">
        <v>6</v>
      </c>
      <c r="N131" s="4">
        <v>4</v>
      </c>
      <c r="O131" s="4">
        <v>1</v>
      </c>
      <c r="P131" s="4">
        <v>1</v>
      </c>
      <c r="Q131" s="7" t="s">
        <v>666</v>
      </c>
      <c r="R131" s="7" t="s">
        <v>19</v>
      </c>
    </row>
    <row r="132" spans="1:18">
      <c r="A132" s="4" t="s">
        <v>671</v>
      </c>
      <c r="B132" s="4">
        <v>1</v>
      </c>
      <c r="C132" s="4">
        <v>3.5</v>
      </c>
      <c r="D132" s="4">
        <v>1</v>
      </c>
      <c r="E132" s="4">
        <v>3.5</v>
      </c>
      <c r="F132" s="4">
        <v>-10</v>
      </c>
      <c r="G132" s="4">
        <v>-3</v>
      </c>
      <c r="H132" s="4">
        <v>-2</v>
      </c>
      <c r="I132" s="4">
        <v>-1</v>
      </c>
      <c r="J132" s="4">
        <v>-5</v>
      </c>
      <c r="K132" s="4">
        <v>1</v>
      </c>
      <c r="L132" s="4">
        <v>-6</v>
      </c>
      <c r="M132" s="4">
        <v>-10</v>
      </c>
      <c r="N132" s="4">
        <v>0</v>
      </c>
      <c r="O132" s="4">
        <v>-10</v>
      </c>
      <c r="P132" s="4">
        <v>1</v>
      </c>
      <c r="Q132" s="7" t="s">
        <v>672</v>
      </c>
      <c r="R132" s="7" t="s">
        <v>28</v>
      </c>
    </row>
    <row r="133" spans="1:18">
      <c r="A133" s="4" t="s">
        <v>675</v>
      </c>
      <c r="B133" s="4">
        <v>0</v>
      </c>
      <c r="C133" s="4">
        <v>0</v>
      </c>
      <c r="D133" s="4">
        <v>1</v>
      </c>
      <c r="E133" s="4">
        <v>2</v>
      </c>
      <c r="F133" s="4">
        <v>9</v>
      </c>
      <c r="G133" s="4">
        <v>1</v>
      </c>
      <c r="H133" s="4">
        <v>1</v>
      </c>
      <c r="I133" s="4">
        <v>3.5</v>
      </c>
      <c r="J133" s="4">
        <v>-2</v>
      </c>
      <c r="K133" s="4">
        <v>-3</v>
      </c>
      <c r="L133" s="4">
        <v>-7</v>
      </c>
      <c r="M133" s="4">
        <v>0</v>
      </c>
      <c r="N133" s="4">
        <v>-2</v>
      </c>
      <c r="O133" s="4">
        <v>-5</v>
      </c>
      <c r="P133" s="4">
        <v>0</v>
      </c>
      <c r="Q133" s="7" t="s">
        <v>676</v>
      </c>
      <c r="R133" s="7" t="s">
        <v>34</v>
      </c>
    </row>
    <row r="134" spans="1:18">
      <c r="A134" s="4" t="s">
        <v>679</v>
      </c>
      <c r="B134" s="4">
        <v>0.5</v>
      </c>
      <c r="C134" s="4">
        <v>1</v>
      </c>
      <c r="D134" s="4">
        <v>-2</v>
      </c>
      <c r="E134" s="4">
        <v>-3</v>
      </c>
      <c r="F134" s="4">
        <v>0</v>
      </c>
      <c r="G134" s="4">
        <v>4</v>
      </c>
      <c r="H134" s="4">
        <v>-7</v>
      </c>
      <c r="I134" s="4">
        <v>5</v>
      </c>
      <c r="J134" s="4">
        <v>-1</v>
      </c>
      <c r="K134" s="4">
        <v>1</v>
      </c>
      <c r="L134" s="4">
        <v>4</v>
      </c>
      <c r="M134" s="4">
        <v>0</v>
      </c>
      <c r="N134" s="4">
        <v>2</v>
      </c>
      <c r="O134" s="4">
        <v>0.5</v>
      </c>
      <c r="P134" s="4">
        <v>0</v>
      </c>
      <c r="Q134" s="7" t="s">
        <v>680</v>
      </c>
      <c r="R134" s="7" t="s">
        <v>40</v>
      </c>
    </row>
    <row r="135" spans="1:18">
      <c r="A135" s="4" t="s">
        <v>685</v>
      </c>
      <c r="B135" s="4">
        <v>-4</v>
      </c>
      <c r="C135" s="4">
        <v>1</v>
      </c>
      <c r="D135" s="4">
        <v>-2</v>
      </c>
      <c r="E135" s="4">
        <v>0</v>
      </c>
      <c r="F135" s="4">
        <v>-4</v>
      </c>
      <c r="G135" s="4">
        <v>2</v>
      </c>
      <c r="H135" s="4">
        <v>1</v>
      </c>
      <c r="I135" s="4">
        <v>3</v>
      </c>
      <c r="J135" s="4">
        <v>3</v>
      </c>
      <c r="K135" s="4">
        <v>-4</v>
      </c>
      <c r="L135" s="4">
        <v>4</v>
      </c>
      <c r="M135" s="4">
        <v>2</v>
      </c>
      <c r="N135" s="4">
        <v>2</v>
      </c>
      <c r="O135" s="4">
        <v>0</v>
      </c>
      <c r="P135" s="4">
        <v>1</v>
      </c>
      <c r="Q135" s="7" t="s">
        <v>686</v>
      </c>
      <c r="R135" s="7" t="s">
        <v>19</v>
      </c>
    </row>
    <row r="136" spans="1:18">
      <c r="A136" s="4" t="s">
        <v>689</v>
      </c>
      <c r="B136" s="4">
        <v>-8</v>
      </c>
      <c r="C136" s="4">
        <v>4</v>
      </c>
      <c r="D136" s="4">
        <v>-2.5</v>
      </c>
      <c r="E136" s="4">
        <v>2</v>
      </c>
      <c r="F136" s="4">
        <v>4</v>
      </c>
      <c r="G136" s="4">
        <v>2</v>
      </c>
      <c r="H136" s="4">
        <v>-8</v>
      </c>
      <c r="I136" s="4">
        <v>4</v>
      </c>
      <c r="J136" s="4">
        <v>-2</v>
      </c>
      <c r="K136" s="4">
        <v>6</v>
      </c>
      <c r="L136" s="4">
        <v>1</v>
      </c>
      <c r="M136" s="4">
        <v>-2.5</v>
      </c>
      <c r="N136" s="4">
        <v>-1</v>
      </c>
      <c r="O136" s="4">
        <v>4</v>
      </c>
      <c r="P136" s="4">
        <v>1</v>
      </c>
      <c r="Q136" s="7" t="s">
        <v>690</v>
      </c>
      <c r="R136" s="7" t="s">
        <v>25</v>
      </c>
    </row>
    <row r="137" spans="1:18">
      <c r="A137" s="4" t="s">
        <v>693</v>
      </c>
      <c r="B137" s="4">
        <v>2</v>
      </c>
      <c r="C137" s="4">
        <v>1</v>
      </c>
      <c r="D137" s="4">
        <v>-3.5</v>
      </c>
      <c r="E137" s="4">
        <v>5</v>
      </c>
      <c r="F137" s="4">
        <v>3</v>
      </c>
      <c r="G137" s="4">
        <v>0.5</v>
      </c>
      <c r="H137" s="4">
        <v>-3</v>
      </c>
      <c r="I137" s="4">
        <v>3</v>
      </c>
      <c r="J137" s="4">
        <v>2</v>
      </c>
      <c r="K137" s="4">
        <v>1</v>
      </c>
      <c r="L137" s="4">
        <v>4</v>
      </c>
      <c r="M137" s="4">
        <v>0.5</v>
      </c>
      <c r="N137" s="4">
        <v>-1</v>
      </c>
      <c r="O137" s="4">
        <v>-3</v>
      </c>
      <c r="P137" s="4">
        <v>0</v>
      </c>
      <c r="Q137" s="7" t="s">
        <v>694</v>
      </c>
      <c r="R137" s="7" t="s">
        <v>22</v>
      </c>
    </row>
    <row r="138" spans="1:18">
      <c r="A138" s="4" t="s">
        <v>699</v>
      </c>
      <c r="B138" s="4">
        <v>3</v>
      </c>
      <c r="C138" s="4">
        <v>-0.5</v>
      </c>
      <c r="D138" s="4">
        <v>3</v>
      </c>
      <c r="E138" s="4">
        <v>7</v>
      </c>
      <c r="F138" s="4">
        <v>5</v>
      </c>
      <c r="G138" s="4">
        <v>2.5</v>
      </c>
      <c r="H138" s="4">
        <v>-10</v>
      </c>
      <c r="I138" s="4">
        <v>2.5</v>
      </c>
      <c r="J138" s="4">
        <v>-2</v>
      </c>
      <c r="K138" s="4">
        <v>-0.5</v>
      </c>
      <c r="L138" s="4">
        <v>-2</v>
      </c>
      <c r="M138" s="4">
        <v>3</v>
      </c>
      <c r="N138" s="4">
        <v>2</v>
      </c>
      <c r="O138" s="4">
        <v>4.5</v>
      </c>
      <c r="P138" s="4">
        <v>1</v>
      </c>
      <c r="Q138" s="7" t="s">
        <v>700</v>
      </c>
      <c r="R138" s="7" t="s">
        <v>40</v>
      </c>
    </row>
    <row r="139" spans="1:18">
      <c r="A139" s="4" t="s">
        <v>703</v>
      </c>
      <c r="B139" s="4">
        <v>0.5</v>
      </c>
      <c r="C139" s="4">
        <v>10</v>
      </c>
      <c r="D139" s="4">
        <v>-3</v>
      </c>
      <c r="E139" s="4">
        <v>3</v>
      </c>
      <c r="F139" s="4">
        <v>3.5</v>
      </c>
      <c r="G139" s="4">
        <v>0</v>
      </c>
      <c r="H139" s="4">
        <v>1</v>
      </c>
      <c r="I139" s="4">
        <v>10</v>
      </c>
      <c r="J139" s="4">
        <v>-1</v>
      </c>
      <c r="K139" s="4">
        <v>2</v>
      </c>
      <c r="L139" s="4">
        <v>3</v>
      </c>
      <c r="M139" s="4">
        <v>0</v>
      </c>
      <c r="N139" s="4">
        <v>-6</v>
      </c>
      <c r="O139" s="4">
        <v>0.5</v>
      </c>
      <c r="P139" s="4">
        <v>0</v>
      </c>
      <c r="Q139" s="7" t="s">
        <v>704</v>
      </c>
      <c r="R139" s="7" t="s">
        <v>16</v>
      </c>
    </row>
    <row r="140" spans="1:18">
      <c r="A140" s="4" t="s">
        <v>707</v>
      </c>
      <c r="B140" s="4">
        <v>4</v>
      </c>
      <c r="C140" s="4">
        <v>0</v>
      </c>
      <c r="D140" s="4">
        <v>2</v>
      </c>
      <c r="E140" s="4">
        <v>4</v>
      </c>
      <c r="F140" s="4">
        <v>-2</v>
      </c>
      <c r="G140" s="4">
        <v>0</v>
      </c>
      <c r="H140" s="4">
        <v>1</v>
      </c>
      <c r="I140" s="4">
        <v>2.5</v>
      </c>
      <c r="J140" s="4">
        <v>-1</v>
      </c>
      <c r="K140" s="4">
        <v>2</v>
      </c>
      <c r="L140" s="4">
        <v>4</v>
      </c>
      <c r="M140" s="4">
        <v>-2</v>
      </c>
      <c r="N140" s="4">
        <v>-4</v>
      </c>
      <c r="O140" s="4">
        <v>3.5</v>
      </c>
      <c r="P140" s="4">
        <v>1</v>
      </c>
      <c r="Q140" s="7" t="s">
        <v>708</v>
      </c>
      <c r="R140" s="7" t="s">
        <v>22</v>
      </c>
    </row>
    <row r="141" spans="1:18">
      <c r="A141" s="4" t="s">
        <v>713</v>
      </c>
      <c r="B141" s="4">
        <v>-4</v>
      </c>
      <c r="C141" s="4">
        <v>0.5</v>
      </c>
      <c r="D141" s="4">
        <v>-5</v>
      </c>
      <c r="E141" s="4">
        <v>3</v>
      </c>
      <c r="F141" s="4">
        <v>-2</v>
      </c>
      <c r="G141" s="4">
        <v>2</v>
      </c>
      <c r="H141" s="4">
        <v>-4</v>
      </c>
      <c r="I141" s="4">
        <v>5.5</v>
      </c>
      <c r="J141" s="4">
        <v>-3</v>
      </c>
      <c r="K141" s="4">
        <v>3</v>
      </c>
      <c r="L141" s="4">
        <v>0.5</v>
      </c>
      <c r="M141" s="4">
        <v>-5</v>
      </c>
      <c r="N141" s="4">
        <v>-5</v>
      </c>
      <c r="O141" s="4">
        <v>3</v>
      </c>
      <c r="P141" s="4">
        <v>0</v>
      </c>
      <c r="Q141" s="7" t="s">
        <v>714</v>
      </c>
      <c r="R141" s="7" t="s">
        <v>25</v>
      </c>
    </row>
    <row r="142" spans="1:18">
      <c r="A142" s="4" t="s">
        <v>717</v>
      </c>
      <c r="B142" s="4">
        <v>-6</v>
      </c>
      <c r="C142" s="4">
        <v>1.5</v>
      </c>
      <c r="D142" s="4">
        <v>0</v>
      </c>
      <c r="E142" s="4">
        <v>7</v>
      </c>
      <c r="F142" s="4">
        <v>-0.5</v>
      </c>
      <c r="G142" s="4">
        <v>3</v>
      </c>
      <c r="H142" s="4">
        <v>0</v>
      </c>
      <c r="I142" s="4">
        <v>3.5</v>
      </c>
      <c r="J142" s="4">
        <v>-6</v>
      </c>
      <c r="K142" s="4">
        <v>2</v>
      </c>
      <c r="L142" s="4">
        <v>1.5</v>
      </c>
      <c r="M142" s="4">
        <v>0</v>
      </c>
      <c r="N142" s="4">
        <v>4</v>
      </c>
      <c r="O142" s="4">
        <v>0.5</v>
      </c>
      <c r="P142" s="4">
        <v>1</v>
      </c>
      <c r="Q142" s="7" t="s">
        <v>718</v>
      </c>
      <c r="R142" s="7" t="s">
        <v>37</v>
      </c>
    </row>
    <row r="143" spans="1:18">
      <c r="A143" s="4" t="s">
        <v>727</v>
      </c>
      <c r="B143" s="4">
        <v>4.5</v>
      </c>
      <c r="C143" s="4">
        <v>0</v>
      </c>
      <c r="D143" s="4">
        <v>-4</v>
      </c>
      <c r="E143" s="4">
        <v>-2</v>
      </c>
      <c r="F143" s="4">
        <v>0.5</v>
      </c>
      <c r="G143" s="4">
        <v>0</v>
      </c>
      <c r="H143" s="4">
        <v>6</v>
      </c>
      <c r="I143" s="4">
        <v>4.5</v>
      </c>
      <c r="J143" s="4">
        <v>-8</v>
      </c>
      <c r="K143" s="4">
        <v>4</v>
      </c>
      <c r="L143" s="4">
        <v>5</v>
      </c>
      <c r="M143" s="4">
        <v>-5</v>
      </c>
      <c r="N143" s="4">
        <v>-2</v>
      </c>
      <c r="O143" s="4">
        <v>4.5</v>
      </c>
      <c r="P143" s="4">
        <v>1</v>
      </c>
      <c r="Q143" s="7" t="s">
        <v>728</v>
      </c>
      <c r="R143" s="7" t="s">
        <v>22</v>
      </c>
    </row>
    <row r="144" spans="1:18">
      <c r="A144" s="4" t="s">
        <v>731</v>
      </c>
      <c r="B144" s="4">
        <v>1</v>
      </c>
      <c r="C144" s="4">
        <v>1</v>
      </c>
      <c r="D144" s="4">
        <v>0</v>
      </c>
      <c r="E144" s="4">
        <v>1</v>
      </c>
      <c r="F144" s="4">
        <v>-3</v>
      </c>
      <c r="G144" s="4">
        <v>-4</v>
      </c>
      <c r="H144" s="4">
        <v>-2</v>
      </c>
      <c r="I144" s="4">
        <v>2</v>
      </c>
      <c r="J144" s="4">
        <v>1</v>
      </c>
      <c r="K144" s="4">
        <v>2</v>
      </c>
      <c r="L144" s="4">
        <v>2.5</v>
      </c>
      <c r="M144" s="4">
        <v>-3</v>
      </c>
      <c r="N144" s="4">
        <v>-2</v>
      </c>
      <c r="O144" s="4">
        <v>-2</v>
      </c>
      <c r="P144" s="4">
        <v>0</v>
      </c>
      <c r="Q144" s="7" t="s">
        <v>732</v>
      </c>
      <c r="R144" s="7" t="s">
        <v>28</v>
      </c>
    </row>
    <row r="145" spans="1:18">
      <c r="A145" s="4" t="s">
        <v>737</v>
      </c>
      <c r="B145" s="4">
        <v>0</v>
      </c>
      <c r="C145" s="4">
        <v>-3</v>
      </c>
      <c r="D145" s="4">
        <v>-3</v>
      </c>
      <c r="E145" s="4">
        <v>5.5</v>
      </c>
      <c r="F145" s="4">
        <v>-2</v>
      </c>
      <c r="G145" s="4">
        <v>1</v>
      </c>
      <c r="H145" s="4">
        <v>0</v>
      </c>
      <c r="I145" s="4">
        <v>4</v>
      </c>
      <c r="J145" s="4">
        <v>-6</v>
      </c>
      <c r="K145" s="4">
        <v>-2</v>
      </c>
      <c r="L145" s="4">
        <v>-3</v>
      </c>
      <c r="M145" s="4">
        <v>-5</v>
      </c>
      <c r="N145" s="4">
        <v>-2.5</v>
      </c>
      <c r="O145" s="4">
        <v>0</v>
      </c>
      <c r="P145" s="4">
        <v>1</v>
      </c>
      <c r="Q145" s="7" t="s">
        <v>738</v>
      </c>
      <c r="R145" s="7" t="s">
        <v>37</v>
      </c>
    </row>
    <row r="146" spans="1:18">
      <c r="A146" s="5" t="s">
        <v>745</v>
      </c>
      <c r="B146" s="4">
        <v>-4</v>
      </c>
      <c r="C146" s="4">
        <v>-5</v>
      </c>
      <c r="D146" s="4">
        <v>1</v>
      </c>
      <c r="E146" s="4">
        <v>2</v>
      </c>
      <c r="F146" s="4">
        <v>1</v>
      </c>
      <c r="G146" s="4">
        <v>0</v>
      </c>
      <c r="H146" s="4">
        <v>-5</v>
      </c>
      <c r="I146" s="4">
        <v>2</v>
      </c>
      <c r="J146" s="4">
        <v>2</v>
      </c>
      <c r="K146" s="4">
        <v>1</v>
      </c>
      <c r="L146" s="4">
        <v>-4</v>
      </c>
      <c r="M146" s="4">
        <v>-1</v>
      </c>
      <c r="N146" s="4">
        <v>1</v>
      </c>
      <c r="O146" s="4">
        <v>5</v>
      </c>
      <c r="P146" s="4">
        <v>0</v>
      </c>
      <c r="Q146" s="7" t="s">
        <v>746</v>
      </c>
      <c r="R146" s="7" t="s">
        <v>19</v>
      </c>
    </row>
    <row r="147" spans="1:18">
      <c r="A147" s="5" t="s">
        <v>749</v>
      </c>
      <c r="B147" s="4">
        <v>2</v>
      </c>
      <c r="C147" s="4">
        <v>-1</v>
      </c>
      <c r="D147" s="4">
        <v>6</v>
      </c>
      <c r="E147" s="4">
        <v>3</v>
      </c>
      <c r="F147" s="4">
        <v>-1</v>
      </c>
      <c r="G147" s="4">
        <v>4</v>
      </c>
      <c r="H147" s="4">
        <v>-3</v>
      </c>
      <c r="I147" s="4">
        <v>2</v>
      </c>
      <c r="J147" s="4">
        <v>0</v>
      </c>
      <c r="K147" s="4">
        <v>-1</v>
      </c>
      <c r="L147" s="4">
        <v>1</v>
      </c>
      <c r="M147" s="4">
        <v>4</v>
      </c>
      <c r="N147" s="4">
        <v>2</v>
      </c>
      <c r="O147" s="4">
        <v>0</v>
      </c>
      <c r="P147" s="4">
        <v>0</v>
      </c>
      <c r="Q147" s="7" t="s">
        <v>750</v>
      </c>
      <c r="R147" s="7" t="s">
        <v>25</v>
      </c>
    </row>
    <row r="148" spans="1:18">
      <c r="A148" s="5" t="s">
        <v>757</v>
      </c>
      <c r="B148" s="4">
        <v>-4</v>
      </c>
      <c r="C148" s="4">
        <v>3</v>
      </c>
      <c r="D148" s="4">
        <v>3</v>
      </c>
      <c r="E148" s="4">
        <v>-2</v>
      </c>
      <c r="F148" s="4">
        <v>-4</v>
      </c>
      <c r="G148" s="4">
        <v>-2</v>
      </c>
      <c r="H148" s="4">
        <v>3.5</v>
      </c>
      <c r="I148" s="4">
        <v>1.5</v>
      </c>
      <c r="J148" s="4">
        <v>-2</v>
      </c>
      <c r="K148" s="4">
        <v>0</v>
      </c>
      <c r="L148" s="4">
        <v>3</v>
      </c>
      <c r="M148" s="4">
        <v>1</v>
      </c>
      <c r="N148" s="4">
        <v>-3</v>
      </c>
      <c r="O148" s="4">
        <v>5</v>
      </c>
      <c r="P148" s="4">
        <v>0</v>
      </c>
      <c r="Q148" s="7" t="s">
        <v>758</v>
      </c>
      <c r="R148" s="7" t="s">
        <v>37</v>
      </c>
    </row>
    <row r="149" spans="1:18">
      <c r="A149" s="5" t="s">
        <v>763</v>
      </c>
      <c r="B149" s="4">
        <v>2</v>
      </c>
      <c r="C149" s="4">
        <v>2</v>
      </c>
      <c r="D149" s="4">
        <v>-12</v>
      </c>
      <c r="E149" s="4">
        <v>-3</v>
      </c>
      <c r="F149" s="4">
        <v>3</v>
      </c>
      <c r="G149" s="4">
        <v>-7.5</v>
      </c>
      <c r="H149" s="4">
        <v>1</v>
      </c>
      <c r="I149" s="4">
        <v>2</v>
      </c>
      <c r="J149" s="4">
        <v>-1.5</v>
      </c>
      <c r="K149" s="4">
        <v>3</v>
      </c>
      <c r="L149" s="4">
        <v>-4</v>
      </c>
      <c r="M149" s="4">
        <v>-9</v>
      </c>
      <c r="N149" s="4">
        <v>-9</v>
      </c>
      <c r="O149" s="4">
        <v>2</v>
      </c>
      <c r="P149" s="4">
        <v>1</v>
      </c>
      <c r="Q149" s="7" t="s">
        <v>764</v>
      </c>
      <c r="R149" s="7" t="s">
        <v>16</v>
      </c>
    </row>
    <row r="150" spans="1:18">
      <c r="A150" s="5" t="s">
        <v>769</v>
      </c>
      <c r="B150" s="4">
        <v>-1</v>
      </c>
      <c r="C150" s="4">
        <v>3</v>
      </c>
      <c r="D150" s="4">
        <v>-3</v>
      </c>
      <c r="E150" s="4">
        <v>-7</v>
      </c>
      <c r="F150" s="4">
        <v>3</v>
      </c>
      <c r="G150" s="4">
        <v>-5</v>
      </c>
      <c r="H150" s="4">
        <v>-1</v>
      </c>
      <c r="I150" s="4">
        <v>-1</v>
      </c>
      <c r="J150" s="4">
        <v>-1</v>
      </c>
      <c r="K150" s="4">
        <v>3</v>
      </c>
      <c r="L150" s="4">
        <v>-1</v>
      </c>
      <c r="M150" s="4">
        <v>-1</v>
      </c>
      <c r="N150" s="4">
        <v>1</v>
      </c>
      <c r="O150" s="4">
        <v>3</v>
      </c>
      <c r="P150" s="4">
        <v>0</v>
      </c>
      <c r="Q150" s="7" t="s">
        <v>770</v>
      </c>
      <c r="R150" s="7" t="s">
        <v>25</v>
      </c>
    </row>
    <row r="151" spans="1:18">
      <c r="A151" s="6" t="s">
        <v>773</v>
      </c>
      <c r="B151" s="4">
        <v>-4</v>
      </c>
      <c r="C151" s="4">
        <v>4</v>
      </c>
      <c r="D151" s="4">
        <v>-7.5</v>
      </c>
      <c r="E151" s="4">
        <v>-6</v>
      </c>
      <c r="F151" s="4">
        <v>-5</v>
      </c>
      <c r="G151" s="4">
        <v>-8</v>
      </c>
      <c r="H151" s="4">
        <v>-1</v>
      </c>
      <c r="I151" s="4">
        <v>4</v>
      </c>
      <c r="J151" s="4">
        <v>1</v>
      </c>
      <c r="K151" s="4">
        <v>3</v>
      </c>
      <c r="L151" s="4">
        <v>2</v>
      </c>
      <c r="M151" s="4">
        <v>-1.5</v>
      </c>
      <c r="N151" s="4">
        <v>-4</v>
      </c>
      <c r="O151" s="4">
        <v>7</v>
      </c>
      <c r="P151" s="4">
        <v>0</v>
      </c>
      <c r="Q151" s="7" t="s">
        <v>774</v>
      </c>
      <c r="R151" s="7" t="s">
        <v>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"/>
  <sheetViews>
    <sheetView topLeftCell="A117" workbookViewId="0">
      <selection activeCell="K2" sqref="K2:K151"/>
    </sheetView>
  </sheetViews>
  <sheetFormatPr defaultColWidth="9" defaultRowHeight="13.5"/>
  <cols>
    <col min="1" max="1" width="11.625" customWidth="1"/>
  </cols>
  <sheetData>
    <row r="1" spans="1:15">
      <c r="A1" s="2" t="s">
        <v>0</v>
      </c>
      <c r="B1" s="2" t="s">
        <v>781</v>
      </c>
      <c r="C1" s="2" t="s">
        <v>782</v>
      </c>
      <c r="D1" s="2" t="s">
        <v>783</v>
      </c>
      <c r="E1" s="2" t="s">
        <v>784</v>
      </c>
      <c r="F1" s="2" t="s">
        <v>785</v>
      </c>
      <c r="G1" s="2" t="s">
        <v>786</v>
      </c>
      <c r="H1" s="2" t="s">
        <v>787</v>
      </c>
      <c r="I1" s="2" t="s">
        <v>788</v>
      </c>
      <c r="J1" s="2" t="s">
        <v>789</v>
      </c>
      <c r="K1" s="2" t="s">
        <v>790</v>
      </c>
      <c r="L1" s="2" t="s">
        <v>791</v>
      </c>
      <c r="M1" s="2" t="s">
        <v>792</v>
      </c>
      <c r="N1" s="2" t="s">
        <v>793</v>
      </c>
      <c r="O1" s="2" t="s">
        <v>794</v>
      </c>
    </row>
    <row r="2" spans="1:15">
      <c r="A2" s="4" t="s">
        <v>20</v>
      </c>
      <c r="B2" s="4">
        <f>IF(香港新定位结果!B2&lt;=0,0,1)</f>
        <v>0</v>
      </c>
      <c r="C2" s="4">
        <f>IF(香港新定位结果!C2&lt;=0,0,1)</f>
        <v>0</v>
      </c>
      <c r="D2" s="4">
        <f>IF(香港新定位结果!D2&lt;=0,0,1)</f>
        <v>0</v>
      </c>
      <c r="E2" s="4">
        <f>IF(香港新定位结果!E2&lt;=0,0,1)</f>
        <v>1</v>
      </c>
      <c r="F2" s="4">
        <f>IF(香港新定位结果!F2&lt;=0,0,1)</f>
        <v>0</v>
      </c>
      <c r="G2" s="4">
        <f>IF(香港新定位结果!G2&lt;=0,0,1)</f>
        <v>0</v>
      </c>
      <c r="H2" s="4">
        <f>IF(香港新定位结果!H2&lt;=0,0,1)</f>
        <v>0</v>
      </c>
      <c r="I2" s="4">
        <f>IF(香港新定位结果!I2&lt;=0,0,1)</f>
        <v>1</v>
      </c>
      <c r="J2" s="4">
        <f>IF(香港新定位结果!J2&lt;=0,0,1)</f>
        <v>0</v>
      </c>
      <c r="K2" s="4">
        <f>IF(香港新定位结果!K2&lt;=0,0,1)</f>
        <v>1</v>
      </c>
      <c r="L2" s="4">
        <f>IF(香港新定位结果!L2&lt;=0,0,1)</f>
        <v>1</v>
      </c>
      <c r="M2" s="4">
        <f>IF(香港新定位结果!M2&lt;=0,0,1)</f>
        <v>0</v>
      </c>
      <c r="N2" s="4">
        <f>IF(香港新定位结果!N2&lt;=0,0,1)</f>
        <v>1</v>
      </c>
      <c r="O2" s="4">
        <f>IF(香港新定位结果!O2&lt;=0,0,1)</f>
        <v>1</v>
      </c>
    </row>
    <row r="3" spans="1:15">
      <c r="A3" s="4" t="s">
        <v>26</v>
      </c>
      <c r="B3" s="4">
        <f>IF(香港新定位结果!B3&lt;=0,0,1)</f>
        <v>0</v>
      </c>
      <c r="C3" s="4">
        <f>IF(香港新定位结果!C3&lt;=0,0,1)</f>
        <v>0</v>
      </c>
      <c r="D3" s="4">
        <f>IF(香港新定位结果!D3&lt;=0,0,1)</f>
        <v>0</v>
      </c>
      <c r="E3" s="4">
        <f>IF(香港新定位结果!E3&lt;=0,0,1)</f>
        <v>0</v>
      </c>
      <c r="F3" s="4">
        <f>IF(香港新定位结果!F3&lt;=0,0,1)</f>
        <v>0</v>
      </c>
      <c r="G3" s="4">
        <f>IF(香港新定位结果!G3&lt;=0,0,1)</f>
        <v>0</v>
      </c>
      <c r="H3" s="4">
        <f>IF(香港新定位结果!H3&lt;=0,0,1)</f>
        <v>0</v>
      </c>
      <c r="I3" s="4">
        <f>IF(香港新定位结果!I3&lt;=0,0,1)</f>
        <v>1</v>
      </c>
      <c r="J3" s="4">
        <f>IF(香港新定位结果!J3&lt;=0,0,1)</f>
        <v>1</v>
      </c>
      <c r="K3" s="4">
        <f>IF(香港新定位结果!K3&lt;=0,0,1)</f>
        <v>1</v>
      </c>
      <c r="L3" s="4">
        <f>IF(香港新定位结果!L3&lt;=0,0,1)</f>
        <v>1</v>
      </c>
      <c r="M3" s="4">
        <f>IF(香港新定位结果!M3&lt;=0,0,1)</f>
        <v>1</v>
      </c>
      <c r="N3" s="4">
        <f>IF(香港新定位结果!N3&lt;=0,0,1)</f>
        <v>1</v>
      </c>
      <c r="O3" s="4">
        <f>IF(香港新定位结果!O3&lt;=0,0,1)</f>
        <v>0</v>
      </c>
    </row>
    <row r="4" spans="1:15">
      <c r="A4" s="4" t="s">
        <v>32</v>
      </c>
      <c r="B4" s="4">
        <f>IF(香港新定位结果!B4&lt;=0,0,1)</f>
        <v>1</v>
      </c>
      <c r="C4" s="4">
        <f>IF(香港新定位结果!C4&lt;=0,0,1)</f>
        <v>1</v>
      </c>
      <c r="D4" s="4">
        <f>IF(香港新定位结果!D4&lt;=0,0,1)</f>
        <v>1</v>
      </c>
      <c r="E4" s="4">
        <f>IF(香港新定位结果!E4&lt;=0,0,1)</f>
        <v>1</v>
      </c>
      <c r="F4" s="4">
        <f>IF(香港新定位结果!F4&lt;=0,0,1)</f>
        <v>1</v>
      </c>
      <c r="G4" s="4">
        <f>IF(香港新定位结果!G4&lt;=0,0,1)</f>
        <v>0</v>
      </c>
      <c r="H4" s="4">
        <f>IF(香港新定位结果!H4&lt;=0,0,1)</f>
        <v>1</v>
      </c>
      <c r="I4" s="4">
        <f>IF(香港新定位结果!I4&lt;=0,0,1)</f>
        <v>1</v>
      </c>
      <c r="J4" s="4">
        <f>IF(香港新定位结果!J4&lt;=0,0,1)</f>
        <v>0</v>
      </c>
      <c r="K4" s="4">
        <f>IF(香港新定位结果!K4&lt;=0,0,1)</f>
        <v>1</v>
      </c>
      <c r="L4" s="4">
        <f>IF(香港新定位结果!L4&lt;=0,0,1)</f>
        <v>0</v>
      </c>
      <c r="M4" s="4">
        <f>IF(香港新定位结果!M4&lt;=0,0,1)</f>
        <v>1</v>
      </c>
      <c r="N4" s="4">
        <f>IF(香港新定位结果!N4&lt;=0,0,1)</f>
        <v>1</v>
      </c>
      <c r="O4" s="4">
        <f>IF(香港新定位结果!O4&lt;=0,0,1)</f>
        <v>1</v>
      </c>
    </row>
    <row r="5" spans="1:15">
      <c r="A5" s="4" t="s">
        <v>41</v>
      </c>
      <c r="B5" s="4">
        <f>IF(香港新定位结果!B5&lt;=0,0,1)</f>
        <v>1</v>
      </c>
      <c r="C5" s="4">
        <f>IF(香港新定位结果!C5&lt;=0,0,1)</f>
        <v>1</v>
      </c>
      <c r="D5" s="4">
        <f>IF(香港新定位结果!D5&lt;=0,0,1)</f>
        <v>0</v>
      </c>
      <c r="E5" s="4">
        <f>IF(香港新定位结果!E5&lt;=0,0,1)</f>
        <v>0</v>
      </c>
      <c r="F5" s="4">
        <f>IF(香港新定位结果!F5&lt;=0,0,1)</f>
        <v>0</v>
      </c>
      <c r="G5" s="4">
        <f>IF(香港新定位结果!G5&lt;=0,0,1)</f>
        <v>0</v>
      </c>
      <c r="H5" s="4">
        <f>IF(香港新定位结果!H5&lt;=0,0,1)</f>
        <v>1</v>
      </c>
      <c r="I5" s="4">
        <f>IF(香港新定位结果!I5&lt;=0,0,1)</f>
        <v>0</v>
      </c>
      <c r="J5" s="4">
        <f>IF(香港新定位结果!J5&lt;=0,0,1)</f>
        <v>1</v>
      </c>
      <c r="K5" s="4">
        <f>IF(香港新定位结果!K5&lt;=0,0,1)</f>
        <v>1</v>
      </c>
      <c r="L5" s="4">
        <f>IF(香港新定位结果!L5&lt;=0,0,1)</f>
        <v>1</v>
      </c>
      <c r="M5" s="4">
        <f>IF(香港新定位结果!M5&lt;=0,0,1)</f>
        <v>0</v>
      </c>
      <c r="N5" s="4">
        <f>IF(香港新定位结果!N5&lt;=0,0,1)</f>
        <v>0</v>
      </c>
      <c r="O5" s="4">
        <f>IF(香港新定位结果!O5&lt;=0,0,1)</f>
        <v>0</v>
      </c>
    </row>
    <row r="6" spans="1:15">
      <c r="A6" s="4" t="s">
        <v>45</v>
      </c>
      <c r="B6" s="4">
        <f>IF(香港新定位结果!B6&lt;=0,0,1)</f>
        <v>0</v>
      </c>
      <c r="C6" s="4">
        <f>IF(香港新定位结果!C6&lt;=0,0,1)</f>
        <v>1</v>
      </c>
      <c r="D6" s="4">
        <f>IF(香港新定位结果!D6&lt;=0,0,1)</f>
        <v>0</v>
      </c>
      <c r="E6" s="4">
        <f>IF(香港新定位结果!E6&lt;=0,0,1)</f>
        <v>1</v>
      </c>
      <c r="F6" s="4">
        <f>IF(香港新定位结果!F6&lt;=0,0,1)</f>
        <v>0</v>
      </c>
      <c r="G6" s="4">
        <f>IF(香港新定位结果!G6&lt;=0,0,1)</f>
        <v>0</v>
      </c>
      <c r="H6" s="4">
        <f>IF(香港新定位结果!H6&lt;=0,0,1)</f>
        <v>1</v>
      </c>
      <c r="I6" s="4">
        <f>IF(香港新定位结果!I6&lt;=0,0,1)</f>
        <v>0</v>
      </c>
      <c r="J6" s="4">
        <f>IF(香港新定位结果!J6&lt;=0,0,1)</f>
        <v>0</v>
      </c>
      <c r="K6" s="4">
        <f>IF(香港新定位结果!K6&lt;=0,0,1)</f>
        <v>0</v>
      </c>
      <c r="L6" s="4">
        <f>IF(香港新定位结果!L6&lt;=0,0,1)</f>
        <v>1</v>
      </c>
      <c r="M6" s="4">
        <f>IF(香港新定位结果!M6&lt;=0,0,1)</f>
        <v>0</v>
      </c>
      <c r="N6" s="4">
        <f>IF(香港新定位结果!N6&lt;=0,0,1)</f>
        <v>1</v>
      </c>
      <c r="O6" s="4">
        <f>IF(香港新定位结果!O6&lt;=0,0,1)</f>
        <v>0</v>
      </c>
    </row>
    <row r="7" spans="1:15">
      <c r="A7" s="4" t="s">
        <v>49</v>
      </c>
      <c r="B7" s="4">
        <f>IF(香港新定位结果!B7&lt;=0,0,1)</f>
        <v>0</v>
      </c>
      <c r="C7" s="4">
        <f>IF(香港新定位结果!C7&lt;=0,0,1)</f>
        <v>1</v>
      </c>
      <c r="D7" s="4">
        <f>IF(香港新定位结果!D7&lt;=0,0,1)</f>
        <v>0</v>
      </c>
      <c r="E7" s="4">
        <f>IF(香港新定位结果!E7&lt;=0,0,1)</f>
        <v>0</v>
      </c>
      <c r="F7" s="4">
        <f>IF(香港新定位结果!F7&lt;=0,0,1)</f>
        <v>1</v>
      </c>
      <c r="G7" s="4">
        <f>IF(香港新定位结果!G7&lt;=0,0,1)</f>
        <v>0</v>
      </c>
      <c r="H7" s="4">
        <f>IF(香港新定位结果!H7&lt;=0,0,1)</f>
        <v>0</v>
      </c>
      <c r="I7" s="4">
        <f>IF(香港新定位结果!I7&lt;=0,0,1)</f>
        <v>0</v>
      </c>
      <c r="J7" s="4">
        <f>IF(香港新定位结果!J7&lt;=0,0,1)</f>
        <v>0</v>
      </c>
      <c r="K7" s="4">
        <f>IF(香港新定位结果!K7&lt;=0,0,1)</f>
        <v>1</v>
      </c>
      <c r="L7" s="4">
        <f>IF(香港新定位结果!L7&lt;=0,0,1)</f>
        <v>0</v>
      </c>
      <c r="M7" s="4">
        <f>IF(香港新定位结果!M7&lt;=0,0,1)</f>
        <v>0</v>
      </c>
      <c r="N7" s="4">
        <f>IF(香港新定位结果!N7&lt;=0,0,1)</f>
        <v>1</v>
      </c>
      <c r="O7" s="4">
        <f>IF(香港新定位结果!O7&lt;=0,0,1)</f>
        <v>1</v>
      </c>
    </row>
    <row r="8" spans="1:15">
      <c r="A8" s="4" t="s">
        <v>55</v>
      </c>
      <c r="B8" s="4">
        <f>IF(香港新定位结果!B8&lt;=0,0,1)</f>
        <v>0</v>
      </c>
      <c r="C8" s="4">
        <f>IF(香港新定位结果!C8&lt;=0,0,1)</f>
        <v>0</v>
      </c>
      <c r="D8" s="4">
        <f>IF(香港新定位结果!D8&lt;=0,0,1)</f>
        <v>0</v>
      </c>
      <c r="E8" s="4">
        <f>IF(香港新定位结果!E8&lt;=0,0,1)</f>
        <v>1</v>
      </c>
      <c r="F8" s="4">
        <f>IF(香港新定位结果!F8&lt;=0,0,1)</f>
        <v>1</v>
      </c>
      <c r="G8" s="4">
        <f>IF(香港新定位结果!G8&lt;=0,0,1)</f>
        <v>0</v>
      </c>
      <c r="H8" s="4">
        <f>IF(香港新定位结果!H8&lt;=0,0,1)</f>
        <v>0</v>
      </c>
      <c r="I8" s="4">
        <f>IF(香港新定位结果!I8&lt;=0,0,1)</f>
        <v>0</v>
      </c>
      <c r="J8" s="4">
        <f>IF(香港新定位结果!J8&lt;=0,0,1)</f>
        <v>0</v>
      </c>
      <c r="K8" s="4">
        <f>IF(香港新定位结果!K8&lt;=0,0,1)</f>
        <v>0</v>
      </c>
      <c r="L8" s="4">
        <f>IF(香港新定位结果!L8&lt;=0,0,1)</f>
        <v>0</v>
      </c>
      <c r="M8" s="4">
        <f>IF(香港新定位结果!M8&lt;=0,0,1)</f>
        <v>0</v>
      </c>
      <c r="N8" s="4">
        <f>IF(香港新定位结果!N8&lt;=0,0,1)</f>
        <v>1</v>
      </c>
      <c r="O8" s="4">
        <f>IF(香港新定位结果!O8&lt;=0,0,1)</f>
        <v>0</v>
      </c>
    </row>
    <row r="9" spans="1:15">
      <c r="A9" s="4" t="s">
        <v>59</v>
      </c>
      <c r="B9" s="4">
        <f>IF(香港新定位结果!B9&lt;=0,0,1)</f>
        <v>0</v>
      </c>
      <c r="C9" s="4">
        <f>IF(香港新定位结果!C9&lt;=0,0,1)</f>
        <v>1</v>
      </c>
      <c r="D9" s="4">
        <f>IF(香港新定位结果!D9&lt;=0,0,1)</f>
        <v>1</v>
      </c>
      <c r="E9" s="4">
        <f>IF(香港新定位结果!E9&lt;=0,0,1)</f>
        <v>0</v>
      </c>
      <c r="F9" s="4">
        <f>IF(香港新定位结果!F9&lt;=0,0,1)</f>
        <v>0</v>
      </c>
      <c r="G9" s="4">
        <f>IF(香港新定位结果!G9&lt;=0,0,1)</f>
        <v>0</v>
      </c>
      <c r="H9" s="4">
        <f>IF(香港新定位结果!H9&lt;=0,0,1)</f>
        <v>0</v>
      </c>
      <c r="I9" s="4">
        <f>IF(香港新定位结果!I9&lt;=0,0,1)</f>
        <v>1</v>
      </c>
      <c r="J9" s="4">
        <f>IF(香港新定位结果!J9&lt;=0,0,1)</f>
        <v>0</v>
      </c>
      <c r="K9" s="4">
        <f>IF(香港新定位结果!K9&lt;=0,0,1)</f>
        <v>1</v>
      </c>
      <c r="L9" s="4">
        <f>IF(香港新定位结果!L9&lt;=0,0,1)</f>
        <v>0</v>
      </c>
      <c r="M9" s="4">
        <f>IF(香港新定位结果!M9&lt;=0,0,1)</f>
        <v>0</v>
      </c>
      <c r="N9" s="4">
        <f>IF(香港新定位结果!N9&lt;=0,0,1)</f>
        <v>0</v>
      </c>
      <c r="O9" s="4">
        <f>IF(香港新定位结果!O9&lt;=0,0,1)</f>
        <v>0</v>
      </c>
    </row>
    <row r="10" spans="1:15">
      <c r="A10" s="4" t="s">
        <v>73</v>
      </c>
      <c r="B10" s="4">
        <f>IF(香港新定位结果!B10&lt;=0,0,1)</f>
        <v>0</v>
      </c>
      <c r="C10" s="4">
        <f>IF(香港新定位结果!C10&lt;=0,0,1)</f>
        <v>1</v>
      </c>
      <c r="D10" s="4">
        <f>IF(香港新定位结果!D10&lt;=0,0,1)</f>
        <v>0</v>
      </c>
      <c r="E10" s="4">
        <f>IF(香港新定位结果!E10&lt;=0,0,1)</f>
        <v>1</v>
      </c>
      <c r="F10" s="4">
        <f>IF(香港新定位结果!F10&lt;=0,0,1)</f>
        <v>1</v>
      </c>
      <c r="G10" s="4">
        <f>IF(香港新定位结果!G10&lt;=0,0,1)</f>
        <v>0</v>
      </c>
      <c r="H10" s="4">
        <f>IF(香港新定位结果!H10&lt;=0,0,1)</f>
        <v>1</v>
      </c>
      <c r="I10" s="4">
        <f>IF(香港新定位结果!I10&lt;=0,0,1)</f>
        <v>1</v>
      </c>
      <c r="J10" s="4">
        <f>IF(香港新定位结果!J10&lt;=0,0,1)</f>
        <v>1</v>
      </c>
      <c r="K10" s="4">
        <f>IF(香港新定位结果!K10&lt;=0,0,1)</f>
        <v>0</v>
      </c>
      <c r="L10" s="4">
        <f>IF(香港新定位结果!L10&lt;=0,0,1)</f>
        <v>0</v>
      </c>
      <c r="M10" s="4">
        <f>IF(香港新定位结果!M10&lt;=0,0,1)</f>
        <v>1</v>
      </c>
      <c r="N10" s="4">
        <f>IF(香港新定位结果!N10&lt;=0,0,1)</f>
        <v>0</v>
      </c>
      <c r="O10" s="4">
        <f>IF(香港新定位结果!O10&lt;=0,0,1)</f>
        <v>1</v>
      </c>
    </row>
    <row r="11" spans="1:15">
      <c r="A11" s="4" t="s">
        <v>77</v>
      </c>
      <c r="B11" s="4">
        <f>IF(香港新定位结果!B11&lt;=0,0,1)</f>
        <v>0</v>
      </c>
      <c r="C11" s="4">
        <f>IF(香港新定位结果!C11&lt;=0,0,1)</f>
        <v>1</v>
      </c>
      <c r="D11" s="4">
        <f>IF(香港新定位结果!D11&lt;=0,0,1)</f>
        <v>0</v>
      </c>
      <c r="E11" s="4">
        <f>IF(香港新定位结果!E11&lt;=0,0,1)</f>
        <v>0</v>
      </c>
      <c r="F11" s="4">
        <f>IF(香港新定位结果!F11&lt;=0,0,1)</f>
        <v>0</v>
      </c>
      <c r="G11" s="4">
        <f>IF(香港新定位结果!G11&lt;=0,0,1)</f>
        <v>0</v>
      </c>
      <c r="H11" s="4">
        <f>IF(香港新定位结果!H11&lt;=0,0,1)</f>
        <v>0</v>
      </c>
      <c r="I11" s="4">
        <f>IF(香港新定位结果!I11&lt;=0,0,1)</f>
        <v>0</v>
      </c>
      <c r="J11" s="4">
        <f>IF(香港新定位结果!J11&lt;=0,0,1)</f>
        <v>0</v>
      </c>
      <c r="K11" s="4">
        <f>IF(香港新定位结果!K11&lt;=0,0,1)</f>
        <v>1</v>
      </c>
      <c r="L11" s="4">
        <f>IF(香港新定位结果!L11&lt;=0,0,1)</f>
        <v>1</v>
      </c>
      <c r="M11" s="4">
        <f>IF(香港新定位结果!M11&lt;=0,0,1)</f>
        <v>1</v>
      </c>
      <c r="N11" s="4">
        <f>IF(香港新定位结果!N11&lt;=0,0,1)</f>
        <v>0</v>
      </c>
      <c r="O11" s="4">
        <f>IF(香港新定位结果!O11&lt;=0,0,1)</f>
        <v>1</v>
      </c>
    </row>
    <row r="12" spans="1:15">
      <c r="A12" s="4" t="s">
        <v>87</v>
      </c>
      <c r="B12" s="4">
        <f>IF(香港新定位结果!B12&lt;=0,0,1)</f>
        <v>0</v>
      </c>
      <c r="C12" s="4">
        <f>IF(香港新定位结果!C12&lt;=0,0,1)</f>
        <v>0</v>
      </c>
      <c r="D12" s="4">
        <f>IF(香港新定位结果!D12&lt;=0,0,1)</f>
        <v>0</v>
      </c>
      <c r="E12" s="4">
        <f>IF(香港新定位结果!E12&lt;=0,0,1)</f>
        <v>0</v>
      </c>
      <c r="F12" s="4">
        <f>IF(香港新定位结果!F12&lt;=0,0,1)</f>
        <v>0</v>
      </c>
      <c r="G12" s="4">
        <f>IF(香港新定位结果!G12&lt;=0,0,1)</f>
        <v>0</v>
      </c>
      <c r="H12" s="4">
        <f>IF(香港新定位结果!H12&lt;=0,0,1)</f>
        <v>0</v>
      </c>
      <c r="I12" s="4">
        <f>IF(香港新定位结果!I12&lt;=0,0,1)</f>
        <v>0</v>
      </c>
      <c r="J12" s="4">
        <f>IF(香港新定位结果!J12&lt;=0,0,1)</f>
        <v>0</v>
      </c>
      <c r="K12" s="4">
        <f>IF(香港新定位结果!K12&lt;=0,0,1)</f>
        <v>1</v>
      </c>
      <c r="L12" s="4">
        <f>IF(香港新定位结果!L12&lt;=0,0,1)</f>
        <v>0</v>
      </c>
      <c r="M12" s="4">
        <f>IF(香港新定位结果!M12&lt;=0,0,1)</f>
        <v>0</v>
      </c>
      <c r="N12" s="4">
        <f>IF(香港新定位结果!N12&lt;=0,0,1)</f>
        <v>1</v>
      </c>
      <c r="O12" s="4">
        <f>IF(香港新定位结果!O12&lt;=0,0,1)</f>
        <v>0</v>
      </c>
    </row>
    <row r="13" spans="1:15">
      <c r="A13" s="4" t="s">
        <v>91</v>
      </c>
      <c r="B13" s="4">
        <f>IF(香港新定位结果!B13&lt;=0,0,1)</f>
        <v>1</v>
      </c>
      <c r="C13" s="4">
        <f>IF(香港新定位结果!C13&lt;=0,0,1)</f>
        <v>0</v>
      </c>
      <c r="D13" s="4">
        <f>IF(香港新定位结果!D13&lt;=0,0,1)</f>
        <v>1</v>
      </c>
      <c r="E13" s="4">
        <f>IF(香港新定位结果!E13&lt;=0,0,1)</f>
        <v>0</v>
      </c>
      <c r="F13" s="4">
        <f>IF(香港新定位结果!F13&lt;=0,0,1)</f>
        <v>0</v>
      </c>
      <c r="G13" s="4">
        <f>IF(香港新定位结果!G13&lt;=0,0,1)</f>
        <v>1</v>
      </c>
      <c r="H13" s="4">
        <f>IF(香港新定位结果!H13&lt;=0,0,1)</f>
        <v>1</v>
      </c>
      <c r="I13" s="4">
        <f>IF(香港新定位结果!I13&lt;=0,0,1)</f>
        <v>1</v>
      </c>
      <c r="J13" s="4">
        <f>IF(香港新定位结果!J13&lt;=0,0,1)</f>
        <v>1</v>
      </c>
      <c r="K13" s="4">
        <f>IF(香港新定位结果!K13&lt;=0,0,1)</f>
        <v>0</v>
      </c>
      <c r="L13" s="4">
        <f>IF(香港新定位结果!L13&lt;=0,0,1)</f>
        <v>0</v>
      </c>
      <c r="M13" s="4">
        <f>IF(香港新定位结果!M13&lt;=0,0,1)</f>
        <v>1</v>
      </c>
      <c r="N13" s="4">
        <f>IF(香港新定位结果!N13&lt;=0,0,1)</f>
        <v>0</v>
      </c>
      <c r="O13" s="4">
        <f>IF(香港新定位结果!O13&lt;=0,0,1)</f>
        <v>0</v>
      </c>
    </row>
    <row r="14" spans="1:15">
      <c r="A14" s="4" t="s">
        <v>97</v>
      </c>
      <c r="B14" s="4">
        <f>IF(香港新定位结果!B14&lt;=0,0,1)</f>
        <v>1</v>
      </c>
      <c r="C14" s="4">
        <f>IF(香港新定位结果!C14&lt;=0,0,1)</f>
        <v>1</v>
      </c>
      <c r="D14" s="4">
        <f>IF(香港新定位结果!D14&lt;=0,0,1)</f>
        <v>1</v>
      </c>
      <c r="E14" s="4">
        <f>IF(香港新定位结果!E14&lt;=0,0,1)</f>
        <v>0</v>
      </c>
      <c r="F14" s="4">
        <f>IF(香港新定位结果!F14&lt;=0,0,1)</f>
        <v>0</v>
      </c>
      <c r="G14" s="4">
        <f>IF(香港新定位结果!G14&lt;=0,0,1)</f>
        <v>1</v>
      </c>
      <c r="H14" s="4">
        <f>IF(香港新定位结果!H14&lt;=0,0,1)</f>
        <v>1</v>
      </c>
      <c r="I14" s="4">
        <f>IF(香港新定位结果!I14&lt;=0,0,1)</f>
        <v>1</v>
      </c>
      <c r="J14" s="4">
        <f>IF(香港新定位结果!J14&lt;=0,0,1)</f>
        <v>0</v>
      </c>
      <c r="K14" s="4">
        <f>IF(香港新定位结果!K14&lt;=0,0,1)</f>
        <v>1</v>
      </c>
      <c r="L14" s="4">
        <f>IF(香港新定位结果!L14&lt;=0,0,1)</f>
        <v>1</v>
      </c>
      <c r="M14" s="4">
        <f>IF(香港新定位结果!M14&lt;=0,0,1)</f>
        <v>0</v>
      </c>
      <c r="N14" s="4">
        <f>IF(香港新定位结果!N14&lt;=0,0,1)</f>
        <v>1</v>
      </c>
      <c r="O14" s="4">
        <f>IF(香港新定位结果!O14&lt;=0,0,1)</f>
        <v>0</v>
      </c>
    </row>
    <row r="15" spans="1:15">
      <c r="A15" s="4" t="s">
        <v>101</v>
      </c>
      <c r="B15" s="4">
        <f>IF(香港新定位结果!B15&lt;=0,0,1)</f>
        <v>0</v>
      </c>
      <c r="C15" s="4">
        <f>IF(香港新定位结果!C15&lt;=0,0,1)</f>
        <v>0</v>
      </c>
      <c r="D15" s="4">
        <f>IF(香港新定位结果!D15&lt;=0,0,1)</f>
        <v>0</v>
      </c>
      <c r="E15" s="4">
        <f>IF(香港新定位结果!E15&lt;=0,0,1)</f>
        <v>1</v>
      </c>
      <c r="F15" s="4">
        <f>IF(香港新定位结果!F15&lt;=0,0,1)</f>
        <v>0</v>
      </c>
      <c r="G15" s="4">
        <f>IF(香港新定位结果!G15&lt;=0,0,1)</f>
        <v>1</v>
      </c>
      <c r="H15" s="4">
        <f>IF(香港新定位结果!H15&lt;=0,0,1)</f>
        <v>0</v>
      </c>
      <c r="I15" s="4">
        <f>IF(香港新定位结果!I15&lt;=0,0,1)</f>
        <v>1</v>
      </c>
      <c r="J15" s="4">
        <f>IF(香港新定位结果!J15&lt;=0,0,1)</f>
        <v>0</v>
      </c>
      <c r="K15" s="4">
        <f>IF(香港新定位结果!K15&lt;=0,0,1)</f>
        <v>0</v>
      </c>
      <c r="L15" s="4">
        <f>IF(香港新定位结果!L15&lt;=0,0,1)</f>
        <v>0</v>
      </c>
      <c r="M15" s="4">
        <f>IF(香港新定位结果!M15&lt;=0,0,1)</f>
        <v>1</v>
      </c>
      <c r="N15" s="4">
        <f>IF(香港新定位结果!N15&lt;=0,0,1)</f>
        <v>0</v>
      </c>
      <c r="O15" s="4">
        <f>IF(香港新定位结果!O15&lt;=0,0,1)</f>
        <v>0</v>
      </c>
    </row>
    <row r="16" spans="1:15">
      <c r="A16" s="4" t="s">
        <v>105</v>
      </c>
      <c r="B16" s="4">
        <f>IF(香港新定位结果!B16&lt;=0,0,1)</f>
        <v>0</v>
      </c>
      <c r="C16" s="4">
        <f>IF(香港新定位结果!C16&lt;=0,0,1)</f>
        <v>1</v>
      </c>
      <c r="D16" s="4">
        <f>IF(香港新定位结果!D16&lt;=0,0,1)</f>
        <v>0</v>
      </c>
      <c r="E16" s="4">
        <f>IF(香港新定位结果!E16&lt;=0,0,1)</f>
        <v>1</v>
      </c>
      <c r="F16" s="4">
        <f>IF(香港新定位结果!F16&lt;=0,0,1)</f>
        <v>1</v>
      </c>
      <c r="G16" s="4">
        <f>IF(香港新定位结果!G16&lt;=0,0,1)</f>
        <v>0</v>
      </c>
      <c r="H16" s="4">
        <f>IF(香港新定位结果!H16&lt;=0,0,1)</f>
        <v>1</v>
      </c>
      <c r="I16" s="4">
        <f>IF(香港新定位结果!I16&lt;=0,0,1)</f>
        <v>1</v>
      </c>
      <c r="J16" s="4">
        <f>IF(香港新定位结果!J16&lt;=0,0,1)</f>
        <v>0</v>
      </c>
      <c r="K16" s="4">
        <f>IF(香港新定位结果!K16&lt;=0,0,1)</f>
        <v>0</v>
      </c>
      <c r="L16" s="4">
        <f>IF(香港新定位结果!L16&lt;=0,0,1)</f>
        <v>1</v>
      </c>
      <c r="M16" s="4">
        <f>IF(香港新定位结果!M16&lt;=0,0,1)</f>
        <v>0</v>
      </c>
      <c r="N16" s="4">
        <f>IF(香港新定位结果!N16&lt;=0,0,1)</f>
        <v>1</v>
      </c>
      <c r="O16" s="4">
        <f>IF(香港新定位结果!O16&lt;=0,0,1)</f>
        <v>1</v>
      </c>
    </row>
    <row r="17" spans="1:15">
      <c r="A17" s="4" t="s">
        <v>111</v>
      </c>
      <c r="B17" s="4">
        <f>IF(香港新定位结果!B17&lt;=0,0,1)</f>
        <v>0</v>
      </c>
      <c r="C17" s="4">
        <f>IF(香港新定位结果!C17&lt;=0,0,1)</f>
        <v>1</v>
      </c>
      <c r="D17" s="4">
        <f>IF(香港新定位结果!D17&lt;=0,0,1)</f>
        <v>0</v>
      </c>
      <c r="E17" s="4">
        <f>IF(香港新定位结果!E17&lt;=0,0,1)</f>
        <v>1</v>
      </c>
      <c r="F17" s="4">
        <f>IF(香港新定位结果!F17&lt;=0,0,1)</f>
        <v>0</v>
      </c>
      <c r="G17" s="4">
        <f>IF(香港新定位结果!G17&lt;=0,0,1)</f>
        <v>0</v>
      </c>
      <c r="H17" s="4">
        <f>IF(香港新定位结果!H17&lt;=0,0,1)</f>
        <v>0</v>
      </c>
      <c r="I17" s="4">
        <f>IF(香港新定位结果!I17&lt;=0,0,1)</f>
        <v>1</v>
      </c>
      <c r="J17" s="4">
        <f>IF(香港新定位结果!J17&lt;=0,0,1)</f>
        <v>1</v>
      </c>
      <c r="K17" s="4">
        <f>IF(香港新定位结果!K17&lt;=0,0,1)</f>
        <v>0</v>
      </c>
      <c r="L17" s="4">
        <f>IF(香港新定位结果!L17&lt;=0,0,1)</f>
        <v>0</v>
      </c>
      <c r="M17" s="4">
        <f>IF(香港新定位结果!M17&lt;=0,0,1)</f>
        <v>0</v>
      </c>
      <c r="N17" s="4">
        <f>IF(香港新定位结果!N17&lt;=0,0,1)</f>
        <v>0</v>
      </c>
      <c r="O17" s="4">
        <f>IF(香港新定位结果!O17&lt;=0,0,1)</f>
        <v>0</v>
      </c>
    </row>
    <row r="18" spans="1:15">
      <c r="A18" s="4" t="s">
        <v>115</v>
      </c>
      <c r="B18" s="4">
        <f>IF(香港新定位结果!B18&lt;=0,0,1)</f>
        <v>1</v>
      </c>
      <c r="C18" s="4">
        <f>IF(香港新定位结果!C18&lt;=0,0,1)</f>
        <v>1</v>
      </c>
      <c r="D18" s="4">
        <f>IF(香港新定位结果!D18&lt;=0,0,1)</f>
        <v>1</v>
      </c>
      <c r="E18" s="4">
        <f>IF(香港新定位结果!E18&lt;=0,0,1)</f>
        <v>0</v>
      </c>
      <c r="F18" s="4">
        <f>IF(香港新定位结果!F18&lt;=0,0,1)</f>
        <v>1</v>
      </c>
      <c r="G18" s="4">
        <f>IF(香港新定位结果!G18&lt;=0,0,1)</f>
        <v>0</v>
      </c>
      <c r="H18" s="4">
        <f>IF(香港新定位结果!H18&lt;=0,0,1)</f>
        <v>1</v>
      </c>
      <c r="I18" s="4">
        <f>IF(香港新定位结果!I18&lt;=0,0,1)</f>
        <v>1</v>
      </c>
      <c r="J18" s="4">
        <f>IF(香港新定位结果!J18&lt;=0,0,1)</f>
        <v>0</v>
      </c>
      <c r="K18" s="4">
        <f>IF(香港新定位结果!K18&lt;=0,0,1)</f>
        <v>1</v>
      </c>
      <c r="L18" s="4">
        <f>IF(香港新定位结果!L18&lt;=0,0,1)</f>
        <v>0</v>
      </c>
      <c r="M18" s="4">
        <f>IF(香港新定位结果!M18&lt;=0,0,1)</f>
        <v>1</v>
      </c>
      <c r="N18" s="4">
        <f>IF(香港新定位结果!N18&lt;=0,0,1)</f>
        <v>0</v>
      </c>
      <c r="O18" s="4">
        <f>IF(香港新定位结果!O18&lt;=0,0,1)</f>
        <v>0</v>
      </c>
    </row>
    <row r="19" spans="1:15">
      <c r="A19" s="4" t="s">
        <v>119</v>
      </c>
      <c r="B19" s="4">
        <f>IF(香港新定位结果!B19&lt;=0,0,1)</f>
        <v>1</v>
      </c>
      <c r="C19" s="4">
        <f>IF(香港新定位结果!C19&lt;=0,0,1)</f>
        <v>1</v>
      </c>
      <c r="D19" s="4">
        <f>IF(香港新定位结果!D19&lt;=0,0,1)</f>
        <v>1</v>
      </c>
      <c r="E19" s="4">
        <f>IF(香港新定位结果!E19&lt;=0,0,1)</f>
        <v>1</v>
      </c>
      <c r="F19" s="4">
        <f>IF(香港新定位结果!F19&lt;=0,0,1)</f>
        <v>1</v>
      </c>
      <c r="G19" s="4">
        <f>IF(香港新定位结果!G19&lt;=0,0,1)</f>
        <v>0</v>
      </c>
      <c r="H19" s="4">
        <f>IF(香港新定位结果!H19&lt;=0,0,1)</f>
        <v>0</v>
      </c>
      <c r="I19" s="4">
        <f>IF(香港新定位结果!I19&lt;=0,0,1)</f>
        <v>1</v>
      </c>
      <c r="J19" s="4">
        <f>IF(香港新定位结果!J19&lt;=0,0,1)</f>
        <v>0</v>
      </c>
      <c r="K19" s="4">
        <f>IF(香港新定位结果!K19&lt;=0,0,1)</f>
        <v>1</v>
      </c>
      <c r="L19" s="4">
        <f>IF(香港新定位结果!L19&lt;=0,0,1)</f>
        <v>1</v>
      </c>
      <c r="M19" s="4">
        <f>IF(香港新定位结果!M19&lt;=0,0,1)</f>
        <v>0</v>
      </c>
      <c r="N19" s="4">
        <f>IF(香港新定位结果!N19&lt;=0,0,1)</f>
        <v>1</v>
      </c>
      <c r="O19" s="4">
        <f>IF(香港新定位结果!O19&lt;=0,0,1)</f>
        <v>1</v>
      </c>
    </row>
    <row r="20" spans="1:15">
      <c r="A20" s="4" t="s">
        <v>125</v>
      </c>
      <c r="B20" s="4">
        <f>IF(香港新定位结果!B20&lt;=0,0,1)</f>
        <v>1</v>
      </c>
      <c r="C20" s="4">
        <f>IF(香港新定位结果!C20&lt;=0,0,1)</f>
        <v>0</v>
      </c>
      <c r="D20" s="4">
        <f>IF(香港新定位结果!D20&lt;=0,0,1)</f>
        <v>1</v>
      </c>
      <c r="E20" s="4">
        <f>IF(香港新定位结果!E20&lt;=0,0,1)</f>
        <v>1</v>
      </c>
      <c r="F20" s="4">
        <f>IF(香港新定位结果!F20&lt;=0,0,1)</f>
        <v>0</v>
      </c>
      <c r="G20" s="4">
        <f>IF(香港新定位结果!G20&lt;=0,0,1)</f>
        <v>0</v>
      </c>
      <c r="H20" s="4">
        <f>IF(香港新定位结果!H20&lt;=0,0,1)</f>
        <v>0</v>
      </c>
      <c r="I20" s="4">
        <f>IF(香港新定位结果!I20&lt;=0,0,1)</f>
        <v>1</v>
      </c>
      <c r="J20" s="4">
        <f>IF(香港新定位结果!J20&lt;=0,0,1)</f>
        <v>0</v>
      </c>
      <c r="K20" s="4">
        <f>IF(香港新定位结果!K20&lt;=0,0,1)</f>
        <v>0</v>
      </c>
      <c r="L20" s="4">
        <f>IF(香港新定位结果!L20&lt;=0,0,1)</f>
        <v>1</v>
      </c>
      <c r="M20" s="4">
        <f>IF(香港新定位结果!M20&lt;=0,0,1)</f>
        <v>1</v>
      </c>
      <c r="N20" s="4">
        <f>IF(香港新定位结果!N20&lt;=0,0,1)</f>
        <v>1</v>
      </c>
      <c r="O20" s="4">
        <f>IF(香港新定位结果!O20&lt;=0,0,1)</f>
        <v>1</v>
      </c>
    </row>
    <row r="21" spans="1:15">
      <c r="A21" s="4" t="s">
        <v>129</v>
      </c>
      <c r="B21" s="4">
        <f>IF(香港新定位结果!B21&lt;=0,0,1)</f>
        <v>0</v>
      </c>
      <c r="C21" s="4">
        <f>IF(香港新定位结果!C21&lt;=0,0,1)</f>
        <v>1</v>
      </c>
      <c r="D21" s="4">
        <f>IF(香港新定位结果!D21&lt;=0,0,1)</f>
        <v>0</v>
      </c>
      <c r="E21" s="4">
        <f>IF(香港新定位结果!E21&lt;=0,0,1)</f>
        <v>1</v>
      </c>
      <c r="F21" s="4">
        <f>IF(香港新定位结果!F21&lt;=0,0,1)</f>
        <v>1</v>
      </c>
      <c r="G21" s="4">
        <f>IF(香港新定位结果!G21&lt;=0,0,1)</f>
        <v>0</v>
      </c>
      <c r="H21" s="4">
        <f>IF(香港新定位结果!H21&lt;=0,0,1)</f>
        <v>0</v>
      </c>
      <c r="I21" s="4">
        <f>IF(香港新定位结果!I21&lt;=0,0,1)</f>
        <v>1</v>
      </c>
      <c r="J21" s="4">
        <f>IF(香港新定位结果!J21&lt;=0,0,1)</f>
        <v>1</v>
      </c>
      <c r="K21" s="4">
        <f>IF(香港新定位结果!K21&lt;=0,0,1)</f>
        <v>1</v>
      </c>
      <c r="L21" s="4">
        <f>IF(香港新定位结果!L21&lt;=0,0,1)</f>
        <v>1</v>
      </c>
      <c r="M21" s="4">
        <f>IF(香港新定位结果!M21&lt;=0,0,1)</f>
        <v>0</v>
      </c>
      <c r="N21" s="4">
        <f>IF(香港新定位结果!N21&lt;=0,0,1)</f>
        <v>0</v>
      </c>
      <c r="O21" s="4">
        <f>IF(香港新定位结果!O21&lt;=0,0,1)</f>
        <v>1</v>
      </c>
    </row>
    <row r="22" spans="1:15">
      <c r="A22" s="4" t="s">
        <v>133</v>
      </c>
      <c r="B22" s="4">
        <f>IF(香港新定位结果!B22&lt;=0,0,1)</f>
        <v>1</v>
      </c>
      <c r="C22" s="4">
        <f>IF(香港新定位结果!C22&lt;=0,0,1)</f>
        <v>1</v>
      </c>
      <c r="D22" s="4">
        <f>IF(香港新定位结果!D22&lt;=0,0,1)</f>
        <v>0</v>
      </c>
      <c r="E22" s="4">
        <f>IF(香港新定位结果!E22&lt;=0,0,1)</f>
        <v>0</v>
      </c>
      <c r="F22" s="4">
        <f>IF(香港新定位结果!F22&lt;=0,0,1)</f>
        <v>1</v>
      </c>
      <c r="G22" s="4">
        <f>IF(香港新定位结果!G22&lt;=0,0,1)</f>
        <v>1</v>
      </c>
      <c r="H22" s="4">
        <f>IF(香港新定位结果!H22&lt;=0,0,1)</f>
        <v>0</v>
      </c>
      <c r="I22" s="4">
        <f>IF(香港新定位结果!I22&lt;=0,0,1)</f>
        <v>1</v>
      </c>
      <c r="J22" s="4">
        <f>IF(香港新定位结果!J22&lt;=0,0,1)</f>
        <v>0</v>
      </c>
      <c r="K22" s="4">
        <f>IF(香港新定位结果!K22&lt;=0,0,1)</f>
        <v>1</v>
      </c>
      <c r="L22" s="4">
        <f>IF(香港新定位结果!L22&lt;=0,0,1)</f>
        <v>1</v>
      </c>
      <c r="M22" s="4">
        <f>IF(香港新定位结果!M22&lt;=0,0,1)</f>
        <v>1</v>
      </c>
      <c r="N22" s="4">
        <f>IF(香港新定位结果!N22&lt;=0,0,1)</f>
        <v>0</v>
      </c>
      <c r="O22" s="4">
        <f>IF(香港新定位结果!O22&lt;=0,0,1)</f>
        <v>1</v>
      </c>
    </row>
    <row r="23" spans="1:15">
      <c r="A23" s="4" t="s">
        <v>139</v>
      </c>
      <c r="B23" s="4">
        <f>IF(香港新定位结果!B23&lt;=0,0,1)</f>
        <v>1</v>
      </c>
      <c r="C23" s="4">
        <f>IF(香港新定位结果!C23&lt;=0,0,1)</f>
        <v>1</v>
      </c>
      <c r="D23" s="4">
        <f>IF(香港新定位结果!D23&lt;=0,0,1)</f>
        <v>0</v>
      </c>
      <c r="E23" s="4">
        <f>IF(香港新定位结果!E23&lt;=0,0,1)</f>
        <v>0</v>
      </c>
      <c r="F23" s="4">
        <f>IF(香港新定位结果!F23&lt;=0,0,1)</f>
        <v>1</v>
      </c>
      <c r="G23" s="4">
        <f>IF(香港新定位结果!G23&lt;=0,0,1)</f>
        <v>1</v>
      </c>
      <c r="H23" s="4">
        <f>IF(香港新定位结果!H23&lt;=0,0,1)</f>
        <v>0</v>
      </c>
      <c r="I23" s="4">
        <f>IF(香港新定位结果!I23&lt;=0,0,1)</f>
        <v>1</v>
      </c>
      <c r="J23" s="4">
        <f>IF(香港新定位结果!J23&lt;=0,0,1)</f>
        <v>1</v>
      </c>
      <c r="K23" s="4">
        <f>IF(香港新定位结果!K23&lt;=0,0,1)</f>
        <v>1</v>
      </c>
      <c r="L23" s="4">
        <f>IF(香港新定位结果!L23&lt;=0,0,1)</f>
        <v>1</v>
      </c>
      <c r="M23" s="4">
        <f>IF(香港新定位结果!M23&lt;=0,0,1)</f>
        <v>1</v>
      </c>
      <c r="N23" s="4">
        <f>IF(香港新定位结果!N23&lt;=0,0,1)</f>
        <v>1</v>
      </c>
      <c r="O23" s="4">
        <f>IF(香港新定位结果!O23&lt;=0,0,1)</f>
        <v>1</v>
      </c>
    </row>
    <row r="24" spans="1:15">
      <c r="A24" s="4" t="s">
        <v>143</v>
      </c>
      <c r="B24" s="4">
        <f>IF(香港新定位结果!B24&lt;=0,0,1)</f>
        <v>1</v>
      </c>
      <c r="C24" s="4">
        <f>IF(香港新定位结果!C24&lt;=0,0,1)</f>
        <v>1</v>
      </c>
      <c r="D24" s="4">
        <f>IF(香港新定位结果!D24&lt;=0,0,1)</f>
        <v>0</v>
      </c>
      <c r="E24" s="4">
        <f>IF(香港新定位结果!E24&lt;=0,0,1)</f>
        <v>0</v>
      </c>
      <c r="F24" s="4">
        <f>IF(香港新定位结果!F24&lt;=0,0,1)</f>
        <v>1</v>
      </c>
      <c r="G24" s="4">
        <f>IF(香港新定位结果!G24&lt;=0,0,1)</f>
        <v>1</v>
      </c>
      <c r="H24" s="4">
        <f>IF(香港新定位结果!H24&lt;=0,0,1)</f>
        <v>0</v>
      </c>
      <c r="I24" s="4">
        <f>IF(香港新定位结果!I24&lt;=0,0,1)</f>
        <v>1</v>
      </c>
      <c r="J24" s="4">
        <f>IF(香港新定位结果!J24&lt;=0,0,1)</f>
        <v>1</v>
      </c>
      <c r="K24" s="4">
        <f>IF(香港新定位结果!K24&lt;=0,0,1)</f>
        <v>1</v>
      </c>
      <c r="L24" s="4">
        <f>IF(香港新定位结果!L24&lt;=0,0,1)</f>
        <v>1</v>
      </c>
      <c r="M24" s="4">
        <f>IF(香港新定位结果!M24&lt;=0,0,1)</f>
        <v>0</v>
      </c>
      <c r="N24" s="4">
        <f>IF(香港新定位结果!N24&lt;=0,0,1)</f>
        <v>0</v>
      </c>
      <c r="O24" s="4">
        <f>IF(香港新定位结果!O24&lt;=0,0,1)</f>
        <v>1</v>
      </c>
    </row>
    <row r="25" spans="1:15">
      <c r="A25" s="4" t="s">
        <v>147</v>
      </c>
      <c r="B25" s="4">
        <f>IF(香港新定位结果!B25&lt;=0,0,1)</f>
        <v>0</v>
      </c>
      <c r="C25" s="4">
        <f>IF(香港新定位结果!C25&lt;=0,0,1)</f>
        <v>0</v>
      </c>
      <c r="D25" s="4">
        <f>IF(香港新定位结果!D25&lt;=0,0,1)</f>
        <v>1</v>
      </c>
      <c r="E25" s="4">
        <f>IF(香港新定位结果!E25&lt;=0,0,1)</f>
        <v>1</v>
      </c>
      <c r="F25" s="4">
        <f>IF(香港新定位结果!F25&lt;=0,0,1)</f>
        <v>1</v>
      </c>
      <c r="G25" s="4">
        <f>IF(香港新定位结果!G25&lt;=0,0,1)</f>
        <v>0</v>
      </c>
      <c r="H25" s="4">
        <f>IF(香港新定位结果!H25&lt;=0,0,1)</f>
        <v>1</v>
      </c>
      <c r="I25" s="4">
        <f>IF(香港新定位结果!I25&lt;=0,0,1)</f>
        <v>1</v>
      </c>
      <c r="J25" s="4">
        <f>IF(香港新定位结果!J25&lt;=0,0,1)</f>
        <v>0</v>
      </c>
      <c r="K25" s="4">
        <f>IF(香港新定位结果!K25&lt;=0,0,1)</f>
        <v>1</v>
      </c>
      <c r="L25" s="4">
        <f>IF(香港新定位结果!L25&lt;=0,0,1)</f>
        <v>0</v>
      </c>
      <c r="M25" s="4">
        <f>IF(香港新定位结果!M25&lt;=0,0,1)</f>
        <v>0</v>
      </c>
      <c r="N25" s="4">
        <f>IF(香港新定位结果!N25&lt;=0,0,1)</f>
        <v>1</v>
      </c>
      <c r="O25" s="4">
        <f>IF(香港新定位结果!O25&lt;=0,0,1)</f>
        <v>1</v>
      </c>
    </row>
    <row r="26" spans="1:15">
      <c r="A26" s="4" t="s">
        <v>153</v>
      </c>
      <c r="B26" s="4">
        <f>IF(香港新定位结果!B26&lt;=0,0,1)</f>
        <v>0</v>
      </c>
      <c r="C26" s="4">
        <f>IF(香港新定位结果!C26&lt;=0,0,1)</f>
        <v>1</v>
      </c>
      <c r="D26" s="4">
        <f>IF(香港新定位结果!D26&lt;=0,0,1)</f>
        <v>0</v>
      </c>
      <c r="E26" s="4">
        <f>IF(香港新定位结果!E26&lt;=0,0,1)</f>
        <v>0</v>
      </c>
      <c r="F26" s="4">
        <f>IF(香港新定位结果!F26&lt;=0,0,1)</f>
        <v>0</v>
      </c>
      <c r="G26" s="4">
        <f>IF(香港新定位结果!G26&lt;=0,0,1)</f>
        <v>0</v>
      </c>
      <c r="H26" s="4">
        <f>IF(香港新定位结果!H26&lt;=0,0,1)</f>
        <v>1</v>
      </c>
      <c r="I26" s="4">
        <f>IF(香港新定位结果!I26&lt;=0,0,1)</f>
        <v>1</v>
      </c>
      <c r="J26" s="4">
        <f>IF(香港新定位结果!J26&lt;=0,0,1)</f>
        <v>0</v>
      </c>
      <c r="K26" s="4">
        <f>IF(香港新定位结果!K26&lt;=0,0,1)</f>
        <v>0</v>
      </c>
      <c r="L26" s="4">
        <f>IF(香港新定位结果!L26&lt;=0,0,1)</f>
        <v>1</v>
      </c>
      <c r="M26" s="4">
        <f>IF(香港新定位结果!M26&lt;=0,0,1)</f>
        <v>0</v>
      </c>
      <c r="N26" s="4">
        <f>IF(香港新定位结果!N26&lt;=0,0,1)</f>
        <v>1</v>
      </c>
      <c r="O26" s="4">
        <f>IF(香港新定位结果!O26&lt;=0,0,1)</f>
        <v>1</v>
      </c>
    </row>
    <row r="27" spans="1:15">
      <c r="A27" s="4" t="s">
        <v>157</v>
      </c>
      <c r="B27" s="4">
        <f>IF(香港新定位结果!B27&lt;=0,0,1)</f>
        <v>0</v>
      </c>
      <c r="C27" s="4">
        <f>IF(香港新定位结果!C27&lt;=0,0,1)</f>
        <v>1</v>
      </c>
      <c r="D27" s="4">
        <f>IF(香港新定位结果!D27&lt;=0,0,1)</f>
        <v>1</v>
      </c>
      <c r="E27" s="4">
        <f>IF(香港新定位结果!E27&lt;=0,0,1)</f>
        <v>0</v>
      </c>
      <c r="F27" s="4">
        <f>IF(香港新定位结果!F27&lt;=0,0,1)</f>
        <v>0</v>
      </c>
      <c r="G27" s="4">
        <f>IF(香港新定位结果!G27&lt;=0,0,1)</f>
        <v>0</v>
      </c>
      <c r="H27" s="4">
        <f>IF(香港新定位结果!H27&lt;=0,0,1)</f>
        <v>1</v>
      </c>
      <c r="I27" s="4">
        <f>IF(香港新定位结果!I27&lt;=0,0,1)</f>
        <v>1</v>
      </c>
      <c r="J27" s="4">
        <f>IF(香港新定位结果!J27&lt;=0,0,1)</f>
        <v>0</v>
      </c>
      <c r="K27" s="4">
        <f>IF(香港新定位结果!K27&lt;=0,0,1)</f>
        <v>0</v>
      </c>
      <c r="L27" s="4">
        <f>IF(香港新定位结果!L27&lt;=0,0,1)</f>
        <v>1</v>
      </c>
      <c r="M27" s="4">
        <f>IF(香港新定位结果!M27&lt;=0,0,1)</f>
        <v>0</v>
      </c>
      <c r="N27" s="4">
        <f>IF(香港新定位结果!N27&lt;=0,0,1)</f>
        <v>0</v>
      </c>
      <c r="O27" s="4">
        <f>IF(香港新定位结果!O27&lt;=0,0,1)</f>
        <v>1</v>
      </c>
    </row>
    <row r="28" spans="1:15">
      <c r="A28" s="4" t="s">
        <v>163</v>
      </c>
      <c r="B28" s="4">
        <f>IF(香港新定位结果!B28&lt;=0,0,1)</f>
        <v>1</v>
      </c>
      <c r="C28" s="4">
        <f>IF(香港新定位结果!C28&lt;=0,0,1)</f>
        <v>1</v>
      </c>
      <c r="D28" s="4">
        <f>IF(香港新定位结果!D28&lt;=0,0,1)</f>
        <v>0</v>
      </c>
      <c r="E28" s="4">
        <f>IF(香港新定位结果!E28&lt;=0,0,1)</f>
        <v>0</v>
      </c>
      <c r="F28" s="4">
        <f>IF(香港新定位结果!F28&lt;=0,0,1)</f>
        <v>1</v>
      </c>
      <c r="G28" s="4">
        <f>IF(香港新定位结果!G28&lt;=0,0,1)</f>
        <v>1</v>
      </c>
      <c r="H28" s="4">
        <f>IF(香港新定位结果!H28&lt;=0,0,1)</f>
        <v>1</v>
      </c>
      <c r="I28" s="4">
        <f>IF(香港新定位结果!I28&lt;=0,0,1)</f>
        <v>1</v>
      </c>
      <c r="J28" s="4">
        <f>IF(香港新定位结果!J28&lt;=0,0,1)</f>
        <v>1</v>
      </c>
      <c r="K28" s="4">
        <f>IF(香港新定位结果!K28&lt;=0,0,1)</f>
        <v>0</v>
      </c>
      <c r="L28" s="4">
        <f>IF(香港新定位结果!L28&lt;=0,0,1)</f>
        <v>1</v>
      </c>
      <c r="M28" s="4">
        <f>IF(香港新定位结果!M28&lt;=0,0,1)</f>
        <v>0</v>
      </c>
      <c r="N28" s="4">
        <f>IF(香港新定位结果!N28&lt;=0,0,1)</f>
        <v>0</v>
      </c>
      <c r="O28" s="4">
        <f>IF(香港新定位结果!O28&lt;=0,0,1)</f>
        <v>1</v>
      </c>
    </row>
    <row r="29" spans="1:15">
      <c r="A29" s="4" t="s">
        <v>167</v>
      </c>
      <c r="B29" s="4">
        <f>IF(香港新定位结果!B29&lt;=0,0,1)</f>
        <v>0</v>
      </c>
      <c r="C29" s="4">
        <f>IF(香港新定位结果!C29&lt;=0,0,1)</f>
        <v>1</v>
      </c>
      <c r="D29" s="4">
        <f>IF(香港新定位结果!D29&lt;=0,0,1)</f>
        <v>0</v>
      </c>
      <c r="E29" s="4">
        <f>IF(香港新定位结果!E29&lt;=0,0,1)</f>
        <v>1</v>
      </c>
      <c r="F29" s="4">
        <f>IF(香港新定位结果!F29&lt;=0,0,1)</f>
        <v>0</v>
      </c>
      <c r="G29" s="4">
        <f>IF(香港新定位结果!G29&lt;=0,0,1)</f>
        <v>1</v>
      </c>
      <c r="H29" s="4">
        <f>IF(香港新定位结果!H29&lt;=0,0,1)</f>
        <v>0</v>
      </c>
      <c r="I29" s="4">
        <f>IF(香港新定位结果!I29&lt;=0,0,1)</f>
        <v>1</v>
      </c>
      <c r="J29" s="4">
        <f>IF(香港新定位结果!J29&lt;=0,0,1)</f>
        <v>0</v>
      </c>
      <c r="K29" s="4">
        <f>IF(香港新定位结果!K29&lt;=0,0,1)</f>
        <v>0</v>
      </c>
      <c r="L29" s="4">
        <f>IF(香港新定位结果!L29&lt;=0,0,1)</f>
        <v>0</v>
      </c>
      <c r="M29" s="4">
        <f>IF(香港新定位结果!M29&lt;=0,0,1)</f>
        <v>0</v>
      </c>
      <c r="N29" s="4">
        <f>IF(香港新定位结果!N29&lt;=0,0,1)</f>
        <v>0</v>
      </c>
      <c r="O29" s="4">
        <f>IF(香港新定位结果!O29&lt;=0,0,1)</f>
        <v>1</v>
      </c>
    </row>
    <row r="30" spans="1:15">
      <c r="A30" s="4" t="s">
        <v>171</v>
      </c>
      <c r="B30" s="4">
        <f>IF(香港新定位结果!B30&lt;=0,0,1)</f>
        <v>0</v>
      </c>
      <c r="C30" s="4">
        <f>IF(香港新定位结果!C30&lt;=0,0,1)</f>
        <v>1</v>
      </c>
      <c r="D30" s="4">
        <f>IF(香港新定位结果!D30&lt;=0,0,1)</f>
        <v>0</v>
      </c>
      <c r="E30" s="4">
        <f>IF(香港新定位结果!E30&lt;=0,0,1)</f>
        <v>1</v>
      </c>
      <c r="F30" s="4">
        <f>IF(香港新定位结果!F30&lt;=0,0,1)</f>
        <v>0</v>
      </c>
      <c r="G30" s="4">
        <f>IF(香港新定位结果!G30&lt;=0,0,1)</f>
        <v>0</v>
      </c>
      <c r="H30" s="4">
        <f>IF(香港新定位结果!H30&lt;=0,0,1)</f>
        <v>0</v>
      </c>
      <c r="I30" s="4">
        <f>IF(香港新定位结果!I30&lt;=0,0,1)</f>
        <v>1</v>
      </c>
      <c r="J30" s="4">
        <f>IF(香港新定位结果!J30&lt;=0,0,1)</f>
        <v>0</v>
      </c>
      <c r="K30" s="4">
        <f>IF(香港新定位结果!K30&lt;=0,0,1)</f>
        <v>1</v>
      </c>
      <c r="L30" s="4">
        <f>IF(香港新定位结果!L30&lt;=0,0,1)</f>
        <v>0</v>
      </c>
      <c r="M30" s="4">
        <f>IF(香港新定位结果!M30&lt;=0,0,1)</f>
        <v>0</v>
      </c>
      <c r="N30" s="4">
        <f>IF(香港新定位结果!N30&lt;=0,0,1)</f>
        <v>0</v>
      </c>
      <c r="O30" s="4">
        <f>IF(香港新定位结果!O30&lt;=0,0,1)</f>
        <v>0</v>
      </c>
    </row>
    <row r="31" spans="1:15">
      <c r="A31" s="4" t="s">
        <v>175</v>
      </c>
      <c r="B31" s="4">
        <f>IF(香港新定位结果!B31&lt;=0,0,1)</f>
        <v>1</v>
      </c>
      <c r="C31" s="4">
        <f>IF(香港新定位结果!C31&lt;=0,0,1)</f>
        <v>1</v>
      </c>
      <c r="D31" s="4">
        <f>IF(香港新定位结果!D31&lt;=0,0,1)</f>
        <v>1</v>
      </c>
      <c r="E31" s="4">
        <f>IF(香港新定位结果!E31&lt;=0,0,1)</f>
        <v>0</v>
      </c>
      <c r="F31" s="4">
        <f>IF(香港新定位结果!F31&lt;=0,0,1)</f>
        <v>0</v>
      </c>
      <c r="G31" s="4">
        <f>IF(香港新定位结果!G31&lt;=0,0,1)</f>
        <v>0</v>
      </c>
      <c r="H31" s="4">
        <f>IF(香港新定位结果!H31&lt;=0,0,1)</f>
        <v>0</v>
      </c>
      <c r="I31" s="4">
        <f>IF(香港新定位结果!I31&lt;=0,0,1)</f>
        <v>1</v>
      </c>
      <c r="J31" s="4">
        <f>IF(香港新定位结果!J31&lt;=0,0,1)</f>
        <v>1</v>
      </c>
      <c r="K31" s="4">
        <f>IF(香港新定位结果!K31&lt;=0,0,1)</f>
        <v>1</v>
      </c>
      <c r="L31" s="4">
        <f>IF(香港新定位结果!L31&lt;=0,0,1)</f>
        <v>0</v>
      </c>
      <c r="M31" s="4">
        <f>IF(香港新定位结果!M31&lt;=0,0,1)</f>
        <v>1</v>
      </c>
      <c r="N31" s="4">
        <f>IF(香港新定位结果!N31&lt;=0,0,1)</f>
        <v>0</v>
      </c>
      <c r="O31" s="4">
        <f>IF(香港新定位结果!O31&lt;=0,0,1)</f>
        <v>1</v>
      </c>
    </row>
    <row r="32" spans="1:15">
      <c r="A32" s="4" t="s">
        <v>181</v>
      </c>
      <c r="B32" s="4">
        <f>IF(香港新定位结果!B32&lt;=0,0,1)</f>
        <v>0</v>
      </c>
      <c r="C32" s="4">
        <f>IF(香港新定位结果!C32&lt;=0,0,1)</f>
        <v>1</v>
      </c>
      <c r="D32" s="4">
        <f>IF(香港新定位结果!D32&lt;=0,0,1)</f>
        <v>1</v>
      </c>
      <c r="E32" s="4">
        <f>IF(香港新定位结果!E32&lt;=0,0,1)</f>
        <v>1</v>
      </c>
      <c r="F32" s="4">
        <f>IF(香港新定位结果!F32&lt;=0,0,1)</f>
        <v>0</v>
      </c>
      <c r="G32" s="4">
        <f>IF(香港新定位结果!G32&lt;=0,0,1)</f>
        <v>0</v>
      </c>
      <c r="H32" s="4">
        <f>IF(香港新定位结果!H32&lt;=0,0,1)</f>
        <v>1</v>
      </c>
      <c r="I32" s="4">
        <f>IF(香港新定位结果!I32&lt;=0,0,1)</f>
        <v>1</v>
      </c>
      <c r="J32" s="4">
        <f>IF(香港新定位结果!J32&lt;=0,0,1)</f>
        <v>1</v>
      </c>
      <c r="K32" s="4">
        <f>IF(香港新定位结果!K32&lt;=0,0,1)</f>
        <v>1</v>
      </c>
      <c r="L32" s="4">
        <f>IF(香港新定位结果!L32&lt;=0,0,1)</f>
        <v>1</v>
      </c>
      <c r="M32" s="4">
        <f>IF(香港新定位结果!M32&lt;=0,0,1)</f>
        <v>1</v>
      </c>
      <c r="N32" s="4">
        <f>IF(香港新定位结果!N32&lt;=0,0,1)</f>
        <v>1</v>
      </c>
      <c r="O32" s="4">
        <f>IF(香港新定位结果!O32&lt;=0,0,1)</f>
        <v>1</v>
      </c>
    </row>
    <row r="33" spans="1:15">
      <c r="A33" s="4" t="s">
        <v>185</v>
      </c>
      <c r="B33" s="4">
        <f>IF(香港新定位结果!B33&lt;=0,0,1)</f>
        <v>0</v>
      </c>
      <c r="C33" s="4">
        <f>IF(香港新定位结果!C33&lt;=0,0,1)</f>
        <v>0</v>
      </c>
      <c r="D33" s="4">
        <f>IF(香港新定位结果!D33&lt;=0,0,1)</f>
        <v>1</v>
      </c>
      <c r="E33" s="4">
        <f>IF(香港新定位结果!E33&lt;=0,0,1)</f>
        <v>1</v>
      </c>
      <c r="F33" s="4">
        <f>IF(香港新定位结果!F33&lt;=0,0,1)</f>
        <v>1</v>
      </c>
      <c r="G33" s="4">
        <f>IF(香港新定位结果!G33&lt;=0,0,1)</f>
        <v>0</v>
      </c>
      <c r="H33" s="4">
        <f>IF(香港新定位结果!H33&lt;=0,0,1)</f>
        <v>0</v>
      </c>
      <c r="I33" s="4">
        <f>IF(香港新定位结果!I33&lt;=0,0,1)</f>
        <v>1</v>
      </c>
      <c r="J33" s="4">
        <f>IF(香港新定位结果!J33&lt;=0,0,1)</f>
        <v>1</v>
      </c>
      <c r="K33" s="4">
        <f>IF(香港新定位结果!K33&lt;=0,0,1)</f>
        <v>1</v>
      </c>
      <c r="L33" s="4">
        <f>IF(香港新定位结果!L33&lt;=0,0,1)</f>
        <v>1</v>
      </c>
      <c r="M33" s="4">
        <f>IF(香港新定位结果!M33&lt;=0,0,1)</f>
        <v>0</v>
      </c>
      <c r="N33" s="4">
        <f>IF(香港新定位结果!N33&lt;=0,0,1)</f>
        <v>1</v>
      </c>
      <c r="O33" s="4">
        <f>IF(香港新定位结果!O33&lt;=0,0,1)</f>
        <v>1</v>
      </c>
    </row>
    <row r="34" spans="1:15">
      <c r="A34" s="4" t="s">
        <v>189</v>
      </c>
      <c r="B34" s="4">
        <f>IF(香港新定位结果!B34&lt;=0,0,1)</f>
        <v>1</v>
      </c>
      <c r="C34" s="4">
        <f>IF(香港新定位结果!C34&lt;=0,0,1)</f>
        <v>1</v>
      </c>
      <c r="D34" s="4">
        <f>IF(香港新定位结果!D34&lt;=0,0,1)</f>
        <v>0</v>
      </c>
      <c r="E34" s="4">
        <f>IF(香港新定位结果!E34&lt;=0,0,1)</f>
        <v>1</v>
      </c>
      <c r="F34" s="4">
        <f>IF(香港新定位结果!F34&lt;=0,0,1)</f>
        <v>1</v>
      </c>
      <c r="G34" s="4">
        <f>IF(香港新定位结果!G34&lt;=0,0,1)</f>
        <v>1</v>
      </c>
      <c r="H34" s="4">
        <f>IF(香港新定位结果!H34&lt;=0,0,1)</f>
        <v>0</v>
      </c>
      <c r="I34" s="4">
        <f>IF(香港新定位结果!I34&lt;=0,0,1)</f>
        <v>1</v>
      </c>
      <c r="J34" s="4">
        <f>IF(香港新定位结果!J34&lt;=0,0,1)</f>
        <v>1</v>
      </c>
      <c r="K34" s="4">
        <f>IF(香港新定位结果!K34&lt;=0,0,1)</f>
        <v>1</v>
      </c>
      <c r="L34" s="4">
        <f>IF(香港新定位结果!L34&lt;=0,0,1)</f>
        <v>1</v>
      </c>
      <c r="M34" s="4">
        <f>IF(香港新定位结果!M34&lt;=0,0,1)</f>
        <v>1</v>
      </c>
      <c r="N34" s="4">
        <f>IF(香港新定位结果!N34&lt;=0,0,1)</f>
        <v>1</v>
      </c>
      <c r="O34" s="4">
        <f>IF(香港新定位结果!O34&lt;=0,0,1)</f>
        <v>1</v>
      </c>
    </row>
    <row r="35" spans="1:15">
      <c r="A35" s="4" t="s">
        <v>195</v>
      </c>
      <c r="B35" s="4">
        <f>IF(香港新定位结果!B35&lt;=0,0,1)</f>
        <v>0</v>
      </c>
      <c r="C35" s="4">
        <f>IF(香港新定位结果!C35&lt;=0,0,1)</f>
        <v>0</v>
      </c>
      <c r="D35" s="4">
        <f>IF(香港新定位结果!D35&lt;=0,0,1)</f>
        <v>1</v>
      </c>
      <c r="E35" s="4">
        <f>IF(香港新定位结果!E35&lt;=0,0,1)</f>
        <v>1</v>
      </c>
      <c r="F35" s="4">
        <f>IF(香港新定位结果!F35&lt;=0,0,1)</f>
        <v>1</v>
      </c>
      <c r="G35" s="4">
        <f>IF(香港新定位结果!G35&lt;=0,0,1)</f>
        <v>0</v>
      </c>
      <c r="H35" s="4">
        <f>IF(香港新定位结果!H35&lt;=0,0,1)</f>
        <v>0</v>
      </c>
      <c r="I35" s="4">
        <f>IF(香港新定位结果!I35&lt;=0,0,1)</f>
        <v>0</v>
      </c>
      <c r="J35" s="4">
        <f>IF(香港新定位结果!J35&lt;=0,0,1)</f>
        <v>0</v>
      </c>
      <c r="K35" s="4">
        <f>IF(香港新定位结果!K35&lt;=0,0,1)</f>
        <v>0</v>
      </c>
      <c r="L35" s="4">
        <f>IF(香港新定位结果!L35&lt;=0,0,1)</f>
        <v>1</v>
      </c>
      <c r="M35" s="4">
        <f>IF(香港新定位结果!M35&lt;=0,0,1)</f>
        <v>0</v>
      </c>
      <c r="N35" s="4">
        <f>IF(香港新定位结果!N35&lt;=0,0,1)</f>
        <v>1</v>
      </c>
      <c r="O35" s="4">
        <f>IF(香港新定位结果!O35&lt;=0,0,1)</f>
        <v>1</v>
      </c>
    </row>
    <row r="36" spans="1:15">
      <c r="A36" s="4" t="s">
        <v>199</v>
      </c>
      <c r="B36" s="4">
        <f>IF(香港新定位结果!B36&lt;=0,0,1)</f>
        <v>1</v>
      </c>
      <c r="C36" s="4">
        <f>IF(香港新定位结果!C36&lt;=0,0,1)</f>
        <v>1</v>
      </c>
      <c r="D36" s="4">
        <f>IF(香港新定位结果!D36&lt;=0,0,1)</f>
        <v>0</v>
      </c>
      <c r="E36" s="4">
        <f>IF(香港新定位结果!E36&lt;=0,0,1)</f>
        <v>1</v>
      </c>
      <c r="F36" s="4">
        <f>IF(香港新定位结果!F36&lt;=0,0,1)</f>
        <v>1</v>
      </c>
      <c r="G36" s="4">
        <f>IF(香港新定位结果!G36&lt;=0,0,1)</f>
        <v>0</v>
      </c>
      <c r="H36" s="4">
        <f>IF(香港新定位结果!H36&lt;=0,0,1)</f>
        <v>0</v>
      </c>
      <c r="I36" s="4">
        <f>IF(香港新定位结果!I36&lt;=0,0,1)</f>
        <v>1</v>
      </c>
      <c r="J36" s="4">
        <f>IF(香港新定位结果!J36&lt;=0,0,1)</f>
        <v>1</v>
      </c>
      <c r="K36" s="4">
        <f>IF(香港新定位结果!K36&lt;=0,0,1)</f>
        <v>1</v>
      </c>
      <c r="L36" s="4">
        <f>IF(香港新定位结果!L36&lt;=0,0,1)</f>
        <v>1</v>
      </c>
      <c r="M36" s="4">
        <f>IF(香港新定位结果!M36&lt;=0,0,1)</f>
        <v>0</v>
      </c>
      <c r="N36" s="4">
        <f>IF(香港新定位结果!N36&lt;=0,0,1)</f>
        <v>0</v>
      </c>
      <c r="O36" s="4">
        <f>IF(香港新定位结果!O36&lt;=0,0,1)</f>
        <v>1</v>
      </c>
    </row>
    <row r="37" spans="1:15">
      <c r="A37" s="4" t="s">
        <v>203</v>
      </c>
      <c r="B37" s="4">
        <f>IF(香港新定位结果!B37&lt;=0,0,1)</f>
        <v>0</v>
      </c>
      <c r="C37" s="4">
        <f>IF(香港新定位结果!C37&lt;=0,0,1)</f>
        <v>1</v>
      </c>
      <c r="D37" s="4">
        <f>IF(香港新定位结果!D37&lt;=0,0,1)</f>
        <v>0</v>
      </c>
      <c r="E37" s="4">
        <f>IF(香港新定位结果!E37&lt;=0,0,1)</f>
        <v>0</v>
      </c>
      <c r="F37" s="4">
        <f>IF(香港新定位结果!F37&lt;=0,0,1)</f>
        <v>1</v>
      </c>
      <c r="G37" s="4">
        <f>IF(香港新定位结果!G37&lt;=0,0,1)</f>
        <v>1</v>
      </c>
      <c r="H37" s="4">
        <f>IF(香港新定位结果!H37&lt;=0,0,1)</f>
        <v>0</v>
      </c>
      <c r="I37" s="4">
        <f>IF(香港新定位结果!I37&lt;=0,0,1)</f>
        <v>1</v>
      </c>
      <c r="J37" s="4">
        <f>IF(香港新定位结果!J37&lt;=0,0,1)</f>
        <v>0</v>
      </c>
      <c r="K37" s="4">
        <f>IF(香港新定位结果!K37&lt;=0,0,1)</f>
        <v>1</v>
      </c>
      <c r="L37" s="4">
        <f>IF(香港新定位结果!L37&lt;=0,0,1)</f>
        <v>1</v>
      </c>
      <c r="M37" s="4">
        <f>IF(香港新定位结果!M37&lt;=0,0,1)</f>
        <v>1</v>
      </c>
      <c r="N37" s="4">
        <f>IF(香港新定位结果!N37&lt;=0,0,1)</f>
        <v>0</v>
      </c>
      <c r="O37" s="4">
        <f>IF(香港新定位结果!O37&lt;=0,0,1)</f>
        <v>1</v>
      </c>
    </row>
    <row r="38" spans="1:15">
      <c r="A38" s="4" t="s">
        <v>209</v>
      </c>
      <c r="B38" s="4">
        <f>IF(香港新定位结果!B38&lt;=0,0,1)</f>
        <v>0</v>
      </c>
      <c r="C38" s="4">
        <f>IF(香港新定位结果!C38&lt;=0,0,1)</f>
        <v>1</v>
      </c>
      <c r="D38" s="4">
        <f>IF(香港新定位结果!D38&lt;=0,0,1)</f>
        <v>0</v>
      </c>
      <c r="E38" s="4">
        <f>IF(香港新定位结果!E38&lt;=0,0,1)</f>
        <v>0</v>
      </c>
      <c r="F38" s="4">
        <f>IF(香港新定位结果!F38&lt;=0,0,1)</f>
        <v>1</v>
      </c>
      <c r="G38" s="4">
        <f>IF(香港新定位结果!G38&lt;=0,0,1)</f>
        <v>1</v>
      </c>
      <c r="H38" s="4">
        <f>IF(香港新定位结果!H38&lt;=0,0,1)</f>
        <v>0</v>
      </c>
      <c r="I38" s="4">
        <f>IF(香港新定位结果!I38&lt;=0,0,1)</f>
        <v>1</v>
      </c>
      <c r="J38" s="4">
        <f>IF(香港新定位结果!J38&lt;=0,0,1)</f>
        <v>1</v>
      </c>
      <c r="K38" s="4">
        <f>IF(香港新定位结果!K38&lt;=0,0,1)</f>
        <v>1</v>
      </c>
      <c r="L38" s="4">
        <f>IF(香港新定位结果!L38&lt;=0,0,1)</f>
        <v>1</v>
      </c>
      <c r="M38" s="4">
        <f>IF(香港新定位结果!M38&lt;=0,0,1)</f>
        <v>1</v>
      </c>
      <c r="N38" s="4">
        <f>IF(香港新定位结果!N38&lt;=0,0,1)</f>
        <v>1</v>
      </c>
      <c r="O38" s="4">
        <f>IF(香港新定位结果!O38&lt;=0,0,1)</f>
        <v>1</v>
      </c>
    </row>
    <row r="39" spans="1:15">
      <c r="A39" s="4" t="s">
        <v>217</v>
      </c>
      <c r="B39" s="4">
        <f>IF(香港新定位结果!B39&lt;=0,0,1)</f>
        <v>0</v>
      </c>
      <c r="C39" s="4">
        <f>IF(香港新定位结果!C39&lt;=0,0,1)</f>
        <v>0</v>
      </c>
      <c r="D39" s="4">
        <f>IF(香港新定位结果!D39&lt;=0,0,1)</f>
        <v>1</v>
      </c>
      <c r="E39" s="4">
        <f>IF(香港新定位结果!E39&lt;=0,0,1)</f>
        <v>0</v>
      </c>
      <c r="F39" s="4">
        <f>IF(香港新定位结果!F39&lt;=0,0,1)</f>
        <v>0</v>
      </c>
      <c r="G39" s="4">
        <f>IF(香港新定位结果!G39&lt;=0,0,1)</f>
        <v>1</v>
      </c>
      <c r="H39" s="4">
        <f>IF(香港新定位结果!H39&lt;=0,0,1)</f>
        <v>0</v>
      </c>
      <c r="I39" s="4">
        <f>IF(香港新定位结果!I39&lt;=0,0,1)</f>
        <v>1</v>
      </c>
      <c r="J39" s="4">
        <f>IF(香港新定位结果!J39&lt;=0,0,1)</f>
        <v>0</v>
      </c>
      <c r="K39" s="4">
        <f>IF(香港新定位结果!K39&lt;=0,0,1)</f>
        <v>0</v>
      </c>
      <c r="L39" s="4">
        <f>IF(香港新定位结果!L39&lt;=0,0,1)</f>
        <v>0</v>
      </c>
      <c r="M39" s="4">
        <f>IF(香港新定位结果!M39&lt;=0,0,1)</f>
        <v>0</v>
      </c>
      <c r="N39" s="4">
        <f>IF(香港新定位结果!N39&lt;=0,0,1)</f>
        <v>0</v>
      </c>
      <c r="O39" s="4">
        <f>IF(香港新定位结果!O39&lt;=0,0,1)</f>
        <v>1</v>
      </c>
    </row>
    <row r="40" spans="1:15">
      <c r="A40" s="4" t="s">
        <v>223</v>
      </c>
      <c r="B40" s="4">
        <f>IF(香港新定位结果!B40&lt;=0,0,1)</f>
        <v>0</v>
      </c>
      <c r="C40" s="4">
        <f>IF(香港新定位结果!C40&lt;=0,0,1)</f>
        <v>0</v>
      </c>
      <c r="D40" s="4">
        <f>IF(香港新定位结果!D40&lt;=0,0,1)</f>
        <v>0</v>
      </c>
      <c r="E40" s="4">
        <f>IF(香港新定位结果!E40&lt;=0,0,1)</f>
        <v>1</v>
      </c>
      <c r="F40" s="4">
        <f>IF(香港新定位结果!F40&lt;=0,0,1)</f>
        <v>1</v>
      </c>
      <c r="G40" s="4">
        <f>IF(香港新定位结果!G40&lt;=0,0,1)</f>
        <v>1</v>
      </c>
      <c r="H40" s="4">
        <f>IF(香港新定位结果!H40&lt;=0,0,1)</f>
        <v>1</v>
      </c>
      <c r="I40" s="4">
        <f>IF(香港新定位结果!I40&lt;=0,0,1)</f>
        <v>0</v>
      </c>
      <c r="J40" s="4">
        <f>IF(香港新定位结果!J40&lt;=0,0,1)</f>
        <v>0</v>
      </c>
      <c r="K40" s="4">
        <f>IF(香港新定位结果!K40&lt;=0,0,1)</f>
        <v>0</v>
      </c>
      <c r="L40" s="4">
        <f>IF(香港新定位结果!L40&lt;=0,0,1)</f>
        <v>1</v>
      </c>
      <c r="M40" s="4">
        <f>IF(香港新定位结果!M40&lt;=0,0,1)</f>
        <v>0</v>
      </c>
      <c r="N40" s="4">
        <f>IF(香港新定位结果!N40&lt;=0,0,1)</f>
        <v>0</v>
      </c>
      <c r="O40" s="4">
        <f>IF(香港新定位结果!O40&lt;=0,0,1)</f>
        <v>0</v>
      </c>
    </row>
    <row r="41" spans="1:15">
      <c r="A41" s="4" t="s">
        <v>227</v>
      </c>
      <c r="B41" s="4">
        <f>IF(香港新定位结果!B41&lt;=0,0,1)</f>
        <v>0</v>
      </c>
      <c r="C41" s="4">
        <f>IF(香港新定位结果!C41&lt;=0,0,1)</f>
        <v>1</v>
      </c>
      <c r="D41" s="4">
        <f>IF(香港新定位结果!D41&lt;=0,0,1)</f>
        <v>0</v>
      </c>
      <c r="E41" s="4">
        <f>IF(香港新定位结果!E41&lt;=0,0,1)</f>
        <v>0</v>
      </c>
      <c r="F41" s="4">
        <f>IF(香港新定位结果!F41&lt;=0,0,1)</f>
        <v>0</v>
      </c>
      <c r="G41" s="4">
        <f>IF(香港新定位结果!G41&lt;=0,0,1)</f>
        <v>1</v>
      </c>
      <c r="H41" s="4">
        <f>IF(香港新定位结果!H41&lt;=0,0,1)</f>
        <v>1</v>
      </c>
      <c r="I41" s="4">
        <f>IF(香港新定位结果!I41&lt;=0,0,1)</f>
        <v>1</v>
      </c>
      <c r="J41" s="4">
        <f>IF(香港新定位结果!J41&lt;=0,0,1)</f>
        <v>0</v>
      </c>
      <c r="K41" s="4">
        <f>IF(香港新定位结果!K41&lt;=0,0,1)</f>
        <v>1</v>
      </c>
      <c r="L41" s="4">
        <f>IF(香港新定位结果!L41&lt;=0,0,1)</f>
        <v>0</v>
      </c>
      <c r="M41" s="4">
        <f>IF(香港新定位结果!M41&lt;=0,0,1)</f>
        <v>1</v>
      </c>
      <c r="N41" s="4">
        <f>IF(香港新定位结果!N41&lt;=0,0,1)</f>
        <v>0</v>
      </c>
      <c r="O41" s="4">
        <f>IF(香港新定位结果!O41&lt;=0,0,1)</f>
        <v>1</v>
      </c>
    </row>
    <row r="42" spans="1:15">
      <c r="A42" s="4" t="s">
        <v>233</v>
      </c>
      <c r="B42" s="4">
        <f>IF(香港新定位结果!B42&lt;=0,0,1)</f>
        <v>0</v>
      </c>
      <c r="C42" s="4">
        <f>IF(香港新定位结果!C42&lt;=0,0,1)</f>
        <v>0</v>
      </c>
      <c r="D42" s="4">
        <f>IF(香港新定位结果!D42&lt;=0,0,1)</f>
        <v>0</v>
      </c>
      <c r="E42" s="4">
        <f>IF(香港新定位结果!E42&lt;=0,0,1)</f>
        <v>0</v>
      </c>
      <c r="F42" s="4">
        <f>IF(香港新定位结果!F42&lt;=0,0,1)</f>
        <v>1</v>
      </c>
      <c r="G42" s="4">
        <f>IF(香港新定位结果!G42&lt;=0,0,1)</f>
        <v>1</v>
      </c>
      <c r="H42" s="4">
        <f>IF(香港新定位结果!H42&lt;=0,0,1)</f>
        <v>0</v>
      </c>
      <c r="I42" s="4">
        <f>IF(香港新定位结果!I42&lt;=0,0,1)</f>
        <v>1</v>
      </c>
      <c r="J42" s="4">
        <f>IF(香港新定位结果!J42&lt;=0,0,1)</f>
        <v>0</v>
      </c>
      <c r="K42" s="4">
        <f>IF(香港新定位结果!K42&lt;=0,0,1)</f>
        <v>0</v>
      </c>
      <c r="L42" s="4">
        <f>IF(香港新定位结果!L42&lt;=0,0,1)</f>
        <v>0</v>
      </c>
      <c r="M42" s="4">
        <f>IF(香港新定位结果!M42&lt;=0,0,1)</f>
        <v>0</v>
      </c>
      <c r="N42" s="4">
        <f>IF(香港新定位结果!N42&lt;=0,0,1)</f>
        <v>0</v>
      </c>
      <c r="O42" s="4">
        <f>IF(香港新定位结果!O42&lt;=0,0,1)</f>
        <v>0</v>
      </c>
    </row>
    <row r="43" spans="1:15">
      <c r="A43" s="4" t="s">
        <v>237</v>
      </c>
      <c r="B43" s="4">
        <f>IF(香港新定位结果!B43&lt;=0,0,1)</f>
        <v>0</v>
      </c>
      <c r="C43" s="4">
        <f>IF(香港新定位结果!C43&lt;=0,0,1)</f>
        <v>1</v>
      </c>
      <c r="D43" s="4">
        <f>IF(香港新定位结果!D43&lt;=0,0,1)</f>
        <v>0</v>
      </c>
      <c r="E43" s="4">
        <f>IF(香港新定位结果!E43&lt;=0,0,1)</f>
        <v>0</v>
      </c>
      <c r="F43" s="4">
        <f>IF(香港新定位结果!F43&lt;=0,0,1)</f>
        <v>1</v>
      </c>
      <c r="G43" s="4">
        <f>IF(香港新定位结果!G43&lt;=0,0,1)</f>
        <v>1</v>
      </c>
      <c r="H43" s="4">
        <f>IF(香港新定位结果!H43&lt;=0,0,1)</f>
        <v>0</v>
      </c>
      <c r="I43" s="4">
        <f>IF(香港新定位结果!I43&lt;=0,0,1)</f>
        <v>1</v>
      </c>
      <c r="J43" s="4">
        <f>IF(香港新定位结果!J43&lt;=0,0,1)</f>
        <v>0</v>
      </c>
      <c r="K43" s="4">
        <f>IF(香港新定位结果!K43&lt;=0,0,1)</f>
        <v>0</v>
      </c>
      <c r="L43" s="4">
        <f>IF(香港新定位结果!L43&lt;=0,0,1)</f>
        <v>1</v>
      </c>
      <c r="M43" s="4">
        <f>IF(香港新定位结果!M43&lt;=0,0,1)</f>
        <v>0</v>
      </c>
      <c r="N43" s="4">
        <f>IF(香港新定位结果!N43&lt;=0,0,1)</f>
        <v>0</v>
      </c>
      <c r="O43" s="4">
        <f>IF(香港新定位结果!O43&lt;=0,0,1)</f>
        <v>0</v>
      </c>
    </row>
    <row r="44" spans="1:15">
      <c r="A44" s="4" t="s">
        <v>241</v>
      </c>
      <c r="B44" s="4">
        <f>IF(香港新定位结果!B44&lt;=0,0,1)</f>
        <v>1</v>
      </c>
      <c r="C44" s="4">
        <f>IF(香港新定位结果!C44&lt;=0,0,1)</f>
        <v>1</v>
      </c>
      <c r="D44" s="4">
        <f>IF(香港新定位结果!D44&lt;=0,0,1)</f>
        <v>0</v>
      </c>
      <c r="E44" s="4">
        <f>IF(香港新定位结果!E44&lt;=0,0,1)</f>
        <v>1</v>
      </c>
      <c r="F44" s="4">
        <f>IF(香港新定位结果!F44&lt;=0,0,1)</f>
        <v>0</v>
      </c>
      <c r="G44" s="4">
        <f>IF(香港新定位结果!G44&lt;=0,0,1)</f>
        <v>1</v>
      </c>
      <c r="H44" s="4">
        <f>IF(香港新定位结果!H44&lt;=0,0,1)</f>
        <v>1</v>
      </c>
      <c r="I44" s="4">
        <f>IF(香港新定位结果!I44&lt;=0,0,1)</f>
        <v>1</v>
      </c>
      <c r="J44" s="4">
        <f>IF(香港新定位结果!J44&lt;=0,0,1)</f>
        <v>1</v>
      </c>
      <c r="K44" s="4">
        <f>IF(香港新定位结果!K44&lt;=0,0,1)</f>
        <v>1</v>
      </c>
      <c r="L44" s="4">
        <f>IF(香港新定位结果!L44&lt;=0,0,1)</f>
        <v>1</v>
      </c>
      <c r="M44" s="4">
        <f>IF(香港新定位结果!M44&lt;=0,0,1)</f>
        <v>1</v>
      </c>
      <c r="N44" s="4">
        <f>IF(香港新定位结果!N44&lt;=0,0,1)</f>
        <v>0</v>
      </c>
      <c r="O44" s="4">
        <f>IF(香港新定位结果!O44&lt;=0,0,1)</f>
        <v>0</v>
      </c>
    </row>
    <row r="45" spans="1:15">
      <c r="A45" s="4" t="s">
        <v>245</v>
      </c>
      <c r="B45" s="4">
        <f>IF(香港新定位结果!B45&lt;=0,0,1)</f>
        <v>0</v>
      </c>
      <c r="C45" s="4">
        <f>IF(香港新定位结果!C45&lt;=0,0,1)</f>
        <v>0</v>
      </c>
      <c r="D45" s="4">
        <f>IF(香港新定位结果!D45&lt;=0,0,1)</f>
        <v>0</v>
      </c>
      <c r="E45" s="4">
        <f>IF(香港新定位结果!E45&lt;=0,0,1)</f>
        <v>0</v>
      </c>
      <c r="F45" s="4">
        <f>IF(香港新定位结果!F45&lt;=0,0,1)</f>
        <v>1</v>
      </c>
      <c r="G45" s="4">
        <f>IF(香港新定位结果!G45&lt;=0,0,1)</f>
        <v>0</v>
      </c>
      <c r="H45" s="4">
        <f>IF(香港新定位结果!H45&lt;=0,0,1)</f>
        <v>0</v>
      </c>
      <c r="I45" s="4">
        <f>IF(香港新定位结果!I45&lt;=0,0,1)</f>
        <v>0</v>
      </c>
      <c r="J45" s="4">
        <f>IF(香港新定位结果!J45&lt;=0,0,1)</f>
        <v>0</v>
      </c>
      <c r="K45" s="4">
        <f>IF(香港新定位结果!K45&lt;=0,0,1)</f>
        <v>0</v>
      </c>
      <c r="L45" s="4">
        <f>IF(香港新定位结果!L45&lt;=0,0,1)</f>
        <v>0</v>
      </c>
      <c r="M45" s="4">
        <f>IF(香港新定位结果!M45&lt;=0,0,1)</f>
        <v>0</v>
      </c>
      <c r="N45" s="4">
        <f>IF(香港新定位结果!N45&lt;=0,0,1)</f>
        <v>0</v>
      </c>
      <c r="O45" s="4">
        <f>IF(香港新定位结果!O45&lt;=0,0,1)</f>
        <v>0</v>
      </c>
    </row>
    <row r="46" spans="1:15">
      <c r="A46" s="4" t="s">
        <v>251</v>
      </c>
      <c r="B46" s="4">
        <f>IF(香港新定位结果!B46&lt;=0,0,1)</f>
        <v>0</v>
      </c>
      <c r="C46" s="4">
        <f>IF(香港新定位结果!C46&lt;=0,0,1)</f>
        <v>0</v>
      </c>
      <c r="D46" s="4">
        <f>IF(香港新定位结果!D46&lt;=0,0,1)</f>
        <v>0</v>
      </c>
      <c r="E46" s="4">
        <f>IF(香港新定位结果!E46&lt;=0,0,1)</f>
        <v>0</v>
      </c>
      <c r="F46" s="4">
        <f>IF(香港新定位结果!F46&lt;=0,0,1)</f>
        <v>0</v>
      </c>
      <c r="G46" s="4">
        <f>IF(香港新定位结果!G46&lt;=0,0,1)</f>
        <v>0</v>
      </c>
      <c r="H46" s="4">
        <f>IF(香港新定位结果!H46&lt;=0,0,1)</f>
        <v>1</v>
      </c>
      <c r="I46" s="4">
        <f>IF(香港新定位结果!I46&lt;=0,0,1)</f>
        <v>1</v>
      </c>
      <c r="J46" s="4">
        <f>IF(香港新定位结果!J46&lt;=0,0,1)</f>
        <v>1</v>
      </c>
      <c r="K46" s="4">
        <f>IF(香港新定位结果!K46&lt;=0,0,1)</f>
        <v>1</v>
      </c>
      <c r="L46" s="4">
        <f>IF(香港新定位结果!L46&lt;=0,0,1)</f>
        <v>1</v>
      </c>
      <c r="M46" s="4">
        <f>IF(香港新定位结果!M46&lt;=0,0,1)</f>
        <v>1</v>
      </c>
      <c r="N46" s="4">
        <f>IF(香港新定位结果!N46&lt;=0,0,1)</f>
        <v>1</v>
      </c>
      <c r="O46" s="4">
        <f>IF(香港新定位结果!O46&lt;=0,0,1)</f>
        <v>0</v>
      </c>
    </row>
    <row r="47" spans="1:15">
      <c r="A47" s="4" t="s">
        <v>255</v>
      </c>
      <c r="B47" s="4">
        <f>IF(香港新定位结果!B47&lt;=0,0,1)</f>
        <v>0</v>
      </c>
      <c r="C47" s="4">
        <f>IF(香港新定位结果!C47&lt;=0,0,1)</f>
        <v>1</v>
      </c>
      <c r="D47" s="4">
        <f>IF(香港新定位结果!D47&lt;=0,0,1)</f>
        <v>1</v>
      </c>
      <c r="E47" s="4">
        <f>IF(香港新定位结果!E47&lt;=0,0,1)</f>
        <v>1</v>
      </c>
      <c r="F47" s="4">
        <f>IF(香港新定位结果!F47&lt;=0,0,1)</f>
        <v>1</v>
      </c>
      <c r="G47" s="4">
        <f>IF(香港新定位结果!G47&lt;=0,0,1)</f>
        <v>0</v>
      </c>
      <c r="H47" s="4">
        <f>IF(香港新定位结果!H47&lt;=0,0,1)</f>
        <v>1</v>
      </c>
      <c r="I47" s="4">
        <f>IF(香港新定位结果!I47&lt;=0,0,1)</f>
        <v>1</v>
      </c>
      <c r="J47" s="4">
        <f>IF(香港新定位结果!J47&lt;=0,0,1)</f>
        <v>0</v>
      </c>
      <c r="K47" s="4">
        <f>IF(香港新定位结果!K47&lt;=0,0,1)</f>
        <v>1</v>
      </c>
      <c r="L47" s="4">
        <f>IF(香港新定位结果!L47&lt;=0,0,1)</f>
        <v>0</v>
      </c>
      <c r="M47" s="4">
        <f>IF(香港新定位结果!M47&lt;=0,0,1)</f>
        <v>1</v>
      </c>
      <c r="N47" s="4">
        <f>IF(香港新定位结果!N47&lt;=0,0,1)</f>
        <v>1</v>
      </c>
      <c r="O47" s="4">
        <f>IF(香港新定位结果!O47&lt;=0,0,1)</f>
        <v>1</v>
      </c>
    </row>
    <row r="48" spans="1:15">
      <c r="A48" s="4" t="s">
        <v>259</v>
      </c>
      <c r="B48" s="4">
        <f>IF(香港新定位结果!B48&lt;=0,0,1)</f>
        <v>0</v>
      </c>
      <c r="C48" s="4">
        <f>IF(香港新定位结果!C48&lt;=0,0,1)</f>
        <v>0</v>
      </c>
      <c r="D48" s="4">
        <f>IF(香港新定位结果!D48&lt;=0,0,1)</f>
        <v>1</v>
      </c>
      <c r="E48" s="4">
        <f>IF(香港新定位结果!E48&lt;=0,0,1)</f>
        <v>0</v>
      </c>
      <c r="F48" s="4">
        <f>IF(香港新定位结果!F48&lt;=0,0,1)</f>
        <v>1</v>
      </c>
      <c r="G48" s="4">
        <f>IF(香港新定位结果!G48&lt;=0,0,1)</f>
        <v>0</v>
      </c>
      <c r="H48" s="4">
        <f>IF(香港新定位结果!H48&lt;=0,0,1)</f>
        <v>0</v>
      </c>
      <c r="I48" s="4">
        <f>IF(香港新定位结果!I48&lt;=0,0,1)</f>
        <v>0</v>
      </c>
      <c r="J48" s="4">
        <f>IF(香港新定位结果!J48&lt;=0,0,1)</f>
        <v>0</v>
      </c>
      <c r="K48" s="4">
        <f>IF(香港新定位结果!K48&lt;=0,0,1)</f>
        <v>0</v>
      </c>
      <c r="L48" s="4">
        <f>IF(香港新定位结果!L48&lt;=0,0,1)</f>
        <v>1</v>
      </c>
      <c r="M48" s="4">
        <f>IF(香港新定位结果!M48&lt;=0,0,1)</f>
        <v>0</v>
      </c>
      <c r="N48" s="4">
        <f>IF(香港新定位结果!N48&lt;=0,0,1)</f>
        <v>1</v>
      </c>
      <c r="O48" s="4">
        <f>IF(香港新定位结果!O48&lt;=0,0,1)</f>
        <v>1</v>
      </c>
    </row>
    <row r="49" spans="1:15">
      <c r="A49" s="4" t="s">
        <v>265</v>
      </c>
      <c r="B49" s="4">
        <f>IF(香港新定位结果!B49&lt;=0,0,1)</f>
        <v>1</v>
      </c>
      <c r="C49" s="4">
        <f>IF(香港新定位结果!C49&lt;=0,0,1)</f>
        <v>0</v>
      </c>
      <c r="D49" s="4">
        <f>IF(香港新定位结果!D49&lt;=0,0,1)</f>
        <v>0</v>
      </c>
      <c r="E49" s="4">
        <f>IF(香港新定位结果!E49&lt;=0,0,1)</f>
        <v>1</v>
      </c>
      <c r="F49" s="4">
        <f>IF(香港新定位结果!F49&lt;=0,0,1)</f>
        <v>0</v>
      </c>
      <c r="G49" s="4">
        <f>IF(香港新定位结果!G49&lt;=0,0,1)</f>
        <v>0</v>
      </c>
      <c r="H49" s="4">
        <f>IF(香港新定位结果!H49&lt;=0,0,1)</f>
        <v>0</v>
      </c>
      <c r="I49" s="4">
        <f>IF(香港新定位结果!I49&lt;=0,0,1)</f>
        <v>0</v>
      </c>
      <c r="J49" s="4">
        <f>IF(香港新定位结果!J49&lt;=0,0,1)</f>
        <v>1</v>
      </c>
      <c r="K49" s="4">
        <f>IF(香港新定位结果!K49&lt;=0,0,1)</f>
        <v>0</v>
      </c>
      <c r="L49" s="4">
        <f>IF(香港新定位结果!L49&lt;=0,0,1)</f>
        <v>1</v>
      </c>
      <c r="M49" s="4">
        <f>IF(香港新定位结果!M49&lt;=0,0,1)</f>
        <v>0</v>
      </c>
      <c r="N49" s="4">
        <f>IF(香港新定位结果!N49&lt;=0,0,1)</f>
        <v>1</v>
      </c>
      <c r="O49" s="4">
        <f>IF(香港新定位结果!O49&lt;=0,0,1)</f>
        <v>0</v>
      </c>
    </row>
    <row r="50" spans="1:15">
      <c r="A50" s="4" t="s">
        <v>269</v>
      </c>
      <c r="B50" s="4">
        <f>IF(香港新定位结果!B50&lt;=0,0,1)</f>
        <v>1</v>
      </c>
      <c r="C50" s="4">
        <f>IF(香港新定位结果!C50&lt;=0,0,1)</f>
        <v>1</v>
      </c>
      <c r="D50" s="4">
        <f>IF(香港新定位结果!D50&lt;=0,0,1)</f>
        <v>0</v>
      </c>
      <c r="E50" s="4">
        <f>IF(香港新定位结果!E50&lt;=0,0,1)</f>
        <v>0</v>
      </c>
      <c r="F50" s="4">
        <f>IF(香港新定位结果!F50&lt;=0,0,1)</f>
        <v>1</v>
      </c>
      <c r="G50" s="4">
        <f>IF(香港新定位结果!G50&lt;=0,0,1)</f>
        <v>0</v>
      </c>
      <c r="H50" s="4">
        <f>IF(香港新定位结果!H50&lt;=0,0,1)</f>
        <v>0</v>
      </c>
      <c r="I50" s="4">
        <f>IF(香港新定位结果!I50&lt;=0,0,1)</f>
        <v>0</v>
      </c>
      <c r="J50" s="4">
        <f>IF(香港新定位结果!J50&lt;=0,0,1)</f>
        <v>0</v>
      </c>
      <c r="K50" s="4">
        <f>IF(香港新定位结果!K50&lt;=0,0,1)</f>
        <v>0</v>
      </c>
      <c r="L50" s="4">
        <f>IF(香港新定位结果!L50&lt;=0,0,1)</f>
        <v>0</v>
      </c>
      <c r="M50" s="4">
        <f>IF(香港新定位结果!M50&lt;=0,0,1)</f>
        <v>0</v>
      </c>
      <c r="N50" s="4">
        <f>IF(香港新定位结果!N50&lt;=0,0,1)</f>
        <v>1</v>
      </c>
      <c r="O50" s="4">
        <f>IF(香港新定位结果!O50&lt;=0,0,1)</f>
        <v>1</v>
      </c>
    </row>
    <row r="51" spans="1:15">
      <c r="A51" s="4" t="s">
        <v>273</v>
      </c>
      <c r="B51" s="4">
        <f>IF(香港新定位结果!B51&lt;=0,0,1)</f>
        <v>0</v>
      </c>
      <c r="C51" s="4">
        <f>IF(香港新定位结果!C51&lt;=0,0,1)</f>
        <v>0</v>
      </c>
      <c r="D51" s="4">
        <f>IF(香港新定位结果!D51&lt;=0,0,1)</f>
        <v>0</v>
      </c>
      <c r="E51" s="4">
        <f>IF(香港新定位结果!E51&lt;=0,0,1)</f>
        <v>1</v>
      </c>
      <c r="F51" s="4">
        <f>IF(香港新定位结果!F51&lt;=0,0,1)</f>
        <v>1</v>
      </c>
      <c r="G51" s="4">
        <f>IF(香港新定位结果!G51&lt;=0,0,1)</f>
        <v>0</v>
      </c>
      <c r="H51" s="4">
        <f>IF(香港新定位结果!H51&lt;=0,0,1)</f>
        <v>0</v>
      </c>
      <c r="I51" s="4">
        <f>IF(香港新定位结果!I51&lt;=0,0,1)</f>
        <v>1</v>
      </c>
      <c r="J51" s="4">
        <f>IF(香港新定位结果!J51&lt;=0,0,1)</f>
        <v>1</v>
      </c>
      <c r="K51" s="4">
        <f>IF(香港新定位结果!K51&lt;=0,0,1)</f>
        <v>1</v>
      </c>
      <c r="L51" s="4">
        <f>IF(香港新定位结果!L51&lt;=0,0,1)</f>
        <v>1</v>
      </c>
      <c r="M51" s="4">
        <f>IF(香港新定位结果!M51&lt;=0,0,1)</f>
        <v>0</v>
      </c>
      <c r="N51" s="4">
        <f>IF(香港新定位结果!N51&lt;=0,0,1)</f>
        <v>0</v>
      </c>
      <c r="O51" s="4">
        <f>IF(香港新定位结果!O51&lt;=0,0,1)</f>
        <v>1</v>
      </c>
    </row>
    <row r="52" spans="1:15">
      <c r="A52" s="4" t="s">
        <v>279</v>
      </c>
      <c r="B52" s="4">
        <f>IF(香港新定位结果!B52&lt;=0,0,1)</f>
        <v>1</v>
      </c>
      <c r="C52" s="4">
        <f>IF(香港新定位结果!C52&lt;=0,0,1)</f>
        <v>0</v>
      </c>
      <c r="D52" s="4">
        <f>IF(香港新定位结果!D52&lt;=0,0,1)</f>
        <v>1</v>
      </c>
      <c r="E52" s="4">
        <f>IF(香港新定位结果!E52&lt;=0,0,1)</f>
        <v>1</v>
      </c>
      <c r="F52" s="4">
        <f>IF(香港新定位结果!F52&lt;=0,0,1)</f>
        <v>1</v>
      </c>
      <c r="G52" s="4">
        <f>IF(香港新定位结果!G52&lt;=0,0,1)</f>
        <v>1</v>
      </c>
      <c r="H52" s="4">
        <f>IF(香港新定位结果!H52&lt;=0,0,1)</f>
        <v>0</v>
      </c>
      <c r="I52" s="4">
        <f>IF(香港新定位结果!I52&lt;=0,0,1)</f>
        <v>0</v>
      </c>
      <c r="J52" s="4">
        <f>IF(香港新定位结果!J52&lt;=0,0,1)</f>
        <v>1</v>
      </c>
      <c r="K52" s="4">
        <f>IF(香港新定位结果!K52&lt;=0,0,1)</f>
        <v>0</v>
      </c>
      <c r="L52" s="4">
        <f>IF(香港新定位结果!L52&lt;=0,0,1)</f>
        <v>0</v>
      </c>
      <c r="M52" s="4">
        <f>IF(香港新定位结果!M52&lt;=0,0,1)</f>
        <v>1</v>
      </c>
      <c r="N52" s="4">
        <f>IF(香港新定位结果!N52&lt;=0,0,1)</f>
        <v>0</v>
      </c>
      <c r="O52" s="4">
        <f>IF(香港新定位结果!O52&lt;=0,0,1)</f>
        <v>1</v>
      </c>
    </row>
    <row r="53" spans="1:15">
      <c r="A53" s="4" t="s">
        <v>283</v>
      </c>
      <c r="B53" s="4">
        <f>IF(香港新定位结果!B53&lt;=0,0,1)</f>
        <v>1</v>
      </c>
      <c r="C53" s="4">
        <f>IF(香港新定位结果!C53&lt;=0,0,1)</f>
        <v>1</v>
      </c>
      <c r="D53" s="4">
        <f>IF(香港新定位结果!D53&lt;=0,0,1)</f>
        <v>0</v>
      </c>
      <c r="E53" s="4">
        <f>IF(香港新定位结果!E53&lt;=0,0,1)</f>
        <v>1</v>
      </c>
      <c r="F53" s="4">
        <f>IF(香港新定位结果!F53&lt;=0,0,1)</f>
        <v>1</v>
      </c>
      <c r="G53" s="4">
        <f>IF(香港新定位结果!G53&lt;=0,0,1)</f>
        <v>1</v>
      </c>
      <c r="H53" s="4">
        <f>IF(香港新定位结果!H53&lt;=0,0,1)</f>
        <v>1</v>
      </c>
      <c r="I53" s="4">
        <f>IF(香港新定位结果!I53&lt;=0,0,1)</f>
        <v>1</v>
      </c>
      <c r="J53" s="4">
        <f>IF(香港新定位结果!J53&lt;=0,0,1)</f>
        <v>0</v>
      </c>
      <c r="K53" s="4">
        <f>IF(香港新定位结果!K53&lt;=0,0,1)</f>
        <v>0</v>
      </c>
      <c r="L53" s="4">
        <f>IF(香港新定位结果!L53&lt;=0,0,1)</f>
        <v>1</v>
      </c>
      <c r="M53" s="4">
        <f>IF(香港新定位结果!M53&lt;=0,0,1)</f>
        <v>0</v>
      </c>
      <c r="N53" s="4">
        <f>IF(香港新定位结果!N53&lt;=0,0,1)</f>
        <v>0</v>
      </c>
      <c r="O53" s="4">
        <f>IF(香港新定位结果!O53&lt;=0,0,1)</f>
        <v>1</v>
      </c>
    </row>
    <row r="54" spans="1:15">
      <c r="A54" s="4" t="s">
        <v>289</v>
      </c>
      <c r="B54" s="4">
        <f>IF(香港新定位结果!B54&lt;=0,0,1)</f>
        <v>0</v>
      </c>
      <c r="C54" s="4">
        <f>IF(香港新定位结果!C54&lt;=0,0,1)</f>
        <v>1</v>
      </c>
      <c r="D54" s="4">
        <f>IF(香港新定位结果!D54&lt;=0,0,1)</f>
        <v>0</v>
      </c>
      <c r="E54" s="4">
        <f>IF(香港新定位结果!E54&lt;=0,0,1)</f>
        <v>1</v>
      </c>
      <c r="F54" s="4">
        <f>IF(香港新定位结果!F54&lt;=0,0,1)</f>
        <v>1</v>
      </c>
      <c r="G54" s="4">
        <f>IF(香港新定位结果!G54&lt;=0,0,1)</f>
        <v>1</v>
      </c>
      <c r="H54" s="4">
        <f>IF(香港新定位结果!H54&lt;=0,0,1)</f>
        <v>0</v>
      </c>
      <c r="I54" s="4">
        <f>IF(香港新定位结果!I54&lt;=0,0,1)</f>
        <v>1</v>
      </c>
      <c r="J54" s="4">
        <f>IF(香港新定位结果!J54&lt;=0,0,1)</f>
        <v>1</v>
      </c>
      <c r="K54" s="4">
        <f>IF(香港新定位结果!K54&lt;=0,0,1)</f>
        <v>0</v>
      </c>
      <c r="L54" s="4">
        <f>IF(香港新定位结果!L54&lt;=0,0,1)</f>
        <v>0</v>
      </c>
      <c r="M54" s="4">
        <f>IF(香港新定位结果!M54&lt;=0,0,1)</f>
        <v>0</v>
      </c>
      <c r="N54" s="4">
        <f>IF(香港新定位结果!N54&lt;=0,0,1)</f>
        <v>0</v>
      </c>
      <c r="O54" s="4">
        <f>IF(香港新定位结果!O54&lt;=0,0,1)</f>
        <v>1</v>
      </c>
    </row>
    <row r="55" spans="1:15">
      <c r="A55" s="4" t="s">
        <v>293</v>
      </c>
      <c r="B55" s="4">
        <f>IF(香港新定位结果!B55&lt;=0,0,1)</f>
        <v>0</v>
      </c>
      <c r="C55" s="4">
        <f>IF(香港新定位结果!C55&lt;=0,0,1)</f>
        <v>1</v>
      </c>
      <c r="D55" s="4">
        <f>IF(香港新定位结果!D55&lt;=0,0,1)</f>
        <v>0</v>
      </c>
      <c r="E55" s="4">
        <f>IF(香港新定位结果!E55&lt;=0,0,1)</f>
        <v>0</v>
      </c>
      <c r="F55" s="4">
        <f>IF(香港新定位结果!F55&lt;=0,0,1)</f>
        <v>1</v>
      </c>
      <c r="G55" s="4">
        <f>IF(香港新定位结果!G55&lt;=0,0,1)</f>
        <v>1</v>
      </c>
      <c r="H55" s="4">
        <f>IF(香港新定位结果!H55&lt;=0,0,1)</f>
        <v>1</v>
      </c>
      <c r="I55" s="4">
        <f>IF(香港新定位结果!I55&lt;=0,0,1)</f>
        <v>1</v>
      </c>
      <c r="J55" s="4">
        <f>IF(香港新定位结果!J55&lt;=0,0,1)</f>
        <v>1</v>
      </c>
      <c r="K55" s="4">
        <f>IF(香港新定位结果!K55&lt;=0,0,1)</f>
        <v>1</v>
      </c>
      <c r="L55" s="4">
        <f>IF(香港新定位结果!L55&lt;=0,0,1)</f>
        <v>1</v>
      </c>
      <c r="M55" s="4">
        <f>IF(香港新定位结果!M55&lt;=0,0,1)</f>
        <v>1</v>
      </c>
      <c r="N55" s="4">
        <f>IF(香港新定位结果!N55&lt;=0,0,1)</f>
        <v>0</v>
      </c>
      <c r="O55" s="4">
        <f>IF(香港新定位结果!O55&lt;=0,0,1)</f>
        <v>0</v>
      </c>
    </row>
    <row r="56" spans="1:15">
      <c r="A56" s="4" t="s">
        <v>297</v>
      </c>
      <c r="B56" s="4">
        <f>IF(香港新定位结果!B56&lt;=0,0,1)</f>
        <v>0</v>
      </c>
      <c r="C56" s="4">
        <f>IF(香港新定位结果!C56&lt;=0,0,1)</f>
        <v>1</v>
      </c>
      <c r="D56" s="4">
        <f>IF(香港新定位结果!D56&lt;=0,0,1)</f>
        <v>0</v>
      </c>
      <c r="E56" s="4">
        <f>IF(香港新定位结果!E56&lt;=0,0,1)</f>
        <v>1</v>
      </c>
      <c r="F56" s="4">
        <f>IF(香港新定位结果!F56&lt;=0,0,1)</f>
        <v>0</v>
      </c>
      <c r="G56" s="4">
        <f>IF(香港新定位结果!G56&lt;=0,0,1)</f>
        <v>1</v>
      </c>
      <c r="H56" s="4">
        <f>IF(香港新定位结果!H56&lt;=0,0,1)</f>
        <v>1</v>
      </c>
      <c r="I56" s="4">
        <f>IF(香港新定位结果!I56&lt;=0,0,1)</f>
        <v>1</v>
      </c>
      <c r="J56" s="4">
        <f>IF(香港新定位结果!J56&lt;=0,0,1)</f>
        <v>0</v>
      </c>
      <c r="K56" s="4">
        <f>IF(香港新定位结果!K56&lt;=0,0,1)</f>
        <v>0</v>
      </c>
      <c r="L56" s="4">
        <f>IF(香港新定位结果!L56&lt;=0,0,1)</f>
        <v>1</v>
      </c>
      <c r="M56" s="4">
        <f>IF(香港新定位结果!M56&lt;=0,0,1)</f>
        <v>1</v>
      </c>
      <c r="N56" s="4">
        <f>IF(香港新定位结果!N56&lt;=0,0,1)</f>
        <v>1</v>
      </c>
      <c r="O56" s="4">
        <f>IF(香港新定位结果!O56&lt;=0,0,1)</f>
        <v>0</v>
      </c>
    </row>
    <row r="57" spans="1:15">
      <c r="A57" s="4" t="s">
        <v>301</v>
      </c>
      <c r="B57" s="4">
        <f>IF(香港新定位结果!B57&lt;=0,0,1)</f>
        <v>0</v>
      </c>
      <c r="C57" s="4">
        <f>IF(香港新定位结果!C57&lt;=0,0,1)</f>
        <v>1</v>
      </c>
      <c r="D57" s="4">
        <f>IF(香港新定位结果!D57&lt;=0,0,1)</f>
        <v>1</v>
      </c>
      <c r="E57" s="4">
        <f>IF(香港新定位结果!E57&lt;=0,0,1)</f>
        <v>1</v>
      </c>
      <c r="F57" s="4">
        <f>IF(香港新定位结果!F57&lt;=0,0,1)</f>
        <v>0</v>
      </c>
      <c r="G57" s="4">
        <f>IF(香港新定位结果!G57&lt;=0,0,1)</f>
        <v>0</v>
      </c>
      <c r="H57" s="4">
        <f>IF(香港新定位结果!H57&lt;=0,0,1)</f>
        <v>1</v>
      </c>
      <c r="I57" s="4">
        <f>IF(香港新定位结果!I57&lt;=0,0,1)</f>
        <v>0</v>
      </c>
      <c r="J57" s="4">
        <f>IF(香港新定位结果!J57&lt;=0,0,1)</f>
        <v>1</v>
      </c>
      <c r="K57" s="4">
        <f>IF(香港新定位结果!K57&lt;=0,0,1)</f>
        <v>1</v>
      </c>
      <c r="L57" s="4">
        <f>IF(香港新定位结果!L57&lt;=0,0,1)</f>
        <v>0</v>
      </c>
      <c r="M57" s="4">
        <f>IF(香港新定位结果!M57&lt;=0,0,1)</f>
        <v>0</v>
      </c>
      <c r="N57" s="4">
        <f>IF(香港新定位结果!N57&lt;=0,0,1)</f>
        <v>1</v>
      </c>
      <c r="O57" s="4">
        <f>IF(香港新定位结果!O57&lt;=0,0,1)</f>
        <v>0</v>
      </c>
    </row>
    <row r="58" spans="1:15">
      <c r="A58" s="4" t="s">
        <v>307</v>
      </c>
      <c r="B58" s="4">
        <f>IF(香港新定位结果!B58&lt;=0,0,1)</f>
        <v>0</v>
      </c>
      <c r="C58" s="4">
        <f>IF(香港新定位结果!C58&lt;=0,0,1)</f>
        <v>1</v>
      </c>
      <c r="D58" s="4">
        <f>IF(香港新定位结果!D58&lt;=0,0,1)</f>
        <v>1</v>
      </c>
      <c r="E58" s="4">
        <f>IF(香港新定位结果!E58&lt;=0,0,1)</f>
        <v>1</v>
      </c>
      <c r="F58" s="4">
        <f>IF(香港新定位结果!F58&lt;=0,0,1)</f>
        <v>0</v>
      </c>
      <c r="G58" s="4">
        <f>IF(香港新定位结果!G58&lt;=0,0,1)</f>
        <v>1</v>
      </c>
      <c r="H58" s="4">
        <f>IF(香港新定位结果!H58&lt;=0,0,1)</f>
        <v>0</v>
      </c>
      <c r="I58" s="4">
        <f>IF(香港新定位结果!I58&lt;=0,0,1)</f>
        <v>0</v>
      </c>
      <c r="J58" s="4">
        <f>IF(香港新定位结果!J58&lt;=0,0,1)</f>
        <v>0</v>
      </c>
      <c r="K58" s="4">
        <f>IF(香港新定位结果!K58&lt;=0,0,1)</f>
        <v>0</v>
      </c>
      <c r="L58" s="4">
        <f>IF(香港新定位结果!L58&lt;=0,0,1)</f>
        <v>0</v>
      </c>
      <c r="M58" s="4">
        <f>IF(香港新定位结果!M58&lt;=0,0,1)</f>
        <v>0</v>
      </c>
      <c r="N58" s="4">
        <f>IF(香港新定位结果!N58&lt;=0,0,1)</f>
        <v>1</v>
      </c>
      <c r="O58" s="4">
        <f>IF(香港新定位结果!O58&lt;=0,0,1)</f>
        <v>1</v>
      </c>
    </row>
    <row r="59" spans="1:15">
      <c r="A59" s="4" t="s">
        <v>311</v>
      </c>
      <c r="B59" s="4">
        <f>IF(香港新定位结果!B59&lt;=0,0,1)</f>
        <v>1</v>
      </c>
      <c r="C59" s="4">
        <f>IF(香港新定位结果!C59&lt;=0,0,1)</f>
        <v>1</v>
      </c>
      <c r="D59" s="4">
        <f>IF(香港新定位结果!D59&lt;=0,0,1)</f>
        <v>1</v>
      </c>
      <c r="E59" s="4">
        <f>IF(香港新定位结果!E59&lt;=0,0,1)</f>
        <v>1</v>
      </c>
      <c r="F59" s="4">
        <f>IF(香港新定位结果!F59&lt;=0,0,1)</f>
        <v>0</v>
      </c>
      <c r="G59" s="4">
        <f>IF(香港新定位结果!G59&lt;=0,0,1)</f>
        <v>0</v>
      </c>
      <c r="H59" s="4">
        <f>IF(香港新定位结果!H59&lt;=0,0,1)</f>
        <v>0</v>
      </c>
      <c r="I59" s="4">
        <f>IF(香港新定位结果!I59&lt;=0,0,1)</f>
        <v>1</v>
      </c>
      <c r="J59" s="4">
        <f>IF(香港新定位结果!J59&lt;=0,0,1)</f>
        <v>1</v>
      </c>
      <c r="K59" s="4">
        <f>IF(香港新定位结果!K59&lt;=0,0,1)</f>
        <v>1</v>
      </c>
      <c r="L59" s="4">
        <f>IF(香港新定位结果!L59&lt;=0,0,1)</f>
        <v>1</v>
      </c>
      <c r="M59" s="4">
        <f>IF(香港新定位结果!M59&lt;=0,0,1)</f>
        <v>1</v>
      </c>
      <c r="N59" s="4">
        <f>IF(香港新定位结果!N59&lt;=0,0,1)</f>
        <v>0</v>
      </c>
      <c r="O59" s="4">
        <f>IF(香港新定位结果!O59&lt;=0,0,1)</f>
        <v>0</v>
      </c>
    </row>
    <row r="60" spans="1:15">
      <c r="A60" s="4" t="s">
        <v>315</v>
      </c>
      <c r="B60" s="4">
        <f>IF(香港新定位结果!B60&lt;=0,0,1)</f>
        <v>1</v>
      </c>
      <c r="C60" s="4">
        <f>IF(香港新定位结果!C60&lt;=0,0,1)</f>
        <v>1</v>
      </c>
      <c r="D60" s="4">
        <f>IF(香港新定位结果!D60&lt;=0,0,1)</f>
        <v>1</v>
      </c>
      <c r="E60" s="4">
        <f>IF(香港新定位结果!E60&lt;=0,0,1)</f>
        <v>0</v>
      </c>
      <c r="F60" s="4">
        <f>IF(香港新定位结果!F60&lt;=0,0,1)</f>
        <v>1</v>
      </c>
      <c r="G60" s="4">
        <f>IF(香港新定位结果!G60&lt;=0,0,1)</f>
        <v>0</v>
      </c>
      <c r="H60" s="4">
        <f>IF(香港新定位结果!H60&lt;=0,0,1)</f>
        <v>1</v>
      </c>
      <c r="I60" s="4">
        <f>IF(香港新定位结果!I60&lt;=0,0,1)</f>
        <v>1</v>
      </c>
      <c r="J60" s="4">
        <f>IF(香港新定位结果!J60&lt;=0,0,1)</f>
        <v>0</v>
      </c>
      <c r="K60" s="4">
        <f>IF(香港新定位结果!K60&lt;=0,0,1)</f>
        <v>1</v>
      </c>
      <c r="L60" s="4">
        <f>IF(香港新定位结果!L60&lt;=0,0,1)</f>
        <v>0</v>
      </c>
      <c r="M60" s="4">
        <f>IF(香港新定位结果!M60&lt;=0,0,1)</f>
        <v>1</v>
      </c>
      <c r="N60" s="4">
        <f>IF(香港新定位结果!N60&lt;=0,0,1)</f>
        <v>1</v>
      </c>
      <c r="O60" s="4">
        <f>IF(香港新定位结果!O60&lt;=0,0,1)</f>
        <v>0</v>
      </c>
    </row>
    <row r="61" spans="1:15">
      <c r="A61" s="4" t="s">
        <v>321</v>
      </c>
      <c r="B61" s="4">
        <f>IF(香港新定位结果!B61&lt;=0,0,1)</f>
        <v>0</v>
      </c>
      <c r="C61" s="4">
        <f>IF(香港新定位结果!C61&lt;=0,0,1)</f>
        <v>1</v>
      </c>
      <c r="D61" s="4">
        <f>IF(香港新定位结果!D61&lt;=0,0,1)</f>
        <v>0</v>
      </c>
      <c r="E61" s="4">
        <f>IF(香港新定位结果!E61&lt;=0,0,1)</f>
        <v>0</v>
      </c>
      <c r="F61" s="4">
        <f>IF(香港新定位结果!F61&lt;=0,0,1)</f>
        <v>0</v>
      </c>
      <c r="G61" s="4">
        <f>IF(香港新定位结果!G61&lt;=0,0,1)</f>
        <v>1</v>
      </c>
      <c r="H61" s="4">
        <f>IF(香港新定位结果!H61&lt;=0,0,1)</f>
        <v>1</v>
      </c>
      <c r="I61" s="4">
        <f>IF(香港新定位结果!I61&lt;=0,0,1)</f>
        <v>1</v>
      </c>
      <c r="J61" s="4">
        <f>IF(香港新定位结果!J61&lt;=0,0,1)</f>
        <v>1</v>
      </c>
      <c r="K61" s="4">
        <f>IF(香港新定位结果!K61&lt;=0,0,1)</f>
        <v>1</v>
      </c>
      <c r="L61" s="4">
        <f>IF(香港新定位结果!L61&lt;=0,0,1)</f>
        <v>1</v>
      </c>
      <c r="M61" s="4">
        <f>IF(香港新定位结果!M61&lt;=0,0,1)</f>
        <v>1</v>
      </c>
      <c r="N61" s="4">
        <f>IF(香港新定位结果!N61&lt;=0,0,1)</f>
        <v>0</v>
      </c>
      <c r="O61" s="4">
        <f>IF(香港新定位结果!O61&lt;=0,0,1)</f>
        <v>0</v>
      </c>
    </row>
    <row r="62" spans="1:15">
      <c r="A62" s="4" t="s">
        <v>325</v>
      </c>
      <c r="B62" s="4">
        <f>IF(香港新定位结果!B62&lt;=0,0,1)</f>
        <v>1</v>
      </c>
      <c r="C62" s="4">
        <f>IF(香港新定位结果!C62&lt;=0,0,1)</f>
        <v>1</v>
      </c>
      <c r="D62" s="4">
        <f>IF(香港新定位结果!D62&lt;=0,0,1)</f>
        <v>1</v>
      </c>
      <c r="E62" s="4">
        <f>IF(香港新定位结果!E62&lt;=0,0,1)</f>
        <v>1</v>
      </c>
      <c r="F62" s="4">
        <f>IF(香港新定位结果!F62&lt;=0,0,1)</f>
        <v>1</v>
      </c>
      <c r="G62" s="4">
        <f>IF(香港新定位结果!G62&lt;=0,0,1)</f>
        <v>0</v>
      </c>
      <c r="H62" s="4">
        <f>IF(香港新定位结果!H62&lt;=0,0,1)</f>
        <v>1</v>
      </c>
      <c r="I62" s="4">
        <f>IF(香港新定位结果!I62&lt;=0,0,1)</f>
        <v>0</v>
      </c>
      <c r="J62" s="4">
        <f>IF(香港新定位结果!J62&lt;=0,0,1)</f>
        <v>1</v>
      </c>
      <c r="K62" s="4">
        <f>IF(香港新定位结果!K62&lt;=0,0,1)</f>
        <v>1</v>
      </c>
      <c r="L62" s="4">
        <f>IF(香港新定位结果!L62&lt;=0,0,1)</f>
        <v>1</v>
      </c>
      <c r="M62" s="4">
        <f>IF(香港新定位结果!M62&lt;=0,0,1)</f>
        <v>1</v>
      </c>
      <c r="N62" s="4">
        <f>IF(香港新定位结果!N62&lt;=0,0,1)</f>
        <v>1</v>
      </c>
      <c r="O62" s="4">
        <f>IF(香港新定位结果!O62&lt;=0,0,1)</f>
        <v>0</v>
      </c>
    </row>
    <row r="63" spans="1:15">
      <c r="A63" s="4" t="s">
        <v>329</v>
      </c>
      <c r="B63" s="4">
        <f>IF(香港新定位结果!B63&lt;=0,0,1)</f>
        <v>0</v>
      </c>
      <c r="C63" s="4">
        <f>IF(香港新定位结果!C63&lt;=0,0,1)</f>
        <v>1</v>
      </c>
      <c r="D63" s="4">
        <f>IF(香港新定位结果!D63&lt;=0,0,1)</f>
        <v>0</v>
      </c>
      <c r="E63" s="4">
        <f>IF(香港新定位结果!E63&lt;=0,0,1)</f>
        <v>0</v>
      </c>
      <c r="F63" s="4">
        <f>IF(香港新定位结果!F63&lt;=0,0,1)</f>
        <v>1</v>
      </c>
      <c r="G63" s="4">
        <f>IF(香港新定位结果!G63&lt;=0,0,1)</f>
        <v>0</v>
      </c>
      <c r="H63" s="4">
        <f>IF(香港新定位结果!H63&lt;=0,0,1)</f>
        <v>0</v>
      </c>
      <c r="I63" s="4">
        <f>IF(香港新定位结果!I63&lt;=0,0,1)</f>
        <v>0</v>
      </c>
      <c r="J63" s="4">
        <f>IF(香港新定位结果!J63&lt;=0,0,1)</f>
        <v>1</v>
      </c>
      <c r="K63" s="4">
        <f>IF(香港新定位结果!K63&lt;=0,0,1)</f>
        <v>0</v>
      </c>
      <c r="L63" s="4">
        <f>IF(香港新定位结果!L63&lt;=0,0,1)</f>
        <v>0</v>
      </c>
      <c r="M63" s="4">
        <f>IF(香港新定位结果!M63&lt;=0,0,1)</f>
        <v>0</v>
      </c>
      <c r="N63" s="4">
        <f>IF(香港新定位结果!N63&lt;=0,0,1)</f>
        <v>1</v>
      </c>
      <c r="O63" s="4">
        <f>IF(香港新定位结果!O63&lt;=0,0,1)</f>
        <v>1</v>
      </c>
    </row>
    <row r="64" spans="1:15">
      <c r="A64" s="4" t="s">
        <v>335</v>
      </c>
      <c r="B64" s="4">
        <f>IF(香港新定位结果!B64&lt;=0,0,1)</f>
        <v>0</v>
      </c>
      <c r="C64" s="4">
        <f>IF(香港新定位结果!C64&lt;=0,0,1)</f>
        <v>1</v>
      </c>
      <c r="D64" s="4">
        <f>IF(香港新定位结果!D64&lt;=0,0,1)</f>
        <v>0</v>
      </c>
      <c r="E64" s="4">
        <f>IF(香港新定位结果!E64&lt;=0,0,1)</f>
        <v>1</v>
      </c>
      <c r="F64" s="4">
        <f>IF(香港新定位结果!F64&lt;=0,0,1)</f>
        <v>0</v>
      </c>
      <c r="G64" s="4">
        <f>IF(香港新定位结果!G64&lt;=0,0,1)</f>
        <v>0</v>
      </c>
      <c r="H64" s="4">
        <f>IF(香港新定位结果!H64&lt;=0,0,1)</f>
        <v>1</v>
      </c>
      <c r="I64" s="4">
        <f>IF(香港新定位结果!I64&lt;=0,0,1)</f>
        <v>0</v>
      </c>
      <c r="J64" s="4">
        <f>IF(香港新定位结果!J64&lt;=0,0,1)</f>
        <v>1</v>
      </c>
      <c r="K64" s="4">
        <f>IF(香港新定位结果!K64&lt;=0,0,1)</f>
        <v>0</v>
      </c>
      <c r="L64" s="4">
        <f>IF(香港新定位结果!L64&lt;=0,0,1)</f>
        <v>0</v>
      </c>
      <c r="M64" s="4">
        <f>IF(香港新定位结果!M64&lt;=0,0,1)</f>
        <v>1</v>
      </c>
      <c r="N64" s="4">
        <f>IF(香港新定位结果!N64&lt;=0,0,1)</f>
        <v>1</v>
      </c>
      <c r="O64" s="4">
        <f>IF(香港新定位结果!O64&lt;=0,0,1)</f>
        <v>1</v>
      </c>
    </row>
    <row r="65" spans="1:15">
      <c r="A65" s="4" t="s">
        <v>339</v>
      </c>
      <c r="B65" s="4">
        <f>IF(香港新定位结果!B65&lt;=0,0,1)</f>
        <v>1</v>
      </c>
      <c r="C65" s="4">
        <f>IF(香港新定位结果!C65&lt;=0,0,1)</f>
        <v>1</v>
      </c>
      <c r="D65" s="4">
        <f>IF(香港新定位结果!D65&lt;=0,0,1)</f>
        <v>0</v>
      </c>
      <c r="E65" s="4">
        <f>IF(香港新定位结果!E65&lt;=0,0,1)</f>
        <v>0</v>
      </c>
      <c r="F65" s="4">
        <f>IF(香港新定位结果!F65&lt;=0,0,1)</f>
        <v>1</v>
      </c>
      <c r="G65" s="4">
        <f>IF(香港新定位结果!G65&lt;=0,0,1)</f>
        <v>1</v>
      </c>
      <c r="H65" s="4">
        <f>IF(香港新定位结果!H65&lt;=0,0,1)</f>
        <v>0</v>
      </c>
      <c r="I65" s="4">
        <f>IF(香港新定位结果!I65&lt;=0,0,1)</f>
        <v>1</v>
      </c>
      <c r="J65" s="4">
        <f>IF(香港新定位结果!J65&lt;=0,0,1)</f>
        <v>1</v>
      </c>
      <c r="K65" s="4">
        <f>IF(香港新定位结果!K65&lt;=0,0,1)</f>
        <v>1</v>
      </c>
      <c r="L65" s="4">
        <f>IF(香港新定位结果!L65&lt;=0,0,1)</f>
        <v>1</v>
      </c>
      <c r="M65" s="4">
        <f>IF(香港新定位结果!M65&lt;=0,0,1)</f>
        <v>1</v>
      </c>
      <c r="N65" s="4">
        <f>IF(香港新定位结果!N65&lt;=0,0,1)</f>
        <v>1</v>
      </c>
      <c r="O65" s="4">
        <f>IF(香港新定位结果!O65&lt;=0,0,1)</f>
        <v>1</v>
      </c>
    </row>
    <row r="66" spans="1:15">
      <c r="A66" s="4" t="s">
        <v>345</v>
      </c>
      <c r="B66" s="4">
        <f>IF(香港新定位结果!B66&lt;=0,0,1)</f>
        <v>1</v>
      </c>
      <c r="C66" s="4">
        <f>IF(香港新定位结果!C66&lt;=0,0,1)</f>
        <v>0</v>
      </c>
      <c r="D66" s="4">
        <f>IF(香港新定位结果!D66&lt;=0,0,1)</f>
        <v>1</v>
      </c>
      <c r="E66" s="4">
        <f>IF(香港新定位结果!E66&lt;=0,0,1)</f>
        <v>1</v>
      </c>
      <c r="F66" s="4">
        <f>IF(香港新定位结果!F66&lt;=0,0,1)</f>
        <v>0</v>
      </c>
      <c r="G66" s="4">
        <f>IF(香港新定位结果!G66&lt;=0,0,1)</f>
        <v>0</v>
      </c>
      <c r="H66" s="4">
        <f>IF(香港新定位结果!H66&lt;=0,0,1)</f>
        <v>0</v>
      </c>
      <c r="I66" s="4">
        <f>IF(香港新定位结果!I66&lt;=0,0,1)</f>
        <v>1</v>
      </c>
      <c r="J66" s="4">
        <f>IF(香港新定位结果!J66&lt;=0,0,1)</f>
        <v>1</v>
      </c>
      <c r="K66" s="4">
        <f>IF(香港新定位结果!K66&lt;=0,0,1)</f>
        <v>1</v>
      </c>
      <c r="L66" s="4">
        <f>IF(香港新定位结果!L66&lt;=0,0,1)</f>
        <v>1</v>
      </c>
      <c r="M66" s="4">
        <f>IF(香港新定位结果!M66&lt;=0,0,1)</f>
        <v>0</v>
      </c>
      <c r="N66" s="4">
        <f>IF(香港新定位结果!N66&lt;=0,0,1)</f>
        <v>0</v>
      </c>
      <c r="O66" s="4">
        <f>IF(香港新定位结果!O66&lt;=0,0,1)</f>
        <v>0</v>
      </c>
    </row>
    <row r="67" spans="1:15">
      <c r="A67" s="4" t="s">
        <v>349</v>
      </c>
      <c r="B67" s="4">
        <f>IF(香港新定位结果!B67&lt;=0,0,1)</f>
        <v>1</v>
      </c>
      <c r="C67" s="4">
        <f>IF(香港新定位结果!C67&lt;=0,0,1)</f>
        <v>1</v>
      </c>
      <c r="D67" s="4">
        <f>IF(香港新定位结果!D67&lt;=0,0,1)</f>
        <v>0</v>
      </c>
      <c r="E67" s="4">
        <f>IF(香港新定位结果!E67&lt;=0,0,1)</f>
        <v>1</v>
      </c>
      <c r="F67" s="4">
        <f>IF(香港新定位结果!F67&lt;=0,0,1)</f>
        <v>1</v>
      </c>
      <c r="G67" s="4">
        <f>IF(香港新定位结果!G67&lt;=0,0,1)</f>
        <v>0</v>
      </c>
      <c r="H67" s="4">
        <f>IF(香港新定位结果!H67&lt;=0,0,1)</f>
        <v>0</v>
      </c>
      <c r="I67" s="4">
        <f>IF(香港新定位结果!I67&lt;=0,0,1)</f>
        <v>1</v>
      </c>
      <c r="J67" s="4">
        <f>IF(香港新定位结果!J67&lt;=0,0,1)</f>
        <v>1</v>
      </c>
      <c r="K67" s="4">
        <f>IF(香港新定位结果!K67&lt;=0,0,1)</f>
        <v>0</v>
      </c>
      <c r="L67" s="4">
        <f>IF(香港新定位结果!L67&lt;=0,0,1)</f>
        <v>1</v>
      </c>
      <c r="M67" s="4">
        <f>IF(香港新定位结果!M67&lt;=0,0,1)</f>
        <v>1</v>
      </c>
      <c r="N67" s="4">
        <f>IF(香港新定位结果!N67&lt;=0,0,1)</f>
        <v>1</v>
      </c>
      <c r="O67" s="4">
        <f>IF(香港新定位结果!O67&lt;=0,0,1)</f>
        <v>0</v>
      </c>
    </row>
    <row r="68" spans="1:15">
      <c r="A68" s="4" t="s">
        <v>353</v>
      </c>
      <c r="B68" s="4">
        <f>IF(香港新定位结果!B68&lt;=0,0,1)</f>
        <v>0</v>
      </c>
      <c r="C68" s="4">
        <f>IF(香港新定位结果!C68&lt;=0,0,1)</f>
        <v>0</v>
      </c>
      <c r="D68" s="4">
        <f>IF(香港新定位结果!D68&lt;=0,0,1)</f>
        <v>0</v>
      </c>
      <c r="E68" s="4">
        <f>IF(香港新定位结果!E68&lt;=0,0,1)</f>
        <v>1</v>
      </c>
      <c r="F68" s="4">
        <f>IF(香港新定位结果!F68&lt;=0,0,1)</f>
        <v>1</v>
      </c>
      <c r="G68" s="4">
        <f>IF(香港新定位结果!G68&lt;=0,0,1)</f>
        <v>0</v>
      </c>
      <c r="H68" s="4">
        <f>IF(香港新定位结果!H68&lt;=0,0,1)</f>
        <v>0</v>
      </c>
      <c r="I68" s="4">
        <f>IF(香港新定位结果!I68&lt;=0,0,1)</f>
        <v>1</v>
      </c>
      <c r="J68" s="4">
        <f>IF(香港新定位结果!J68&lt;=0,0,1)</f>
        <v>0</v>
      </c>
      <c r="K68" s="4">
        <f>IF(香港新定位结果!K68&lt;=0,0,1)</f>
        <v>0</v>
      </c>
      <c r="L68" s="4">
        <f>IF(香港新定位结果!L68&lt;=0,0,1)</f>
        <v>0</v>
      </c>
      <c r="M68" s="4">
        <f>IF(香港新定位结果!M68&lt;=0,0,1)</f>
        <v>1</v>
      </c>
      <c r="N68" s="4">
        <f>IF(香港新定位结果!N68&lt;=0,0,1)</f>
        <v>0</v>
      </c>
      <c r="O68" s="4">
        <f>IF(香港新定位结果!O68&lt;=0,0,1)</f>
        <v>1</v>
      </c>
    </row>
    <row r="69" spans="1:15">
      <c r="A69" s="4" t="s">
        <v>357</v>
      </c>
      <c r="B69" s="4">
        <f>IF(香港新定位结果!B69&lt;=0,0,1)</f>
        <v>0</v>
      </c>
      <c r="C69" s="4">
        <f>IF(香港新定位结果!C69&lt;=0,0,1)</f>
        <v>1</v>
      </c>
      <c r="D69" s="4">
        <f>IF(香港新定位结果!D69&lt;=0,0,1)</f>
        <v>0</v>
      </c>
      <c r="E69" s="4">
        <f>IF(香港新定位结果!E69&lt;=0,0,1)</f>
        <v>0</v>
      </c>
      <c r="F69" s="4">
        <f>IF(香港新定位结果!F69&lt;=0,0,1)</f>
        <v>0</v>
      </c>
      <c r="G69" s="4">
        <f>IF(香港新定位结果!G69&lt;=0,0,1)</f>
        <v>0</v>
      </c>
      <c r="H69" s="4">
        <f>IF(香港新定位结果!H69&lt;=0,0,1)</f>
        <v>1</v>
      </c>
      <c r="I69" s="4">
        <f>IF(香港新定位结果!I69&lt;=0,0,1)</f>
        <v>1</v>
      </c>
      <c r="J69" s="4">
        <f>IF(香港新定位结果!J69&lt;=0,0,1)</f>
        <v>0</v>
      </c>
      <c r="K69" s="4">
        <f>IF(香港新定位结果!K69&lt;=0,0,1)</f>
        <v>1</v>
      </c>
      <c r="L69" s="4">
        <f>IF(香港新定位结果!L69&lt;=0,0,1)</f>
        <v>1</v>
      </c>
      <c r="M69" s="4">
        <f>IF(香港新定位结果!M69&lt;=0,0,1)</f>
        <v>0</v>
      </c>
      <c r="N69" s="4">
        <f>IF(香港新定位结果!N69&lt;=0,0,1)</f>
        <v>0</v>
      </c>
      <c r="O69" s="4">
        <f>IF(香港新定位结果!O69&lt;=0,0,1)</f>
        <v>1</v>
      </c>
    </row>
    <row r="70" spans="1:15">
      <c r="A70" s="4" t="s">
        <v>363</v>
      </c>
      <c r="B70" s="4">
        <f>IF(香港新定位结果!B70&lt;=0,0,1)</f>
        <v>1</v>
      </c>
      <c r="C70" s="4">
        <f>IF(香港新定位结果!C70&lt;=0,0,1)</f>
        <v>1</v>
      </c>
      <c r="D70" s="4">
        <f>IF(香港新定位结果!D70&lt;=0,0,1)</f>
        <v>0</v>
      </c>
      <c r="E70" s="4">
        <f>IF(香港新定位结果!E70&lt;=0,0,1)</f>
        <v>1</v>
      </c>
      <c r="F70" s="4">
        <f>IF(香港新定位结果!F70&lt;=0,0,1)</f>
        <v>1</v>
      </c>
      <c r="G70" s="4">
        <f>IF(香港新定位结果!G70&lt;=0,0,1)</f>
        <v>1</v>
      </c>
      <c r="H70" s="4">
        <f>IF(香港新定位结果!H70&lt;=0,0,1)</f>
        <v>0</v>
      </c>
      <c r="I70" s="4">
        <f>IF(香港新定位结果!I70&lt;=0,0,1)</f>
        <v>1</v>
      </c>
      <c r="J70" s="4">
        <f>IF(香港新定位结果!J70&lt;=0,0,1)</f>
        <v>1</v>
      </c>
      <c r="K70" s="4">
        <f>IF(香港新定位结果!K70&lt;=0,0,1)</f>
        <v>1</v>
      </c>
      <c r="L70" s="4">
        <f>IF(香港新定位结果!L70&lt;=0,0,1)</f>
        <v>1</v>
      </c>
      <c r="M70" s="4">
        <f>IF(香港新定位结果!M70&lt;=0,0,1)</f>
        <v>1</v>
      </c>
      <c r="N70" s="4">
        <f>IF(香港新定位结果!N70&lt;=0,0,1)</f>
        <v>0</v>
      </c>
      <c r="O70" s="4">
        <f>IF(香港新定位结果!O70&lt;=0,0,1)</f>
        <v>1</v>
      </c>
    </row>
    <row r="71" spans="1:15">
      <c r="A71" s="4" t="s">
        <v>367</v>
      </c>
      <c r="B71" s="4">
        <f>IF(香港新定位结果!B71&lt;=0,0,1)</f>
        <v>1</v>
      </c>
      <c r="C71" s="4">
        <f>IF(香港新定位结果!C71&lt;=0,0,1)</f>
        <v>1</v>
      </c>
      <c r="D71" s="4">
        <f>IF(香港新定位结果!D71&lt;=0,0,1)</f>
        <v>1</v>
      </c>
      <c r="E71" s="4">
        <f>IF(香港新定位结果!E71&lt;=0,0,1)</f>
        <v>1</v>
      </c>
      <c r="F71" s="4">
        <f>IF(香港新定位结果!F71&lt;=0,0,1)</f>
        <v>0</v>
      </c>
      <c r="G71" s="4">
        <f>IF(香港新定位结果!G71&lt;=0,0,1)</f>
        <v>1</v>
      </c>
      <c r="H71" s="4">
        <f>IF(香港新定位结果!H71&lt;=0,0,1)</f>
        <v>1</v>
      </c>
      <c r="I71" s="4">
        <f>IF(香港新定位结果!I71&lt;=0,0,1)</f>
        <v>1</v>
      </c>
      <c r="J71" s="4">
        <f>IF(香港新定位结果!J71&lt;=0,0,1)</f>
        <v>0</v>
      </c>
      <c r="K71" s="4">
        <f>IF(香港新定位结果!K71&lt;=0,0,1)</f>
        <v>0</v>
      </c>
      <c r="L71" s="4">
        <f>IF(香港新定位结果!L71&lt;=0,0,1)</f>
        <v>1</v>
      </c>
      <c r="M71" s="4">
        <f>IF(香港新定位结果!M71&lt;=0,0,1)</f>
        <v>1</v>
      </c>
      <c r="N71" s="4">
        <f>IF(香港新定位结果!N71&lt;=0,0,1)</f>
        <v>1</v>
      </c>
      <c r="O71" s="4">
        <f>IF(香港新定位结果!O71&lt;=0,0,1)</f>
        <v>1</v>
      </c>
    </row>
    <row r="72" spans="1:15">
      <c r="A72" s="4" t="s">
        <v>371</v>
      </c>
      <c r="B72" s="4">
        <f>IF(香港新定位结果!B72&lt;=0,0,1)</f>
        <v>0</v>
      </c>
      <c r="C72" s="4">
        <f>IF(香港新定位结果!C72&lt;=0,0,1)</f>
        <v>0</v>
      </c>
      <c r="D72" s="4">
        <f>IF(香港新定位结果!D72&lt;=0,0,1)</f>
        <v>0</v>
      </c>
      <c r="E72" s="4">
        <f>IF(香港新定位结果!E72&lt;=0,0,1)</f>
        <v>0</v>
      </c>
      <c r="F72" s="4">
        <f>IF(香港新定位结果!F72&lt;=0,0,1)</f>
        <v>0</v>
      </c>
      <c r="G72" s="4">
        <f>IF(香港新定位结果!G72&lt;=0,0,1)</f>
        <v>0</v>
      </c>
      <c r="H72" s="4">
        <f>IF(香港新定位结果!H72&lt;=0,0,1)</f>
        <v>1</v>
      </c>
      <c r="I72" s="4">
        <f>IF(香港新定位结果!I72&lt;=0,0,1)</f>
        <v>1</v>
      </c>
      <c r="J72" s="4">
        <f>IF(香港新定位结果!J72&lt;=0,0,1)</f>
        <v>0</v>
      </c>
      <c r="K72" s="4">
        <f>IF(香港新定位结果!K72&lt;=0,0,1)</f>
        <v>1</v>
      </c>
      <c r="L72" s="4">
        <f>IF(香港新定位结果!L72&lt;=0,0,1)</f>
        <v>1</v>
      </c>
      <c r="M72" s="4">
        <f>IF(香港新定位结果!M72&lt;=0,0,1)</f>
        <v>0</v>
      </c>
      <c r="N72" s="4">
        <f>IF(香港新定位结果!N72&lt;=0,0,1)</f>
        <v>1</v>
      </c>
      <c r="O72" s="4">
        <f>IF(香港新定位结果!O72&lt;=0,0,1)</f>
        <v>0</v>
      </c>
    </row>
    <row r="73" spans="1:15">
      <c r="A73" s="4" t="s">
        <v>377</v>
      </c>
      <c r="B73" s="4">
        <f>IF(香港新定位结果!B73&lt;=0,0,1)</f>
        <v>1</v>
      </c>
      <c r="C73" s="4">
        <f>IF(香港新定位结果!C73&lt;=0,0,1)</f>
        <v>0</v>
      </c>
      <c r="D73" s="4">
        <f>IF(香港新定位结果!D73&lt;=0,0,1)</f>
        <v>0</v>
      </c>
      <c r="E73" s="4">
        <f>IF(香港新定位结果!E73&lt;=0,0,1)</f>
        <v>1</v>
      </c>
      <c r="F73" s="4">
        <f>IF(香港新定位结果!F73&lt;=0,0,1)</f>
        <v>0</v>
      </c>
      <c r="G73" s="4">
        <f>IF(香港新定位结果!G73&lt;=0,0,1)</f>
        <v>1</v>
      </c>
      <c r="H73" s="4">
        <f>IF(香港新定位结果!H73&lt;=0,0,1)</f>
        <v>1</v>
      </c>
      <c r="I73" s="4">
        <f>IF(香港新定位结果!I73&lt;=0,0,1)</f>
        <v>1</v>
      </c>
      <c r="J73" s="4">
        <f>IF(香港新定位结果!J73&lt;=0,0,1)</f>
        <v>0</v>
      </c>
      <c r="K73" s="4">
        <f>IF(香港新定位结果!K73&lt;=0,0,1)</f>
        <v>0</v>
      </c>
      <c r="L73" s="4">
        <f>IF(香港新定位结果!L73&lt;=0,0,1)</f>
        <v>0</v>
      </c>
      <c r="M73" s="4">
        <f>IF(香港新定位结果!M73&lt;=0,0,1)</f>
        <v>0</v>
      </c>
      <c r="N73" s="4">
        <f>IF(香港新定位结果!N73&lt;=0,0,1)</f>
        <v>0</v>
      </c>
      <c r="O73" s="4">
        <f>IF(香港新定位结果!O73&lt;=0,0,1)</f>
        <v>1</v>
      </c>
    </row>
    <row r="74" spans="1:15">
      <c r="A74" s="4" t="s">
        <v>381</v>
      </c>
      <c r="B74" s="4">
        <f>IF(香港新定位结果!B74&lt;=0,0,1)</f>
        <v>1</v>
      </c>
      <c r="C74" s="4">
        <f>IF(香港新定位结果!C74&lt;=0,0,1)</f>
        <v>1</v>
      </c>
      <c r="D74" s="4">
        <f>IF(香港新定位结果!D74&lt;=0,0,1)</f>
        <v>0</v>
      </c>
      <c r="E74" s="4">
        <f>IF(香港新定位结果!E74&lt;=0,0,1)</f>
        <v>0</v>
      </c>
      <c r="F74" s="4">
        <f>IF(香港新定位结果!F74&lt;=0,0,1)</f>
        <v>0</v>
      </c>
      <c r="G74" s="4">
        <f>IF(香港新定位结果!G74&lt;=0,0,1)</f>
        <v>0</v>
      </c>
      <c r="H74" s="4">
        <f>IF(香港新定位结果!H74&lt;=0,0,1)</f>
        <v>1</v>
      </c>
      <c r="I74" s="4">
        <f>IF(香港新定位结果!I74&lt;=0,0,1)</f>
        <v>1</v>
      </c>
      <c r="J74" s="4">
        <f>IF(香港新定位结果!J74&lt;=0,0,1)</f>
        <v>1</v>
      </c>
      <c r="K74" s="4">
        <f>IF(香港新定位结果!K74&lt;=0,0,1)</f>
        <v>1</v>
      </c>
      <c r="L74" s="4">
        <f>IF(香港新定位结果!L74&lt;=0,0,1)</f>
        <v>1</v>
      </c>
      <c r="M74" s="4">
        <f>IF(香港新定位结果!M74&lt;=0,0,1)</f>
        <v>1</v>
      </c>
      <c r="N74" s="4">
        <f>IF(香港新定位结果!N74&lt;=0,0,1)</f>
        <v>1</v>
      </c>
      <c r="O74" s="4">
        <f>IF(香港新定位结果!O74&lt;=0,0,1)</f>
        <v>0</v>
      </c>
    </row>
    <row r="75" spans="1:15">
      <c r="A75" s="4" t="s">
        <v>387</v>
      </c>
      <c r="B75" s="4">
        <f>IF(香港新定位结果!B75&lt;=0,0,1)</f>
        <v>0</v>
      </c>
      <c r="C75" s="4">
        <f>IF(香港新定位结果!C75&lt;=0,0,1)</f>
        <v>1</v>
      </c>
      <c r="D75" s="4">
        <f>IF(香港新定位结果!D75&lt;=0,0,1)</f>
        <v>1</v>
      </c>
      <c r="E75" s="4">
        <f>IF(香港新定位结果!E75&lt;=0,0,1)</f>
        <v>0</v>
      </c>
      <c r="F75" s="4">
        <f>IF(香港新定位结果!F75&lt;=0,0,1)</f>
        <v>0</v>
      </c>
      <c r="G75" s="4">
        <f>IF(香港新定位结果!G75&lt;=0,0,1)</f>
        <v>1</v>
      </c>
      <c r="H75" s="4">
        <f>IF(香港新定位结果!H75&lt;=0,0,1)</f>
        <v>1</v>
      </c>
      <c r="I75" s="4">
        <f>IF(香港新定位结果!I75&lt;=0,0,1)</f>
        <v>0</v>
      </c>
      <c r="J75" s="4">
        <f>IF(香港新定位结果!J75&lt;=0,0,1)</f>
        <v>0</v>
      </c>
      <c r="K75" s="4">
        <f>IF(香港新定位结果!K75&lt;=0,0,1)</f>
        <v>1</v>
      </c>
      <c r="L75" s="4">
        <f>IF(香港新定位结果!L75&lt;=0,0,1)</f>
        <v>1</v>
      </c>
      <c r="M75" s="4">
        <f>IF(香港新定位结果!M75&lt;=0,0,1)</f>
        <v>0</v>
      </c>
      <c r="N75" s="4">
        <f>IF(香港新定位结果!N75&lt;=0,0,1)</f>
        <v>0</v>
      </c>
      <c r="O75" s="4">
        <f>IF(香港新定位结果!O75&lt;=0,0,1)</f>
        <v>1</v>
      </c>
    </row>
    <row r="76" spans="1:15">
      <c r="A76" s="4" t="s">
        <v>391</v>
      </c>
      <c r="B76" s="4">
        <f>IF(香港新定位结果!B76&lt;=0,0,1)</f>
        <v>0</v>
      </c>
      <c r="C76" s="4">
        <f>IF(香港新定位结果!C76&lt;=0,0,1)</f>
        <v>1</v>
      </c>
      <c r="D76" s="4">
        <f>IF(香港新定位结果!D76&lt;=0,0,1)</f>
        <v>0</v>
      </c>
      <c r="E76" s="4">
        <f>IF(香港新定位结果!E76&lt;=0,0,1)</f>
        <v>1</v>
      </c>
      <c r="F76" s="4">
        <f>IF(香港新定位结果!F76&lt;=0,0,1)</f>
        <v>0</v>
      </c>
      <c r="G76" s="4">
        <f>IF(香港新定位结果!G76&lt;=0,0,1)</f>
        <v>0</v>
      </c>
      <c r="H76" s="4">
        <f>IF(香港新定位结果!H76&lt;=0,0,1)</f>
        <v>1</v>
      </c>
      <c r="I76" s="4">
        <f>IF(香港新定位结果!I76&lt;=0,0,1)</f>
        <v>0</v>
      </c>
      <c r="J76" s="4">
        <f>IF(香港新定位结果!J76&lt;=0,0,1)</f>
        <v>1</v>
      </c>
      <c r="K76" s="4">
        <f>IF(香港新定位结果!K76&lt;=0,0,1)</f>
        <v>1</v>
      </c>
      <c r="L76" s="4">
        <f>IF(香港新定位结果!L76&lt;=0,0,1)</f>
        <v>0</v>
      </c>
      <c r="M76" s="4">
        <f>IF(香港新定位结果!M76&lt;=0,0,1)</f>
        <v>0</v>
      </c>
      <c r="N76" s="4">
        <f>IF(香港新定位结果!N76&lt;=0,0,1)</f>
        <v>1</v>
      </c>
      <c r="O76" s="4">
        <f>IF(香港新定位结果!O76&lt;=0,0,1)</f>
        <v>0</v>
      </c>
    </row>
    <row r="77" spans="1:15">
      <c r="A77" s="4" t="s">
        <v>399</v>
      </c>
      <c r="B77" s="4">
        <f>IF(香港新定位结果!B77&lt;=0,0,1)</f>
        <v>0</v>
      </c>
      <c r="C77" s="4">
        <f>IF(香港新定位结果!C77&lt;=0,0,1)</f>
        <v>1</v>
      </c>
      <c r="D77" s="4">
        <f>IF(香港新定位结果!D77&lt;=0,0,1)</f>
        <v>0</v>
      </c>
      <c r="E77" s="4">
        <f>IF(香港新定位结果!E77&lt;=0,0,1)</f>
        <v>0</v>
      </c>
      <c r="F77" s="4">
        <f>IF(香港新定位结果!F77&lt;=0,0,1)</f>
        <v>0</v>
      </c>
      <c r="G77" s="4">
        <f>IF(香港新定位结果!G77&lt;=0,0,1)</f>
        <v>0</v>
      </c>
      <c r="H77" s="4">
        <f>IF(香港新定位结果!H77&lt;=0,0,1)</f>
        <v>0</v>
      </c>
      <c r="I77" s="4">
        <f>IF(香港新定位结果!I77&lt;=0,0,1)</f>
        <v>1</v>
      </c>
      <c r="J77" s="4">
        <f>IF(香港新定位结果!J77&lt;=0,0,1)</f>
        <v>0</v>
      </c>
      <c r="K77" s="4">
        <f>IF(香港新定位结果!K77&lt;=0,0,1)</f>
        <v>1</v>
      </c>
      <c r="L77" s="4">
        <f>IF(香港新定位结果!L77&lt;=0,0,1)</f>
        <v>1</v>
      </c>
      <c r="M77" s="4">
        <f>IF(香港新定位结果!M77&lt;=0,0,1)</f>
        <v>0</v>
      </c>
      <c r="N77" s="4">
        <f>IF(香港新定位结果!N77&lt;=0,0,1)</f>
        <v>1</v>
      </c>
      <c r="O77" s="4">
        <f>IF(香港新定位结果!O77&lt;=0,0,1)</f>
        <v>0</v>
      </c>
    </row>
    <row r="78" spans="1:15">
      <c r="A78" s="4" t="s">
        <v>405</v>
      </c>
      <c r="B78" s="4">
        <f>IF(香港新定位结果!B78&lt;=0,0,1)</f>
        <v>1</v>
      </c>
      <c r="C78" s="4">
        <f>IF(香港新定位结果!C78&lt;=0,0,1)</f>
        <v>1</v>
      </c>
      <c r="D78" s="4">
        <f>IF(香港新定位结果!D78&lt;=0,0,1)</f>
        <v>0</v>
      </c>
      <c r="E78" s="4">
        <f>IF(香港新定位结果!E78&lt;=0,0,1)</f>
        <v>0</v>
      </c>
      <c r="F78" s="4">
        <f>IF(香港新定位结果!F78&lt;=0,0,1)</f>
        <v>0</v>
      </c>
      <c r="G78" s="4">
        <f>IF(香港新定位结果!G78&lt;=0,0,1)</f>
        <v>1</v>
      </c>
      <c r="H78" s="4">
        <f>IF(香港新定位结果!H78&lt;=0,0,1)</f>
        <v>1</v>
      </c>
      <c r="I78" s="4">
        <f>IF(香港新定位结果!I78&lt;=0,0,1)</f>
        <v>1</v>
      </c>
      <c r="J78" s="4">
        <f>IF(香港新定位结果!J78&lt;=0,0,1)</f>
        <v>1</v>
      </c>
      <c r="K78" s="4">
        <f>IF(香港新定位结果!K78&lt;=0,0,1)</f>
        <v>0</v>
      </c>
      <c r="L78" s="4">
        <f>IF(香港新定位结果!L78&lt;=0,0,1)</f>
        <v>0</v>
      </c>
      <c r="M78" s="4">
        <f>IF(香港新定位结果!M78&lt;=0,0,1)</f>
        <v>0</v>
      </c>
      <c r="N78" s="4">
        <f>IF(香港新定位结果!N78&lt;=0,0,1)</f>
        <v>1</v>
      </c>
      <c r="O78" s="4">
        <f>IF(香港新定位结果!O78&lt;=0,0,1)</f>
        <v>1</v>
      </c>
    </row>
    <row r="79" spans="1:15">
      <c r="A79" s="4" t="s">
        <v>409</v>
      </c>
      <c r="B79" s="4">
        <f>IF(香港新定位结果!B79&lt;=0,0,1)</f>
        <v>0</v>
      </c>
      <c r="C79" s="4">
        <f>IF(香港新定位结果!C79&lt;=0,0,1)</f>
        <v>1</v>
      </c>
      <c r="D79" s="4">
        <f>IF(香港新定位结果!D79&lt;=0,0,1)</f>
        <v>0</v>
      </c>
      <c r="E79" s="4">
        <f>IF(香港新定位结果!E79&lt;=0,0,1)</f>
        <v>0</v>
      </c>
      <c r="F79" s="4">
        <f>IF(香港新定位结果!F79&lt;=0,0,1)</f>
        <v>1</v>
      </c>
      <c r="G79" s="4">
        <f>IF(香港新定位结果!G79&lt;=0,0,1)</f>
        <v>0</v>
      </c>
      <c r="H79" s="4">
        <f>IF(香港新定位结果!H79&lt;=0,0,1)</f>
        <v>0</v>
      </c>
      <c r="I79" s="4">
        <f>IF(香港新定位结果!I79&lt;=0,0,1)</f>
        <v>1</v>
      </c>
      <c r="J79" s="4">
        <f>IF(香港新定位结果!J79&lt;=0,0,1)</f>
        <v>0</v>
      </c>
      <c r="K79" s="4">
        <f>IF(香港新定位结果!K79&lt;=0,0,1)</f>
        <v>1</v>
      </c>
      <c r="L79" s="4">
        <f>IF(香港新定位结果!L79&lt;=0,0,1)</f>
        <v>0</v>
      </c>
      <c r="M79" s="4">
        <f>IF(香港新定位结果!M79&lt;=0,0,1)</f>
        <v>0</v>
      </c>
      <c r="N79" s="4">
        <f>IF(香港新定位结果!N79&lt;=0,0,1)</f>
        <v>0</v>
      </c>
      <c r="O79" s="4">
        <f>IF(香港新定位结果!O79&lt;=0,0,1)</f>
        <v>1</v>
      </c>
    </row>
    <row r="80" spans="1:15">
      <c r="A80" s="4" t="s">
        <v>413</v>
      </c>
      <c r="B80" s="4">
        <f>IF(香港新定位结果!B80&lt;=0,0,1)</f>
        <v>0</v>
      </c>
      <c r="C80" s="4">
        <f>IF(香港新定位结果!C80&lt;=0,0,1)</f>
        <v>1</v>
      </c>
      <c r="D80" s="4">
        <f>IF(香港新定位结果!D80&lt;=0,0,1)</f>
        <v>0</v>
      </c>
      <c r="E80" s="4">
        <f>IF(香港新定位结果!E80&lt;=0,0,1)</f>
        <v>0</v>
      </c>
      <c r="F80" s="4">
        <f>IF(香港新定位结果!F80&lt;=0,0,1)</f>
        <v>1</v>
      </c>
      <c r="G80" s="4">
        <f>IF(香港新定位结果!G80&lt;=0,0,1)</f>
        <v>0</v>
      </c>
      <c r="H80" s="4">
        <f>IF(香港新定位结果!H80&lt;=0,0,1)</f>
        <v>1</v>
      </c>
      <c r="I80" s="4">
        <f>IF(香港新定位结果!I80&lt;=0,0,1)</f>
        <v>1</v>
      </c>
      <c r="J80" s="4">
        <f>IF(香港新定位结果!J80&lt;=0,0,1)</f>
        <v>1</v>
      </c>
      <c r="K80" s="4">
        <f>IF(香港新定位结果!K80&lt;=0,0,1)</f>
        <v>0</v>
      </c>
      <c r="L80" s="4">
        <f>IF(香港新定位结果!L80&lt;=0,0,1)</f>
        <v>1</v>
      </c>
      <c r="M80" s="4">
        <f>IF(香港新定位结果!M80&lt;=0,0,1)</f>
        <v>0</v>
      </c>
      <c r="N80" s="4">
        <f>IF(香港新定位结果!N80&lt;=0,0,1)</f>
        <v>0</v>
      </c>
      <c r="O80" s="4">
        <f>IF(香港新定位结果!O80&lt;=0,0,1)</f>
        <v>1</v>
      </c>
    </row>
    <row r="81" spans="1:15">
      <c r="A81" s="4" t="s">
        <v>419</v>
      </c>
      <c r="B81" s="4">
        <f>IF(香港新定位结果!B81&lt;=0,0,1)</f>
        <v>0</v>
      </c>
      <c r="C81" s="4">
        <f>IF(香港新定位结果!C81&lt;=0,0,1)</f>
        <v>1</v>
      </c>
      <c r="D81" s="4">
        <f>IF(香港新定位结果!D81&lt;=0,0,1)</f>
        <v>1</v>
      </c>
      <c r="E81" s="4">
        <f>IF(香港新定位结果!E81&lt;=0,0,1)</f>
        <v>0</v>
      </c>
      <c r="F81" s="4">
        <f>IF(香港新定位结果!F81&lt;=0,0,1)</f>
        <v>1</v>
      </c>
      <c r="G81" s="4">
        <f>IF(香港新定位结果!G81&lt;=0,0,1)</f>
        <v>0</v>
      </c>
      <c r="H81" s="4">
        <f>IF(香港新定位结果!H81&lt;=0,0,1)</f>
        <v>0</v>
      </c>
      <c r="I81" s="4">
        <f>IF(香港新定位结果!I81&lt;=0,0,1)</f>
        <v>1</v>
      </c>
      <c r="J81" s="4">
        <f>IF(香港新定位结果!J81&lt;=0,0,1)</f>
        <v>0</v>
      </c>
      <c r="K81" s="4">
        <f>IF(香港新定位结果!K81&lt;=0,0,1)</f>
        <v>1</v>
      </c>
      <c r="L81" s="4">
        <f>IF(香港新定位结果!L81&lt;=0,0,1)</f>
        <v>0</v>
      </c>
      <c r="M81" s="4">
        <f>IF(香港新定位结果!M81&lt;=0,0,1)</f>
        <v>1</v>
      </c>
      <c r="N81" s="4">
        <f>IF(香港新定位结果!N81&lt;=0,0,1)</f>
        <v>0</v>
      </c>
      <c r="O81" s="4">
        <f>IF(香港新定位结果!O81&lt;=0,0,1)</f>
        <v>1</v>
      </c>
    </row>
    <row r="82" spans="1:15">
      <c r="A82" s="4" t="s">
        <v>423</v>
      </c>
      <c r="B82" s="4">
        <f>IF(香港新定位结果!B82&lt;=0,0,1)</f>
        <v>0</v>
      </c>
      <c r="C82" s="4">
        <f>IF(香港新定位结果!C82&lt;=0,0,1)</f>
        <v>0</v>
      </c>
      <c r="D82" s="4">
        <f>IF(香港新定位结果!D82&lt;=0,0,1)</f>
        <v>0</v>
      </c>
      <c r="E82" s="4">
        <f>IF(香港新定位结果!E82&lt;=0,0,1)</f>
        <v>0</v>
      </c>
      <c r="F82" s="4">
        <f>IF(香港新定位结果!F82&lt;=0,0,1)</f>
        <v>1</v>
      </c>
      <c r="G82" s="4">
        <f>IF(香港新定位结果!G82&lt;=0,0,1)</f>
        <v>0</v>
      </c>
      <c r="H82" s="4">
        <f>IF(香港新定位结果!H82&lt;=0,0,1)</f>
        <v>0</v>
      </c>
      <c r="I82" s="4">
        <f>IF(香港新定位结果!I82&lt;=0,0,1)</f>
        <v>0</v>
      </c>
      <c r="J82" s="4">
        <f>IF(香港新定位结果!J82&lt;=0,0,1)</f>
        <v>0</v>
      </c>
      <c r="K82" s="4">
        <f>IF(香港新定位结果!K82&lt;=0,0,1)</f>
        <v>0</v>
      </c>
      <c r="L82" s="4">
        <f>IF(香港新定位结果!L82&lt;=0,0,1)</f>
        <v>0</v>
      </c>
      <c r="M82" s="4">
        <f>IF(香港新定位结果!M82&lt;=0,0,1)</f>
        <v>0</v>
      </c>
      <c r="N82" s="4">
        <f>IF(香港新定位结果!N82&lt;=0,0,1)</f>
        <v>0</v>
      </c>
      <c r="O82" s="4">
        <f>IF(香港新定位结果!O82&lt;=0,0,1)</f>
        <v>1</v>
      </c>
    </row>
    <row r="83" spans="1:15">
      <c r="A83" s="4" t="s">
        <v>433</v>
      </c>
      <c r="B83" s="4">
        <f>IF(香港新定位结果!B83&lt;=0,0,1)</f>
        <v>1</v>
      </c>
      <c r="C83" s="4">
        <f>IF(香港新定位结果!C83&lt;=0,0,1)</f>
        <v>0</v>
      </c>
      <c r="D83" s="4">
        <f>IF(香港新定位结果!D83&lt;=0,0,1)</f>
        <v>0</v>
      </c>
      <c r="E83" s="4">
        <f>IF(香港新定位结果!E83&lt;=0,0,1)</f>
        <v>1</v>
      </c>
      <c r="F83" s="4">
        <f>IF(香港新定位结果!F83&lt;=0,0,1)</f>
        <v>1</v>
      </c>
      <c r="G83" s="4">
        <f>IF(香港新定位结果!G83&lt;=0,0,1)</f>
        <v>1</v>
      </c>
      <c r="H83" s="4">
        <f>IF(香港新定位结果!H83&lt;=0,0,1)</f>
        <v>1</v>
      </c>
      <c r="I83" s="4">
        <f>IF(香港新定位结果!I83&lt;=0,0,1)</f>
        <v>1</v>
      </c>
      <c r="J83" s="4">
        <f>IF(香港新定位结果!J83&lt;=0,0,1)</f>
        <v>0</v>
      </c>
      <c r="K83" s="4">
        <f>IF(香港新定位结果!K83&lt;=0,0,1)</f>
        <v>1</v>
      </c>
      <c r="L83" s="4">
        <f>IF(香港新定位结果!L83&lt;=0,0,1)</f>
        <v>1</v>
      </c>
      <c r="M83" s="4">
        <f>IF(香港新定位结果!M83&lt;=0,0,1)</f>
        <v>0</v>
      </c>
      <c r="N83" s="4">
        <f>IF(香港新定位结果!N83&lt;=0,0,1)</f>
        <v>0</v>
      </c>
      <c r="O83" s="4">
        <f>IF(香港新定位结果!O83&lt;=0,0,1)</f>
        <v>0</v>
      </c>
    </row>
    <row r="84" spans="1:15">
      <c r="A84" s="4" t="s">
        <v>437</v>
      </c>
      <c r="B84" s="4">
        <f>IF(香港新定位结果!B84&lt;=0,0,1)</f>
        <v>0</v>
      </c>
      <c r="C84" s="4">
        <f>IF(香港新定位结果!C84&lt;=0,0,1)</f>
        <v>1</v>
      </c>
      <c r="D84" s="4">
        <f>IF(香港新定位结果!D84&lt;=0,0,1)</f>
        <v>0</v>
      </c>
      <c r="E84" s="4">
        <f>IF(香港新定位结果!E84&lt;=0,0,1)</f>
        <v>1</v>
      </c>
      <c r="F84" s="4">
        <f>IF(香港新定位结果!F84&lt;=0,0,1)</f>
        <v>0</v>
      </c>
      <c r="G84" s="4">
        <f>IF(香港新定位结果!G84&lt;=0,0,1)</f>
        <v>0</v>
      </c>
      <c r="H84" s="4">
        <f>IF(香港新定位结果!H84&lt;=0,0,1)</f>
        <v>0</v>
      </c>
      <c r="I84" s="4">
        <f>IF(香港新定位结果!I84&lt;=0,0,1)</f>
        <v>0</v>
      </c>
      <c r="J84" s="4">
        <f>IF(香港新定位结果!J84&lt;=0,0,1)</f>
        <v>0</v>
      </c>
      <c r="K84" s="4">
        <f>IF(香港新定位结果!K84&lt;=0,0,1)</f>
        <v>0</v>
      </c>
      <c r="L84" s="4">
        <f>IF(香港新定位结果!L84&lt;=0,0,1)</f>
        <v>1</v>
      </c>
      <c r="M84" s="4">
        <f>IF(香港新定位结果!M84&lt;=0,0,1)</f>
        <v>1</v>
      </c>
      <c r="N84" s="4">
        <f>IF(香港新定位结果!N84&lt;=0,0,1)</f>
        <v>0</v>
      </c>
      <c r="O84" s="4">
        <f>IF(香港新定位结果!O84&lt;=0,0,1)</f>
        <v>0</v>
      </c>
    </row>
    <row r="85" spans="1:15">
      <c r="A85" s="4" t="s">
        <v>441</v>
      </c>
      <c r="B85" s="4">
        <f>IF(香港新定位结果!B85&lt;=0,0,1)</f>
        <v>0</v>
      </c>
      <c r="C85" s="4">
        <f>IF(香港新定位结果!C85&lt;=0,0,1)</f>
        <v>1</v>
      </c>
      <c r="D85" s="4">
        <f>IF(香港新定位结果!D85&lt;=0,0,1)</f>
        <v>0</v>
      </c>
      <c r="E85" s="4">
        <f>IF(香港新定位结果!E85&lt;=0,0,1)</f>
        <v>0</v>
      </c>
      <c r="F85" s="4">
        <f>IF(香港新定位结果!F85&lt;=0,0,1)</f>
        <v>0</v>
      </c>
      <c r="G85" s="4">
        <f>IF(香港新定位结果!G85&lt;=0,0,1)</f>
        <v>0</v>
      </c>
      <c r="H85" s="4">
        <f>IF(香港新定位结果!H85&lt;=0,0,1)</f>
        <v>1</v>
      </c>
      <c r="I85" s="4">
        <f>IF(香港新定位结果!I85&lt;=0,0,1)</f>
        <v>1</v>
      </c>
      <c r="J85" s="4">
        <f>IF(香港新定位结果!J85&lt;=0,0,1)</f>
        <v>1</v>
      </c>
      <c r="K85" s="4">
        <f>IF(香港新定位结果!K85&lt;=0,0,1)</f>
        <v>1</v>
      </c>
      <c r="L85" s="4">
        <f>IF(香港新定位结果!L85&lt;=0,0,1)</f>
        <v>1</v>
      </c>
      <c r="M85" s="4">
        <f>IF(香港新定位结果!M85&lt;=0,0,1)</f>
        <v>1</v>
      </c>
      <c r="N85" s="4">
        <f>IF(香港新定位结果!N85&lt;=0,0,1)</f>
        <v>0</v>
      </c>
      <c r="O85" s="4">
        <f>IF(香港新定位结果!O85&lt;=0,0,1)</f>
        <v>0</v>
      </c>
    </row>
    <row r="86" spans="1:15">
      <c r="A86" s="4" t="s">
        <v>447</v>
      </c>
      <c r="B86" s="4">
        <f>IF(香港新定位结果!B86&lt;=0,0,1)</f>
        <v>0</v>
      </c>
      <c r="C86" s="4">
        <f>IF(香港新定位结果!C86&lt;=0,0,1)</f>
        <v>0</v>
      </c>
      <c r="D86" s="4">
        <f>IF(香港新定位结果!D86&lt;=0,0,1)</f>
        <v>0</v>
      </c>
      <c r="E86" s="4">
        <f>IF(香港新定位结果!E86&lt;=0,0,1)</f>
        <v>0</v>
      </c>
      <c r="F86" s="4">
        <f>IF(香港新定位结果!F86&lt;=0,0,1)</f>
        <v>0</v>
      </c>
      <c r="G86" s="4">
        <f>IF(香港新定位结果!G86&lt;=0,0,1)</f>
        <v>0</v>
      </c>
      <c r="H86" s="4">
        <f>IF(香港新定位结果!H86&lt;=0,0,1)</f>
        <v>0</v>
      </c>
      <c r="I86" s="4">
        <f>IF(香港新定位结果!I86&lt;=0,0,1)</f>
        <v>1</v>
      </c>
      <c r="J86" s="4">
        <f>IF(香港新定位结果!J86&lt;=0,0,1)</f>
        <v>0</v>
      </c>
      <c r="K86" s="4">
        <f>IF(香港新定位结果!K86&lt;=0,0,1)</f>
        <v>1</v>
      </c>
      <c r="L86" s="4">
        <f>IF(香港新定位结果!L86&lt;=0,0,1)</f>
        <v>0</v>
      </c>
      <c r="M86" s="4">
        <f>IF(香港新定位结果!M86&lt;=0,0,1)</f>
        <v>0</v>
      </c>
      <c r="N86" s="4">
        <f>IF(香港新定位结果!N86&lt;=0,0,1)</f>
        <v>1</v>
      </c>
      <c r="O86" s="4">
        <f>IF(香港新定位结果!O86&lt;=0,0,1)</f>
        <v>1</v>
      </c>
    </row>
    <row r="87" spans="1:15">
      <c r="A87" s="4" t="s">
        <v>451</v>
      </c>
      <c r="B87" s="4">
        <f>IF(香港新定位结果!B87&lt;=0,0,1)</f>
        <v>0</v>
      </c>
      <c r="C87" s="4">
        <f>IF(香港新定位结果!C87&lt;=0,0,1)</f>
        <v>1</v>
      </c>
      <c r="D87" s="4">
        <f>IF(香港新定位结果!D87&lt;=0,0,1)</f>
        <v>0</v>
      </c>
      <c r="E87" s="4">
        <f>IF(香港新定位结果!E87&lt;=0,0,1)</f>
        <v>1</v>
      </c>
      <c r="F87" s="4">
        <f>IF(香港新定位结果!F87&lt;=0,0,1)</f>
        <v>0</v>
      </c>
      <c r="G87" s="4">
        <f>IF(香港新定位结果!G87&lt;=0,0,1)</f>
        <v>0</v>
      </c>
      <c r="H87" s="4">
        <f>IF(香港新定位结果!H87&lt;=0,0,1)</f>
        <v>0</v>
      </c>
      <c r="I87" s="4">
        <f>IF(香港新定位结果!I87&lt;=0,0,1)</f>
        <v>0</v>
      </c>
      <c r="J87" s="4">
        <f>IF(香港新定位结果!J87&lt;=0,0,1)</f>
        <v>1</v>
      </c>
      <c r="K87" s="4">
        <f>IF(香港新定位结果!K87&lt;=0,0,1)</f>
        <v>1</v>
      </c>
      <c r="L87" s="4">
        <f>IF(香港新定位结果!L87&lt;=0,0,1)</f>
        <v>1</v>
      </c>
      <c r="M87" s="4">
        <f>IF(香港新定位结果!M87&lt;=0,0,1)</f>
        <v>0</v>
      </c>
      <c r="N87" s="4">
        <f>IF(香港新定位结果!N87&lt;=0,0,1)</f>
        <v>0</v>
      </c>
      <c r="O87" s="4">
        <f>IF(香港新定位结果!O87&lt;=0,0,1)</f>
        <v>0</v>
      </c>
    </row>
    <row r="88" spans="1:15">
      <c r="A88" s="4" t="s">
        <v>455</v>
      </c>
      <c r="B88" s="4">
        <f>IF(香港新定位结果!B88&lt;=0,0,1)</f>
        <v>0</v>
      </c>
      <c r="C88" s="4">
        <f>IF(香港新定位结果!C88&lt;=0,0,1)</f>
        <v>1</v>
      </c>
      <c r="D88" s="4">
        <f>IF(香港新定位结果!D88&lt;=0,0,1)</f>
        <v>1</v>
      </c>
      <c r="E88" s="4">
        <f>IF(香港新定位结果!E88&lt;=0,0,1)</f>
        <v>0</v>
      </c>
      <c r="F88" s="4">
        <f>IF(香港新定位结果!F88&lt;=0,0,1)</f>
        <v>1</v>
      </c>
      <c r="G88" s="4">
        <f>IF(香港新定位结果!G88&lt;=0,0,1)</f>
        <v>0</v>
      </c>
      <c r="H88" s="4">
        <f>IF(香港新定位结果!H88&lt;=0,0,1)</f>
        <v>0</v>
      </c>
      <c r="I88" s="4">
        <f>IF(香港新定位结果!I88&lt;=0,0,1)</f>
        <v>1</v>
      </c>
      <c r="J88" s="4">
        <f>IF(香港新定位结果!J88&lt;=0,0,1)</f>
        <v>0</v>
      </c>
      <c r="K88" s="4">
        <f>IF(香港新定位结果!K88&lt;=0,0,1)</f>
        <v>0</v>
      </c>
      <c r="L88" s="4">
        <f>IF(香港新定位结果!L88&lt;=0,0,1)</f>
        <v>0</v>
      </c>
      <c r="M88" s="4">
        <f>IF(香港新定位结果!M88&lt;=0,0,1)</f>
        <v>1</v>
      </c>
      <c r="N88" s="4">
        <f>IF(香港新定位结果!N88&lt;=0,0,1)</f>
        <v>0</v>
      </c>
      <c r="O88" s="4">
        <f>IF(香港新定位结果!O88&lt;=0,0,1)</f>
        <v>1</v>
      </c>
    </row>
    <row r="89" spans="1:15">
      <c r="A89" s="4" t="s">
        <v>461</v>
      </c>
      <c r="B89" s="4">
        <f>IF(香港新定位结果!B89&lt;=0,0,1)</f>
        <v>0</v>
      </c>
      <c r="C89" s="4">
        <f>IF(香港新定位结果!C89&lt;=0,0,1)</f>
        <v>0</v>
      </c>
      <c r="D89" s="4">
        <f>IF(香港新定位结果!D89&lt;=0,0,1)</f>
        <v>0</v>
      </c>
      <c r="E89" s="4">
        <f>IF(香港新定位结果!E89&lt;=0,0,1)</f>
        <v>0</v>
      </c>
      <c r="F89" s="4">
        <f>IF(香港新定位结果!F89&lt;=0,0,1)</f>
        <v>0</v>
      </c>
      <c r="G89" s="4">
        <f>IF(香港新定位结果!G89&lt;=0,0,1)</f>
        <v>0</v>
      </c>
      <c r="H89" s="4">
        <f>IF(香港新定位结果!H89&lt;=0,0,1)</f>
        <v>1</v>
      </c>
      <c r="I89" s="4">
        <f>IF(香港新定位结果!I89&lt;=0,0,1)</f>
        <v>1</v>
      </c>
      <c r="J89" s="4">
        <f>IF(香港新定位结果!J89&lt;=0,0,1)</f>
        <v>0</v>
      </c>
      <c r="K89" s="4">
        <f>IF(香港新定位结果!K89&lt;=0,0,1)</f>
        <v>0</v>
      </c>
      <c r="L89" s="4">
        <f>IF(香港新定位结果!L89&lt;=0,0,1)</f>
        <v>0</v>
      </c>
      <c r="M89" s="4">
        <f>IF(香港新定位结果!M89&lt;=0,0,1)</f>
        <v>0</v>
      </c>
      <c r="N89" s="4">
        <f>IF(香港新定位结果!N89&lt;=0,0,1)</f>
        <v>0</v>
      </c>
      <c r="O89" s="4">
        <f>IF(香港新定位结果!O89&lt;=0,0,1)</f>
        <v>0</v>
      </c>
    </row>
    <row r="90" spans="1:15">
      <c r="A90" s="4" t="s">
        <v>465</v>
      </c>
      <c r="B90" s="4">
        <f>IF(香港新定位结果!B90&lt;=0,0,1)</f>
        <v>1</v>
      </c>
      <c r="C90" s="4">
        <f>IF(香港新定位结果!C90&lt;=0,0,1)</f>
        <v>0</v>
      </c>
      <c r="D90" s="4">
        <f>IF(香港新定位结果!D90&lt;=0,0,1)</f>
        <v>1</v>
      </c>
      <c r="E90" s="4">
        <f>IF(香港新定位结果!E90&lt;=0,0,1)</f>
        <v>1</v>
      </c>
      <c r="F90" s="4">
        <f>IF(香港新定位结果!F90&lt;=0,0,1)</f>
        <v>1</v>
      </c>
      <c r="G90" s="4">
        <f>IF(香港新定位结果!G90&lt;=0,0,1)</f>
        <v>0</v>
      </c>
      <c r="H90" s="4">
        <f>IF(香港新定位结果!H90&lt;=0,0,1)</f>
        <v>0</v>
      </c>
      <c r="I90" s="4">
        <f>IF(香港新定位结果!I90&lt;=0,0,1)</f>
        <v>1</v>
      </c>
      <c r="J90" s="4">
        <f>IF(香港新定位结果!J90&lt;=0,0,1)</f>
        <v>1</v>
      </c>
      <c r="K90" s="4">
        <f>IF(香港新定位结果!K90&lt;=0,0,1)</f>
        <v>1</v>
      </c>
      <c r="L90" s="4">
        <f>IF(香港新定位结果!L90&lt;=0,0,1)</f>
        <v>1</v>
      </c>
      <c r="M90" s="4">
        <f>IF(香港新定位结果!M90&lt;=0,0,1)</f>
        <v>1</v>
      </c>
      <c r="N90" s="4">
        <f>IF(香港新定位结果!N90&lt;=0,0,1)</f>
        <v>0</v>
      </c>
      <c r="O90" s="4">
        <f>IF(香港新定位结果!O90&lt;=0,0,1)</f>
        <v>1</v>
      </c>
    </row>
    <row r="91" spans="1:15">
      <c r="A91" s="4" t="s">
        <v>469</v>
      </c>
      <c r="B91" s="4">
        <f>IF(香港新定位结果!B91&lt;=0,0,1)</f>
        <v>1</v>
      </c>
      <c r="C91" s="4">
        <f>IF(香港新定位结果!C91&lt;=0,0,1)</f>
        <v>1</v>
      </c>
      <c r="D91" s="4">
        <f>IF(香港新定位结果!D91&lt;=0,0,1)</f>
        <v>1</v>
      </c>
      <c r="E91" s="4">
        <f>IF(香港新定位结果!E91&lt;=0,0,1)</f>
        <v>1</v>
      </c>
      <c r="F91" s="4">
        <f>IF(香港新定位结果!F91&lt;=0,0,1)</f>
        <v>1</v>
      </c>
      <c r="G91" s="4">
        <f>IF(香港新定位结果!G91&lt;=0,0,1)</f>
        <v>1</v>
      </c>
      <c r="H91" s="4">
        <f>IF(香港新定位结果!H91&lt;=0,0,1)</f>
        <v>0</v>
      </c>
      <c r="I91" s="4">
        <f>IF(香港新定位结果!I91&lt;=0,0,1)</f>
        <v>1</v>
      </c>
      <c r="J91" s="4">
        <f>IF(香港新定位结果!J91&lt;=0,0,1)</f>
        <v>0</v>
      </c>
      <c r="K91" s="4">
        <f>IF(香港新定位结果!K91&lt;=0,0,1)</f>
        <v>0</v>
      </c>
      <c r="L91" s="4">
        <f>IF(香港新定位结果!L91&lt;=0,0,1)</f>
        <v>0</v>
      </c>
      <c r="M91" s="4">
        <f>IF(香港新定位结果!M91&lt;=0,0,1)</f>
        <v>0</v>
      </c>
      <c r="N91" s="4">
        <f>IF(香港新定位结果!N91&lt;=0,0,1)</f>
        <v>1</v>
      </c>
      <c r="O91" s="4">
        <f>IF(香港新定位结果!O91&lt;=0,0,1)</f>
        <v>1</v>
      </c>
    </row>
    <row r="92" spans="1:15">
      <c r="A92" s="4" t="s">
        <v>475</v>
      </c>
      <c r="B92" s="4">
        <f>IF(香港新定位结果!B92&lt;=0,0,1)</f>
        <v>0</v>
      </c>
      <c r="C92" s="4">
        <f>IF(香港新定位结果!C92&lt;=0,0,1)</f>
        <v>0</v>
      </c>
      <c r="D92" s="4">
        <f>IF(香港新定位结果!D92&lt;=0,0,1)</f>
        <v>0</v>
      </c>
      <c r="E92" s="4">
        <f>IF(香港新定位结果!E92&lt;=0,0,1)</f>
        <v>1</v>
      </c>
      <c r="F92" s="4">
        <f>IF(香港新定位结果!F92&lt;=0,0,1)</f>
        <v>1</v>
      </c>
      <c r="G92" s="4">
        <f>IF(香港新定位结果!G92&lt;=0,0,1)</f>
        <v>0</v>
      </c>
      <c r="H92" s="4">
        <f>IF(香港新定位结果!H92&lt;=0,0,1)</f>
        <v>0</v>
      </c>
      <c r="I92" s="4">
        <f>IF(香港新定位结果!I92&lt;=0,0,1)</f>
        <v>0</v>
      </c>
      <c r="J92" s="4">
        <f>IF(香港新定位结果!J92&lt;=0,0,1)</f>
        <v>0</v>
      </c>
      <c r="K92" s="4">
        <f>IF(香港新定位结果!K92&lt;=0,0,1)</f>
        <v>0</v>
      </c>
      <c r="L92" s="4">
        <f>IF(香港新定位结果!L92&lt;=0,0,1)</f>
        <v>0</v>
      </c>
      <c r="M92" s="4">
        <f>IF(香港新定位结果!M92&lt;=0,0,1)</f>
        <v>0</v>
      </c>
      <c r="N92" s="4">
        <f>IF(香港新定位结果!N92&lt;=0,0,1)</f>
        <v>0</v>
      </c>
      <c r="O92" s="4">
        <f>IF(香港新定位结果!O92&lt;=0,0,1)</f>
        <v>0</v>
      </c>
    </row>
    <row r="93" spans="1:15">
      <c r="A93" s="4" t="s">
        <v>479</v>
      </c>
      <c r="B93" s="4">
        <f>IF(香港新定位结果!B93&lt;=0,0,1)</f>
        <v>1</v>
      </c>
      <c r="C93" s="4">
        <f>IF(香港新定位结果!C93&lt;=0,0,1)</f>
        <v>1</v>
      </c>
      <c r="D93" s="4">
        <f>IF(香港新定位结果!D93&lt;=0,0,1)</f>
        <v>0</v>
      </c>
      <c r="E93" s="4">
        <f>IF(香港新定位结果!E93&lt;=0,0,1)</f>
        <v>0</v>
      </c>
      <c r="F93" s="4">
        <f>IF(香港新定位结果!F93&lt;=0,0,1)</f>
        <v>0</v>
      </c>
      <c r="G93" s="4">
        <f>IF(香港新定位结果!G93&lt;=0,0,1)</f>
        <v>1</v>
      </c>
      <c r="H93" s="4">
        <f>IF(香港新定位结果!H93&lt;=0,0,1)</f>
        <v>0</v>
      </c>
      <c r="I93" s="4">
        <f>IF(香港新定位结果!I93&lt;=0,0,1)</f>
        <v>1</v>
      </c>
      <c r="J93" s="4">
        <f>IF(香港新定位结果!J93&lt;=0,0,1)</f>
        <v>0</v>
      </c>
      <c r="K93" s="4">
        <f>IF(香港新定位结果!K93&lt;=0,0,1)</f>
        <v>1</v>
      </c>
      <c r="L93" s="4">
        <f>IF(香港新定位结果!L93&lt;=0,0,1)</f>
        <v>1</v>
      </c>
      <c r="M93" s="4">
        <f>IF(香港新定位结果!M93&lt;=0,0,1)</f>
        <v>0</v>
      </c>
      <c r="N93" s="4">
        <f>IF(香港新定位结果!N93&lt;=0,0,1)</f>
        <v>1</v>
      </c>
      <c r="O93" s="4">
        <f>IF(香港新定位结果!O93&lt;=0,0,1)</f>
        <v>0</v>
      </c>
    </row>
    <row r="94" spans="1:15">
      <c r="A94" s="4" t="s">
        <v>483</v>
      </c>
      <c r="B94" s="4">
        <f>IF(香港新定位结果!B94&lt;=0,0,1)</f>
        <v>0</v>
      </c>
      <c r="C94" s="4">
        <f>IF(香港新定位结果!C94&lt;=0,0,1)</f>
        <v>1</v>
      </c>
      <c r="D94" s="4">
        <f>IF(香港新定位结果!D94&lt;=0,0,1)</f>
        <v>0</v>
      </c>
      <c r="E94" s="4">
        <f>IF(香港新定位结果!E94&lt;=0,0,1)</f>
        <v>1</v>
      </c>
      <c r="F94" s="4">
        <f>IF(香港新定位结果!F94&lt;=0,0,1)</f>
        <v>0</v>
      </c>
      <c r="G94" s="4">
        <f>IF(香港新定位结果!G94&lt;=0,0,1)</f>
        <v>0</v>
      </c>
      <c r="H94" s="4">
        <f>IF(香港新定位结果!H94&lt;=0,0,1)</f>
        <v>0</v>
      </c>
      <c r="I94" s="4">
        <f>IF(香港新定位结果!I94&lt;=0,0,1)</f>
        <v>1</v>
      </c>
      <c r="J94" s="4">
        <f>IF(香港新定位结果!J94&lt;=0,0,1)</f>
        <v>1</v>
      </c>
      <c r="K94" s="4">
        <f>IF(香港新定位结果!K94&lt;=0,0,1)</f>
        <v>1</v>
      </c>
      <c r="L94" s="4">
        <f>IF(香港新定位结果!L94&lt;=0,0,1)</f>
        <v>1</v>
      </c>
      <c r="M94" s="4">
        <f>IF(香港新定位结果!M94&lt;=0,0,1)</f>
        <v>0</v>
      </c>
      <c r="N94" s="4">
        <f>IF(香港新定位结果!N94&lt;=0,0,1)</f>
        <v>0</v>
      </c>
      <c r="O94" s="4">
        <f>IF(香港新定位结果!O94&lt;=0,0,1)</f>
        <v>0</v>
      </c>
    </row>
    <row r="95" spans="1:15">
      <c r="A95" s="4" t="s">
        <v>489</v>
      </c>
      <c r="B95" s="4">
        <f>IF(香港新定位结果!B95&lt;=0,0,1)</f>
        <v>0</v>
      </c>
      <c r="C95" s="4">
        <f>IF(香港新定位结果!C95&lt;=0,0,1)</f>
        <v>1</v>
      </c>
      <c r="D95" s="4">
        <f>IF(香港新定位结果!D95&lt;=0,0,1)</f>
        <v>0</v>
      </c>
      <c r="E95" s="4">
        <f>IF(香港新定位结果!E95&lt;=0,0,1)</f>
        <v>1</v>
      </c>
      <c r="F95" s="4">
        <f>IF(香港新定位结果!F95&lt;=0,0,1)</f>
        <v>1</v>
      </c>
      <c r="G95" s="4">
        <f>IF(香港新定位结果!G95&lt;=0,0,1)</f>
        <v>1</v>
      </c>
      <c r="H95" s="4">
        <f>IF(香港新定位结果!H95&lt;=0,0,1)</f>
        <v>0</v>
      </c>
      <c r="I95" s="4">
        <f>IF(香港新定位结果!I95&lt;=0,0,1)</f>
        <v>1</v>
      </c>
      <c r="J95" s="4">
        <f>IF(香港新定位结果!J95&lt;=0,0,1)</f>
        <v>0</v>
      </c>
      <c r="K95" s="4">
        <f>IF(香港新定位结果!K95&lt;=0,0,1)</f>
        <v>1</v>
      </c>
      <c r="L95" s="4">
        <f>IF(香港新定位结果!L95&lt;=0,0,1)</f>
        <v>1</v>
      </c>
      <c r="M95" s="4">
        <f>IF(香港新定位结果!M95&lt;=0,0,1)</f>
        <v>0</v>
      </c>
      <c r="N95" s="4">
        <f>IF(香港新定位结果!N95&lt;=0,0,1)</f>
        <v>0</v>
      </c>
      <c r="O95" s="4">
        <f>IF(香港新定位结果!O95&lt;=0,0,1)</f>
        <v>0</v>
      </c>
    </row>
    <row r="96" spans="1:15">
      <c r="A96" s="4" t="s">
        <v>493</v>
      </c>
      <c r="B96" s="4">
        <f>IF(香港新定位结果!B96&lt;=0,0,1)</f>
        <v>1</v>
      </c>
      <c r="C96" s="4">
        <f>IF(香港新定位结果!C96&lt;=0,0,1)</f>
        <v>1</v>
      </c>
      <c r="D96" s="4">
        <f>IF(香港新定位结果!D96&lt;=0,0,1)</f>
        <v>0</v>
      </c>
      <c r="E96" s="4">
        <f>IF(香港新定位结果!E96&lt;=0,0,1)</f>
        <v>1</v>
      </c>
      <c r="F96" s="4">
        <f>IF(香港新定位结果!F96&lt;=0,0,1)</f>
        <v>1</v>
      </c>
      <c r="G96" s="4">
        <f>IF(香港新定位结果!G96&lt;=0,0,1)</f>
        <v>1</v>
      </c>
      <c r="H96" s="4">
        <f>IF(香港新定位结果!H96&lt;=0,0,1)</f>
        <v>0</v>
      </c>
      <c r="I96" s="4">
        <f>IF(香港新定位结果!I96&lt;=0,0,1)</f>
        <v>1</v>
      </c>
      <c r="J96" s="4">
        <f>IF(香港新定位结果!J96&lt;=0,0,1)</f>
        <v>0</v>
      </c>
      <c r="K96" s="4">
        <f>IF(香港新定位结果!K96&lt;=0,0,1)</f>
        <v>1</v>
      </c>
      <c r="L96" s="4">
        <f>IF(香港新定位结果!L96&lt;=0,0,1)</f>
        <v>1</v>
      </c>
      <c r="M96" s="4">
        <f>IF(香港新定位结果!M96&lt;=0,0,1)</f>
        <v>1</v>
      </c>
      <c r="N96" s="4">
        <f>IF(香港新定位结果!N96&lt;=0,0,1)</f>
        <v>0</v>
      </c>
      <c r="O96" s="4">
        <f>IF(香港新定位结果!O96&lt;=0,0,1)</f>
        <v>1</v>
      </c>
    </row>
    <row r="97" spans="1:15">
      <c r="A97" s="4" t="s">
        <v>497</v>
      </c>
      <c r="B97" s="4">
        <f>IF(香港新定位结果!B97&lt;=0,0,1)</f>
        <v>0</v>
      </c>
      <c r="C97" s="4">
        <f>IF(香港新定位结果!C97&lt;=0,0,1)</f>
        <v>1</v>
      </c>
      <c r="D97" s="4">
        <f>IF(香港新定位结果!D97&lt;=0,0,1)</f>
        <v>0</v>
      </c>
      <c r="E97" s="4">
        <f>IF(香港新定位结果!E97&lt;=0,0,1)</f>
        <v>0</v>
      </c>
      <c r="F97" s="4">
        <f>IF(香港新定位结果!F97&lt;=0,0,1)</f>
        <v>1</v>
      </c>
      <c r="G97" s="4">
        <f>IF(香港新定位结果!G97&lt;=0,0,1)</f>
        <v>0</v>
      </c>
      <c r="H97" s="4">
        <f>IF(香港新定位结果!H97&lt;=0,0,1)</f>
        <v>0</v>
      </c>
      <c r="I97" s="4">
        <f>IF(香港新定位结果!I97&lt;=0,0,1)</f>
        <v>1</v>
      </c>
      <c r="J97" s="4">
        <f>IF(香港新定位结果!J97&lt;=0,0,1)</f>
        <v>0</v>
      </c>
      <c r="K97" s="4">
        <f>IF(香港新定位结果!K97&lt;=0,0,1)</f>
        <v>1</v>
      </c>
      <c r="L97" s="4">
        <f>IF(香港新定位结果!L97&lt;=0,0,1)</f>
        <v>1</v>
      </c>
      <c r="M97" s="4">
        <f>IF(香港新定位结果!M97&lt;=0,0,1)</f>
        <v>0</v>
      </c>
      <c r="N97" s="4">
        <f>IF(香港新定位结果!N97&lt;=0,0,1)</f>
        <v>0</v>
      </c>
      <c r="O97" s="4">
        <f>IF(香港新定位结果!O97&lt;=0,0,1)</f>
        <v>1</v>
      </c>
    </row>
    <row r="98" spans="1:15">
      <c r="A98" s="4" t="s">
        <v>503</v>
      </c>
      <c r="B98" s="4">
        <f>IF(香港新定位结果!B98&lt;=0,0,1)</f>
        <v>0</v>
      </c>
      <c r="C98" s="4">
        <f>IF(香港新定位结果!C98&lt;=0,0,1)</f>
        <v>1</v>
      </c>
      <c r="D98" s="4">
        <f>IF(香港新定位结果!D98&lt;=0,0,1)</f>
        <v>0</v>
      </c>
      <c r="E98" s="4">
        <f>IF(香港新定位结果!E98&lt;=0,0,1)</f>
        <v>0</v>
      </c>
      <c r="F98" s="4">
        <f>IF(香港新定位结果!F98&lt;=0,0,1)</f>
        <v>0</v>
      </c>
      <c r="G98" s="4">
        <f>IF(香港新定位结果!G98&lt;=0,0,1)</f>
        <v>0</v>
      </c>
      <c r="H98" s="4">
        <f>IF(香港新定位结果!H98&lt;=0,0,1)</f>
        <v>0</v>
      </c>
      <c r="I98" s="4">
        <f>IF(香港新定位结果!I98&lt;=0,0,1)</f>
        <v>1</v>
      </c>
      <c r="J98" s="4">
        <f>IF(香港新定位结果!J98&lt;=0,0,1)</f>
        <v>0</v>
      </c>
      <c r="K98" s="4">
        <f>IF(香港新定位结果!K98&lt;=0,0,1)</f>
        <v>0</v>
      </c>
      <c r="L98" s="4">
        <f>IF(香港新定位结果!L98&lt;=0,0,1)</f>
        <v>1</v>
      </c>
      <c r="M98" s="4">
        <f>IF(香港新定位结果!M98&lt;=0,0,1)</f>
        <v>0</v>
      </c>
      <c r="N98" s="4">
        <f>IF(香港新定位结果!N98&lt;=0,0,1)</f>
        <v>0</v>
      </c>
      <c r="O98" s="4">
        <f>IF(香港新定位结果!O98&lt;=0,0,1)</f>
        <v>0</v>
      </c>
    </row>
    <row r="99" spans="1:15">
      <c r="A99" s="4" t="s">
        <v>507</v>
      </c>
      <c r="B99" s="4">
        <f>IF(香港新定位结果!B99&lt;=0,0,1)</f>
        <v>1</v>
      </c>
      <c r="C99" s="4">
        <f>IF(香港新定位结果!C99&lt;=0,0,1)</f>
        <v>0</v>
      </c>
      <c r="D99" s="4">
        <f>IF(香港新定位结果!D99&lt;=0,0,1)</f>
        <v>1</v>
      </c>
      <c r="E99" s="4">
        <f>IF(香港新定位结果!E99&lt;=0,0,1)</f>
        <v>1</v>
      </c>
      <c r="F99" s="4">
        <f>IF(香港新定位结果!F99&lt;=0,0,1)</f>
        <v>0</v>
      </c>
      <c r="G99" s="4">
        <f>IF(香港新定位结果!G99&lt;=0,0,1)</f>
        <v>0</v>
      </c>
      <c r="H99" s="4">
        <f>IF(香港新定位结果!H99&lt;=0,0,1)</f>
        <v>0</v>
      </c>
      <c r="I99" s="4">
        <f>IF(香港新定位结果!I99&lt;=0,0,1)</f>
        <v>1</v>
      </c>
      <c r="J99" s="4">
        <f>IF(香港新定位结果!J99&lt;=0,0,1)</f>
        <v>0</v>
      </c>
      <c r="K99" s="4">
        <f>IF(香港新定位结果!K99&lt;=0,0,1)</f>
        <v>1</v>
      </c>
      <c r="L99" s="4">
        <f>IF(香港新定位结果!L99&lt;=0,0,1)</f>
        <v>1</v>
      </c>
      <c r="M99" s="4">
        <f>IF(香港新定位结果!M99&lt;=0,0,1)</f>
        <v>1</v>
      </c>
      <c r="N99" s="4">
        <f>IF(香港新定位结果!N99&lt;=0,0,1)</f>
        <v>0</v>
      </c>
      <c r="O99" s="4">
        <f>IF(香港新定位结果!O99&lt;=0,0,1)</f>
        <v>1</v>
      </c>
    </row>
    <row r="100" spans="1:15">
      <c r="A100" s="4" t="s">
        <v>513</v>
      </c>
      <c r="B100" s="4">
        <f>IF(香港新定位结果!B100&lt;=0,0,1)</f>
        <v>0</v>
      </c>
      <c r="C100" s="4">
        <f>IF(香港新定位结果!C100&lt;=0,0,1)</f>
        <v>0</v>
      </c>
      <c r="D100" s="4">
        <f>IF(香港新定位结果!D100&lt;=0,0,1)</f>
        <v>0</v>
      </c>
      <c r="E100" s="4">
        <f>IF(香港新定位结果!E100&lt;=0,0,1)</f>
        <v>1</v>
      </c>
      <c r="F100" s="4">
        <f>IF(香港新定位结果!F100&lt;=0,0,1)</f>
        <v>0</v>
      </c>
      <c r="G100" s="4">
        <f>IF(香港新定位结果!G100&lt;=0,0,1)</f>
        <v>1</v>
      </c>
      <c r="H100" s="4">
        <f>IF(香港新定位结果!H100&lt;=0,0,1)</f>
        <v>0</v>
      </c>
      <c r="I100" s="4">
        <f>IF(香港新定位结果!I100&lt;=0,0,1)</f>
        <v>1</v>
      </c>
      <c r="J100" s="4">
        <f>IF(香港新定位结果!J100&lt;=0,0,1)</f>
        <v>0</v>
      </c>
      <c r="K100" s="4">
        <f>IF(香港新定位结果!K100&lt;=0,0,1)</f>
        <v>0</v>
      </c>
      <c r="L100" s="4">
        <f>IF(香港新定位结果!L100&lt;=0,0,1)</f>
        <v>0</v>
      </c>
      <c r="M100" s="4">
        <f>IF(香港新定位结果!M100&lt;=0,0,1)</f>
        <v>0</v>
      </c>
      <c r="N100" s="4">
        <f>IF(香港新定位结果!N100&lt;=0,0,1)</f>
        <v>0</v>
      </c>
      <c r="O100" s="4">
        <f>IF(香港新定位结果!O100&lt;=0,0,1)</f>
        <v>0</v>
      </c>
    </row>
    <row r="101" spans="1:15">
      <c r="A101" s="4" t="s">
        <v>517</v>
      </c>
      <c r="B101" s="4">
        <f>IF(香港新定位结果!B101&lt;=0,0,1)</f>
        <v>0</v>
      </c>
      <c r="C101" s="4">
        <f>IF(香港新定位结果!C101&lt;=0,0,1)</f>
        <v>0</v>
      </c>
      <c r="D101" s="4">
        <f>IF(香港新定位结果!D101&lt;=0,0,1)</f>
        <v>0</v>
      </c>
      <c r="E101" s="4">
        <f>IF(香港新定位结果!E101&lt;=0,0,1)</f>
        <v>1</v>
      </c>
      <c r="F101" s="4">
        <f>IF(香港新定位结果!F101&lt;=0,0,1)</f>
        <v>0</v>
      </c>
      <c r="G101" s="4">
        <f>IF(香港新定位结果!G101&lt;=0,0,1)</f>
        <v>1</v>
      </c>
      <c r="H101" s="4">
        <f>IF(香港新定位结果!H101&lt;=0,0,1)</f>
        <v>0</v>
      </c>
      <c r="I101" s="4">
        <f>IF(香港新定位结果!I101&lt;=0,0,1)</f>
        <v>0</v>
      </c>
      <c r="J101" s="4">
        <f>IF(香港新定位结果!J101&lt;=0,0,1)</f>
        <v>0</v>
      </c>
      <c r="K101" s="4">
        <f>IF(香港新定位结果!K101&lt;=0,0,1)</f>
        <v>0</v>
      </c>
      <c r="L101" s="4">
        <f>IF(香港新定位结果!L101&lt;=0,0,1)</f>
        <v>0</v>
      </c>
      <c r="M101" s="4">
        <f>IF(香港新定位结果!M101&lt;=0,0,1)</f>
        <v>0</v>
      </c>
      <c r="N101" s="4">
        <f>IF(香港新定位结果!N101&lt;=0,0,1)</f>
        <v>0</v>
      </c>
      <c r="O101" s="4">
        <f>IF(香港新定位结果!O101&lt;=0,0,1)</f>
        <v>0</v>
      </c>
    </row>
    <row r="102" spans="1:15">
      <c r="A102" s="4" t="s">
        <v>521</v>
      </c>
      <c r="B102" s="4">
        <f>IF(香港新定位结果!B102&lt;=0,0,1)</f>
        <v>1</v>
      </c>
      <c r="C102" s="4">
        <f>IF(香港新定位结果!C102&lt;=0,0,1)</f>
        <v>1</v>
      </c>
      <c r="D102" s="4">
        <f>IF(香港新定位结果!D102&lt;=0,0,1)</f>
        <v>0</v>
      </c>
      <c r="E102" s="4">
        <f>IF(香港新定位结果!E102&lt;=0,0,1)</f>
        <v>0</v>
      </c>
      <c r="F102" s="4">
        <f>IF(香港新定位结果!F102&lt;=0,0,1)</f>
        <v>0</v>
      </c>
      <c r="G102" s="4">
        <f>IF(香港新定位结果!G102&lt;=0,0,1)</f>
        <v>0</v>
      </c>
      <c r="H102" s="4">
        <f>IF(香港新定位结果!H102&lt;=0,0,1)</f>
        <v>1</v>
      </c>
      <c r="I102" s="4">
        <f>IF(香港新定位结果!I102&lt;=0,0,1)</f>
        <v>1</v>
      </c>
      <c r="J102" s="4">
        <f>IF(香港新定位结果!J102&lt;=0,0,1)</f>
        <v>1</v>
      </c>
      <c r="K102" s="4">
        <f>IF(香港新定位结果!K102&lt;=0,0,1)</f>
        <v>1</v>
      </c>
      <c r="L102" s="4">
        <f>IF(香港新定位结果!L102&lt;=0,0,1)</f>
        <v>1</v>
      </c>
      <c r="M102" s="4">
        <f>IF(香港新定位结果!M102&lt;=0,0,1)</f>
        <v>1</v>
      </c>
      <c r="N102" s="4">
        <f>IF(香港新定位结果!N102&lt;=0,0,1)</f>
        <v>1</v>
      </c>
      <c r="O102" s="4">
        <f>IF(香港新定位结果!O102&lt;=0,0,1)</f>
        <v>0</v>
      </c>
    </row>
    <row r="103" spans="1:15">
      <c r="A103" s="4" t="s">
        <v>525</v>
      </c>
      <c r="B103" s="4">
        <f>IF(香港新定位结果!B103&lt;=0,0,1)</f>
        <v>1</v>
      </c>
      <c r="C103" s="4">
        <f>IF(香港新定位结果!C103&lt;=0,0,1)</f>
        <v>0</v>
      </c>
      <c r="D103" s="4">
        <f>IF(香港新定位结果!D103&lt;=0,0,1)</f>
        <v>0</v>
      </c>
      <c r="E103" s="4">
        <f>IF(香港新定位结果!E103&lt;=0,0,1)</f>
        <v>0</v>
      </c>
      <c r="F103" s="4">
        <f>IF(香港新定位结果!F103&lt;=0,0,1)</f>
        <v>0</v>
      </c>
      <c r="G103" s="4">
        <f>IF(香港新定位结果!G103&lt;=0,0,1)</f>
        <v>0</v>
      </c>
      <c r="H103" s="4">
        <f>IF(香港新定位结果!H103&lt;=0,0,1)</f>
        <v>0</v>
      </c>
      <c r="I103" s="4">
        <f>IF(香港新定位结果!I103&lt;=0,0,1)</f>
        <v>0</v>
      </c>
      <c r="J103" s="4">
        <f>IF(香港新定位结果!J103&lt;=0,0,1)</f>
        <v>1</v>
      </c>
      <c r="K103" s="4">
        <f>IF(香港新定位结果!K103&lt;=0,0,1)</f>
        <v>0</v>
      </c>
      <c r="L103" s="4">
        <f>IF(香港新定位结果!L103&lt;=0,0,1)</f>
        <v>0</v>
      </c>
      <c r="M103" s="4">
        <f>IF(香港新定位结果!M103&lt;=0,0,1)</f>
        <v>0</v>
      </c>
      <c r="N103" s="4">
        <f>IF(香港新定位结果!N103&lt;=0,0,1)</f>
        <v>0</v>
      </c>
      <c r="O103" s="4">
        <f>IF(香港新定位结果!O103&lt;=0,0,1)</f>
        <v>0</v>
      </c>
    </row>
    <row r="104" spans="1:15">
      <c r="A104" s="4" t="s">
        <v>531</v>
      </c>
      <c r="B104" s="4">
        <f>IF(香港新定位结果!B104&lt;=0,0,1)</f>
        <v>0</v>
      </c>
      <c r="C104" s="4">
        <f>IF(香港新定位结果!C104&lt;=0,0,1)</f>
        <v>0</v>
      </c>
      <c r="D104" s="4">
        <f>IF(香港新定位结果!D104&lt;=0,0,1)</f>
        <v>0</v>
      </c>
      <c r="E104" s="4">
        <f>IF(香港新定位结果!E104&lt;=0,0,1)</f>
        <v>0</v>
      </c>
      <c r="F104" s="4">
        <f>IF(香港新定位结果!F104&lt;=0,0,1)</f>
        <v>0</v>
      </c>
      <c r="G104" s="4">
        <f>IF(香港新定位结果!G104&lt;=0,0,1)</f>
        <v>0</v>
      </c>
      <c r="H104" s="4">
        <f>IF(香港新定位结果!H104&lt;=0,0,1)</f>
        <v>1</v>
      </c>
      <c r="I104" s="4">
        <f>IF(香港新定位结果!I104&lt;=0,0,1)</f>
        <v>1</v>
      </c>
      <c r="J104" s="4">
        <f>IF(香港新定位结果!J104&lt;=0,0,1)</f>
        <v>0</v>
      </c>
      <c r="K104" s="4">
        <f>IF(香港新定位结果!K104&lt;=0,0,1)</f>
        <v>0</v>
      </c>
      <c r="L104" s="4">
        <f>IF(香港新定位结果!L104&lt;=0,0,1)</f>
        <v>0</v>
      </c>
      <c r="M104" s="4">
        <f>IF(香港新定位结果!M104&lt;=0,0,1)</f>
        <v>0</v>
      </c>
      <c r="N104" s="4">
        <f>IF(香港新定位结果!N104&lt;=0,0,1)</f>
        <v>0</v>
      </c>
      <c r="O104" s="4">
        <f>IF(香港新定位结果!O104&lt;=0,0,1)</f>
        <v>0</v>
      </c>
    </row>
    <row r="105" spans="1:15">
      <c r="A105" s="4" t="s">
        <v>535</v>
      </c>
      <c r="B105" s="4">
        <f>IF(香港新定位结果!B105&lt;=0,0,1)</f>
        <v>1</v>
      </c>
      <c r="C105" s="4">
        <f>IF(香港新定位结果!C105&lt;=0,0,1)</f>
        <v>1</v>
      </c>
      <c r="D105" s="4">
        <f>IF(香港新定位结果!D105&lt;=0,0,1)</f>
        <v>1</v>
      </c>
      <c r="E105" s="4">
        <f>IF(香港新定位结果!E105&lt;=0,0,1)</f>
        <v>1</v>
      </c>
      <c r="F105" s="4">
        <f>IF(香港新定位结果!F105&lt;=0,0,1)</f>
        <v>0</v>
      </c>
      <c r="G105" s="4">
        <f>IF(香港新定位结果!G105&lt;=0,0,1)</f>
        <v>0</v>
      </c>
      <c r="H105" s="4">
        <f>IF(香港新定位结果!H105&lt;=0,0,1)</f>
        <v>0</v>
      </c>
      <c r="I105" s="4">
        <f>IF(香港新定位结果!I105&lt;=0,0,1)</f>
        <v>0</v>
      </c>
      <c r="J105" s="4">
        <f>IF(香港新定位结果!J105&lt;=0,0,1)</f>
        <v>0</v>
      </c>
      <c r="K105" s="4">
        <f>IF(香港新定位结果!K105&lt;=0,0,1)</f>
        <v>1</v>
      </c>
      <c r="L105" s="4">
        <f>IF(香港新定位结果!L105&lt;=0,0,1)</f>
        <v>0</v>
      </c>
      <c r="M105" s="4">
        <f>IF(香港新定位结果!M105&lt;=0,0,1)</f>
        <v>1</v>
      </c>
      <c r="N105" s="4">
        <f>IF(香港新定位结果!N105&lt;=0,0,1)</f>
        <v>1</v>
      </c>
      <c r="O105" s="4">
        <f>IF(香港新定位结果!O105&lt;=0,0,1)</f>
        <v>1</v>
      </c>
    </row>
    <row r="106" spans="1:15">
      <c r="A106" s="4" t="s">
        <v>539</v>
      </c>
      <c r="B106" s="4">
        <f>IF(香港新定位结果!B106&lt;=0,0,1)</f>
        <v>1</v>
      </c>
      <c r="C106" s="4">
        <f>IF(香港新定位结果!C106&lt;=0,0,1)</f>
        <v>1</v>
      </c>
      <c r="D106" s="4">
        <f>IF(香港新定位结果!D106&lt;=0,0,1)</f>
        <v>0</v>
      </c>
      <c r="E106" s="4">
        <f>IF(香港新定位结果!E106&lt;=0,0,1)</f>
        <v>1</v>
      </c>
      <c r="F106" s="4">
        <f>IF(香港新定位结果!F106&lt;=0,0,1)</f>
        <v>1</v>
      </c>
      <c r="G106" s="4">
        <f>IF(香港新定位结果!G106&lt;=0,0,1)</f>
        <v>1</v>
      </c>
      <c r="H106" s="4">
        <f>IF(香港新定位结果!H106&lt;=0,0,1)</f>
        <v>0</v>
      </c>
      <c r="I106" s="4">
        <f>IF(香港新定位结果!I106&lt;=0,0,1)</f>
        <v>1</v>
      </c>
      <c r="J106" s="4">
        <f>IF(香港新定位结果!J106&lt;=0,0,1)</f>
        <v>1</v>
      </c>
      <c r="K106" s="4">
        <f>IF(香港新定位结果!K106&lt;=0,0,1)</f>
        <v>1</v>
      </c>
      <c r="L106" s="4">
        <f>IF(香港新定位结果!L106&lt;=0,0,1)</f>
        <v>1</v>
      </c>
      <c r="M106" s="4">
        <f>IF(香港新定位结果!M106&lt;=0,0,1)</f>
        <v>0</v>
      </c>
      <c r="N106" s="4">
        <f>IF(香港新定位结果!N106&lt;=0,0,1)</f>
        <v>0</v>
      </c>
      <c r="O106" s="4">
        <f>IF(香港新定位结果!O106&lt;=0,0,1)</f>
        <v>1</v>
      </c>
    </row>
    <row r="107" spans="1:15">
      <c r="A107" s="4" t="s">
        <v>545</v>
      </c>
      <c r="B107" s="4">
        <f>IF(香港新定位结果!B107&lt;=0,0,1)</f>
        <v>1</v>
      </c>
      <c r="C107" s="4">
        <f>IF(香港新定位结果!C107&lt;=0,0,1)</f>
        <v>1</v>
      </c>
      <c r="D107" s="4">
        <f>IF(香港新定位结果!D107&lt;=0,0,1)</f>
        <v>0</v>
      </c>
      <c r="E107" s="4">
        <f>IF(香港新定位结果!E107&lt;=0,0,1)</f>
        <v>0</v>
      </c>
      <c r="F107" s="4">
        <f>IF(香港新定位结果!F107&lt;=0,0,1)</f>
        <v>0</v>
      </c>
      <c r="G107" s="4">
        <f>IF(香港新定位结果!G107&lt;=0,0,1)</f>
        <v>0</v>
      </c>
      <c r="H107" s="4">
        <f>IF(香港新定位结果!H107&lt;=0,0,1)</f>
        <v>1</v>
      </c>
      <c r="I107" s="4">
        <f>IF(香港新定位结果!I107&lt;=0,0,1)</f>
        <v>0</v>
      </c>
      <c r="J107" s="4">
        <f>IF(香港新定位结果!J107&lt;=0,0,1)</f>
        <v>0</v>
      </c>
      <c r="K107" s="4">
        <f>IF(香港新定位结果!K107&lt;=0,0,1)</f>
        <v>0</v>
      </c>
      <c r="L107" s="4">
        <f>IF(香港新定位结果!L107&lt;=0,0,1)</f>
        <v>0</v>
      </c>
      <c r="M107" s="4">
        <f>IF(香港新定位结果!M107&lt;=0,0,1)</f>
        <v>1</v>
      </c>
      <c r="N107" s="4">
        <f>IF(香港新定位结果!N107&lt;=0,0,1)</f>
        <v>1</v>
      </c>
      <c r="O107" s="4">
        <f>IF(香港新定位结果!O107&lt;=0,0,1)</f>
        <v>0</v>
      </c>
    </row>
    <row r="108" spans="1:15">
      <c r="A108" s="4" t="s">
        <v>549</v>
      </c>
      <c r="B108" s="4">
        <f>IF(香港新定位结果!B108&lt;=0,0,1)</f>
        <v>0</v>
      </c>
      <c r="C108" s="4">
        <f>IF(香港新定位结果!C108&lt;=0,0,1)</f>
        <v>0</v>
      </c>
      <c r="D108" s="4">
        <f>IF(香港新定位结果!D108&lt;=0,0,1)</f>
        <v>0</v>
      </c>
      <c r="E108" s="4">
        <f>IF(香港新定位结果!E108&lt;=0,0,1)</f>
        <v>0</v>
      </c>
      <c r="F108" s="4">
        <f>IF(香港新定位结果!F108&lt;=0,0,1)</f>
        <v>0</v>
      </c>
      <c r="G108" s="4">
        <f>IF(香港新定位结果!G108&lt;=0,0,1)</f>
        <v>0</v>
      </c>
      <c r="H108" s="4">
        <f>IF(香港新定位结果!H108&lt;=0,0,1)</f>
        <v>0</v>
      </c>
      <c r="I108" s="4">
        <f>IF(香港新定位结果!I108&lt;=0,0,1)</f>
        <v>0</v>
      </c>
      <c r="J108" s="4">
        <f>IF(香港新定位结果!J108&lt;=0,0,1)</f>
        <v>0</v>
      </c>
      <c r="K108" s="4">
        <f>IF(香港新定位结果!K108&lt;=0,0,1)</f>
        <v>1</v>
      </c>
      <c r="L108" s="4">
        <f>IF(香港新定位结果!L108&lt;=0,0,1)</f>
        <v>0</v>
      </c>
      <c r="M108" s="4">
        <f>IF(香港新定位结果!M108&lt;=0,0,1)</f>
        <v>1</v>
      </c>
      <c r="N108" s="4">
        <f>IF(香港新定位结果!N108&lt;=0,0,1)</f>
        <v>1</v>
      </c>
      <c r="O108" s="4">
        <f>IF(香港新定位结果!O108&lt;=0,0,1)</f>
        <v>1</v>
      </c>
    </row>
    <row r="109" spans="1:15">
      <c r="A109" s="4" t="s">
        <v>553</v>
      </c>
      <c r="B109" s="4">
        <f>IF(香港新定位结果!B109&lt;=0,0,1)</f>
        <v>0</v>
      </c>
      <c r="C109" s="4">
        <f>IF(香港新定位结果!C109&lt;=0,0,1)</f>
        <v>0</v>
      </c>
      <c r="D109" s="4">
        <f>IF(香港新定位结果!D109&lt;=0,0,1)</f>
        <v>0</v>
      </c>
      <c r="E109" s="4">
        <f>IF(香港新定位结果!E109&lt;=0,0,1)</f>
        <v>1</v>
      </c>
      <c r="F109" s="4">
        <f>IF(香港新定位结果!F109&lt;=0,0,1)</f>
        <v>0</v>
      </c>
      <c r="G109" s="4">
        <f>IF(香港新定位结果!G109&lt;=0,0,1)</f>
        <v>1</v>
      </c>
      <c r="H109" s="4">
        <f>IF(香港新定位结果!H109&lt;=0,0,1)</f>
        <v>0</v>
      </c>
      <c r="I109" s="4">
        <f>IF(香港新定位结果!I109&lt;=0,0,1)</f>
        <v>1</v>
      </c>
      <c r="J109" s="4">
        <f>IF(香港新定位结果!J109&lt;=0,0,1)</f>
        <v>0</v>
      </c>
      <c r="K109" s="4">
        <f>IF(香港新定位结果!K109&lt;=0,0,1)</f>
        <v>0</v>
      </c>
      <c r="L109" s="4">
        <f>IF(香港新定位结果!L109&lt;=0,0,1)</f>
        <v>0</v>
      </c>
      <c r="M109" s="4">
        <f>IF(香港新定位结果!M109&lt;=0,0,1)</f>
        <v>0</v>
      </c>
      <c r="N109" s="4">
        <f>IF(香港新定位结果!N109&lt;=0,0,1)</f>
        <v>0</v>
      </c>
      <c r="O109" s="4">
        <f>IF(香港新定位结果!O109&lt;=0,0,1)</f>
        <v>0</v>
      </c>
    </row>
    <row r="110" spans="1:15">
      <c r="A110" s="4" t="s">
        <v>563</v>
      </c>
      <c r="B110" s="4">
        <f>IF(香港新定位结果!B110&lt;=0,0,1)</f>
        <v>1</v>
      </c>
      <c r="C110" s="4">
        <f>IF(香港新定位结果!C110&lt;=0,0,1)</f>
        <v>0</v>
      </c>
      <c r="D110" s="4">
        <f>IF(香港新定位结果!D110&lt;=0,0,1)</f>
        <v>0</v>
      </c>
      <c r="E110" s="4">
        <f>IF(香港新定位结果!E110&lt;=0,0,1)</f>
        <v>1</v>
      </c>
      <c r="F110" s="4">
        <f>IF(香港新定位结果!F110&lt;=0,0,1)</f>
        <v>1</v>
      </c>
      <c r="G110" s="4">
        <f>IF(香港新定位结果!G110&lt;=0,0,1)</f>
        <v>1</v>
      </c>
      <c r="H110" s="4">
        <f>IF(香港新定位结果!H110&lt;=0,0,1)</f>
        <v>0</v>
      </c>
      <c r="I110" s="4">
        <f>IF(香港新定位结果!I110&lt;=0,0,1)</f>
        <v>0</v>
      </c>
      <c r="J110" s="4">
        <f>IF(香港新定位结果!J110&lt;=0,0,1)</f>
        <v>0</v>
      </c>
      <c r="K110" s="4">
        <f>IF(香港新定位结果!K110&lt;=0,0,1)</f>
        <v>1</v>
      </c>
      <c r="L110" s="4">
        <f>IF(香港新定位结果!L110&lt;=0,0,1)</f>
        <v>1</v>
      </c>
      <c r="M110" s="4">
        <f>IF(香港新定位结果!M110&lt;=0,0,1)</f>
        <v>1</v>
      </c>
      <c r="N110" s="4">
        <f>IF(香港新定位结果!N110&lt;=0,0,1)</f>
        <v>0</v>
      </c>
      <c r="O110" s="4">
        <f>IF(香港新定位结果!O110&lt;=0,0,1)</f>
        <v>1</v>
      </c>
    </row>
    <row r="111" spans="1:15">
      <c r="A111" s="4" t="s">
        <v>567</v>
      </c>
      <c r="B111" s="4">
        <f>IF(香港新定位结果!B111&lt;=0,0,1)</f>
        <v>0</v>
      </c>
      <c r="C111" s="4">
        <f>IF(香港新定位结果!C111&lt;=0,0,1)</f>
        <v>0</v>
      </c>
      <c r="D111" s="4">
        <f>IF(香港新定位结果!D111&lt;=0,0,1)</f>
        <v>0</v>
      </c>
      <c r="E111" s="4">
        <f>IF(香港新定位结果!E111&lt;=0,0,1)</f>
        <v>0</v>
      </c>
      <c r="F111" s="4">
        <f>IF(香港新定位结果!F111&lt;=0,0,1)</f>
        <v>1</v>
      </c>
      <c r="G111" s="4">
        <f>IF(香港新定位结果!G111&lt;=0,0,1)</f>
        <v>0</v>
      </c>
      <c r="H111" s="4">
        <f>IF(香港新定位结果!H111&lt;=0,0,1)</f>
        <v>0</v>
      </c>
      <c r="I111" s="4">
        <f>IF(香港新定位结果!I111&lt;=0,0,1)</f>
        <v>1</v>
      </c>
      <c r="J111" s="4">
        <f>IF(香港新定位结果!J111&lt;=0,0,1)</f>
        <v>0</v>
      </c>
      <c r="K111" s="4">
        <f>IF(香港新定位结果!K111&lt;=0,0,1)</f>
        <v>1</v>
      </c>
      <c r="L111" s="4">
        <f>IF(香港新定位结果!L111&lt;=0,0,1)</f>
        <v>1</v>
      </c>
      <c r="M111" s="4">
        <f>IF(香港新定位结果!M111&lt;=0,0,1)</f>
        <v>0</v>
      </c>
      <c r="N111" s="4">
        <f>IF(香港新定位结果!N111&lt;=0,0,1)</f>
        <v>0</v>
      </c>
      <c r="O111" s="4">
        <f>IF(香港新定位结果!O111&lt;=0,0,1)</f>
        <v>1</v>
      </c>
    </row>
    <row r="112" spans="1:15">
      <c r="A112" s="4" t="s">
        <v>573</v>
      </c>
      <c r="B112" s="4">
        <f>IF(香港新定位结果!B112&lt;=0,0,1)</f>
        <v>0</v>
      </c>
      <c r="C112" s="4">
        <f>IF(香港新定位结果!C112&lt;=0,0,1)</f>
        <v>0</v>
      </c>
      <c r="D112" s="4">
        <f>IF(香港新定位结果!D112&lt;=0,0,1)</f>
        <v>0</v>
      </c>
      <c r="E112" s="4">
        <f>IF(香港新定位结果!E112&lt;=0,0,1)</f>
        <v>0</v>
      </c>
      <c r="F112" s="4">
        <f>IF(香港新定位结果!F112&lt;=0,0,1)</f>
        <v>0</v>
      </c>
      <c r="G112" s="4">
        <f>IF(香港新定位结果!G112&lt;=0,0,1)</f>
        <v>1</v>
      </c>
      <c r="H112" s="4">
        <f>IF(香港新定位结果!H112&lt;=0,0,1)</f>
        <v>0</v>
      </c>
      <c r="I112" s="4">
        <f>IF(香港新定位结果!I112&lt;=0,0,1)</f>
        <v>1</v>
      </c>
      <c r="J112" s="4">
        <f>IF(香港新定位结果!J112&lt;=0,0,1)</f>
        <v>0</v>
      </c>
      <c r="K112" s="4">
        <f>IF(香港新定位结果!K112&lt;=0,0,1)</f>
        <v>0</v>
      </c>
      <c r="L112" s="4">
        <f>IF(香港新定位结果!L112&lt;=0,0,1)</f>
        <v>0</v>
      </c>
      <c r="M112" s="4">
        <f>IF(香港新定位结果!M112&lt;=0,0,1)</f>
        <v>0</v>
      </c>
      <c r="N112" s="4">
        <f>IF(香港新定位结果!N112&lt;=0,0,1)</f>
        <v>0</v>
      </c>
      <c r="O112" s="4">
        <f>IF(香港新定位结果!O112&lt;=0,0,1)</f>
        <v>0</v>
      </c>
    </row>
    <row r="113" spans="1:15">
      <c r="A113" s="4" t="s">
        <v>577</v>
      </c>
      <c r="B113" s="4">
        <f>IF(香港新定位结果!B113&lt;=0,0,1)</f>
        <v>1</v>
      </c>
      <c r="C113" s="4">
        <f>IF(香港新定位结果!C113&lt;=0,0,1)</f>
        <v>1</v>
      </c>
      <c r="D113" s="4">
        <f>IF(香港新定位结果!D113&lt;=0,0,1)</f>
        <v>0</v>
      </c>
      <c r="E113" s="4">
        <f>IF(香港新定位结果!E113&lt;=0,0,1)</f>
        <v>1</v>
      </c>
      <c r="F113" s="4">
        <f>IF(香港新定位结果!F113&lt;=0,0,1)</f>
        <v>0</v>
      </c>
      <c r="G113" s="4">
        <f>IF(香港新定位结果!G113&lt;=0,0,1)</f>
        <v>0</v>
      </c>
      <c r="H113" s="4">
        <f>IF(香港新定位结果!H113&lt;=0,0,1)</f>
        <v>0</v>
      </c>
      <c r="I113" s="4">
        <f>IF(香港新定位结果!I113&lt;=0,0,1)</f>
        <v>1</v>
      </c>
      <c r="J113" s="4">
        <f>IF(香港新定位结果!J113&lt;=0,0,1)</f>
        <v>1</v>
      </c>
      <c r="K113" s="4">
        <f>IF(香港新定位结果!K113&lt;=0,0,1)</f>
        <v>0</v>
      </c>
      <c r="L113" s="4">
        <f>IF(香港新定位结果!L113&lt;=0,0,1)</f>
        <v>1</v>
      </c>
      <c r="M113" s="4">
        <f>IF(香港新定位结果!M113&lt;=0,0,1)</f>
        <v>1</v>
      </c>
      <c r="N113" s="4">
        <f>IF(香港新定位结果!N113&lt;=0,0,1)</f>
        <v>0</v>
      </c>
      <c r="O113" s="4">
        <f>IF(香港新定位结果!O113&lt;=0,0,1)</f>
        <v>1</v>
      </c>
    </row>
    <row r="114" spans="1:15">
      <c r="A114" s="4" t="s">
        <v>581</v>
      </c>
      <c r="B114" s="4">
        <f>IF(香港新定位结果!B114&lt;=0,0,1)</f>
        <v>1</v>
      </c>
      <c r="C114" s="4">
        <f>IF(香港新定位结果!C114&lt;=0,0,1)</f>
        <v>1</v>
      </c>
      <c r="D114" s="4">
        <f>IF(香港新定位结果!D114&lt;=0,0,1)</f>
        <v>1</v>
      </c>
      <c r="E114" s="4">
        <f>IF(香港新定位结果!E114&lt;=0,0,1)</f>
        <v>1</v>
      </c>
      <c r="F114" s="4">
        <f>IF(香港新定位结果!F114&lt;=0,0,1)</f>
        <v>0</v>
      </c>
      <c r="G114" s="4">
        <f>IF(香港新定位结果!G114&lt;=0,0,1)</f>
        <v>1</v>
      </c>
      <c r="H114" s="4">
        <f>IF(香港新定位结果!H114&lt;=0,0,1)</f>
        <v>1</v>
      </c>
      <c r="I114" s="4">
        <f>IF(香港新定位结果!I114&lt;=0,0,1)</f>
        <v>0</v>
      </c>
      <c r="J114" s="4">
        <f>IF(香港新定位结果!J114&lt;=0,0,1)</f>
        <v>1</v>
      </c>
      <c r="K114" s="4">
        <f>IF(香港新定位结果!K114&lt;=0,0,1)</f>
        <v>1</v>
      </c>
      <c r="L114" s="4">
        <f>IF(香港新定位结果!L114&lt;=0,0,1)</f>
        <v>1</v>
      </c>
      <c r="M114" s="4">
        <f>IF(香港新定位结果!M114&lt;=0,0,1)</f>
        <v>1</v>
      </c>
      <c r="N114" s="4">
        <f>IF(香港新定位结果!N114&lt;=0,0,1)</f>
        <v>1</v>
      </c>
      <c r="O114" s="4">
        <f>IF(香港新定位结果!O114&lt;=0,0,1)</f>
        <v>0</v>
      </c>
    </row>
    <row r="115" spans="1:15">
      <c r="A115" s="4" t="s">
        <v>587</v>
      </c>
      <c r="B115" s="4">
        <f>IF(香港新定位结果!B115&lt;=0,0,1)</f>
        <v>0</v>
      </c>
      <c r="C115" s="4">
        <f>IF(香港新定位结果!C115&lt;=0,0,1)</f>
        <v>1</v>
      </c>
      <c r="D115" s="4">
        <f>IF(香港新定位结果!D115&lt;=0,0,1)</f>
        <v>0</v>
      </c>
      <c r="E115" s="4">
        <f>IF(香港新定位结果!E115&lt;=0,0,1)</f>
        <v>0</v>
      </c>
      <c r="F115" s="4">
        <f>IF(香港新定位结果!F115&lt;=0,0,1)</f>
        <v>0</v>
      </c>
      <c r="G115" s="4">
        <f>IF(香港新定位结果!G115&lt;=0,0,1)</f>
        <v>1</v>
      </c>
      <c r="H115" s="4">
        <f>IF(香港新定位结果!H115&lt;=0,0,1)</f>
        <v>0</v>
      </c>
      <c r="I115" s="4">
        <f>IF(香港新定位结果!I115&lt;=0,0,1)</f>
        <v>1</v>
      </c>
      <c r="J115" s="4">
        <f>IF(香港新定位结果!J115&lt;=0,0,1)</f>
        <v>0</v>
      </c>
      <c r="K115" s="4">
        <f>IF(香港新定位结果!K115&lt;=0,0,1)</f>
        <v>0</v>
      </c>
      <c r="L115" s="4">
        <f>IF(香港新定位结果!L115&lt;=0,0,1)</f>
        <v>1</v>
      </c>
      <c r="M115" s="4">
        <f>IF(香港新定位结果!M115&lt;=0,0,1)</f>
        <v>0</v>
      </c>
      <c r="N115" s="4">
        <f>IF(香港新定位结果!N115&lt;=0,0,1)</f>
        <v>0</v>
      </c>
      <c r="O115" s="4">
        <f>IF(香港新定位结果!O115&lt;=0,0,1)</f>
        <v>0</v>
      </c>
    </row>
    <row r="116" spans="1:15">
      <c r="A116" s="4" t="s">
        <v>591</v>
      </c>
      <c r="B116" s="4">
        <f>IF(香港新定位结果!B116&lt;=0,0,1)</f>
        <v>1</v>
      </c>
      <c r="C116" s="4">
        <f>IF(香港新定位结果!C116&lt;=0,0,1)</f>
        <v>0</v>
      </c>
      <c r="D116" s="4">
        <f>IF(香港新定位结果!D116&lt;=0,0,1)</f>
        <v>0</v>
      </c>
      <c r="E116" s="4">
        <f>IF(香港新定位结果!E116&lt;=0,0,1)</f>
        <v>0</v>
      </c>
      <c r="F116" s="4">
        <f>IF(香港新定位结果!F116&lt;=0,0,1)</f>
        <v>0</v>
      </c>
      <c r="G116" s="4">
        <f>IF(香港新定位结果!G116&lt;=0,0,1)</f>
        <v>1</v>
      </c>
      <c r="H116" s="4">
        <f>IF(香港新定位结果!H116&lt;=0,0,1)</f>
        <v>1</v>
      </c>
      <c r="I116" s="4">
        <f>IF(香港新定位结果!I116&lt;=0,0,1)</f>
        <v>1</v>
      </c>
      <c r="J116" s="4">
        <f>IF(香港新定位结果!J116&lt;=0,0,1)</f>
        <v>0</v>
      </c>
      <c r="K116" s="4">
        <f>IF(香港新定位结果!K116&lt;=0,0,1)</f>
        <v>1</v>
      </c>
      <c r="L116" s="4">
        <f>IF(香港新定位结果!L116&lt;=0,0,1)</f>
        <v>1</v>
      </c>
      <c r="M116" s="4">
        <f>IF(香港新定位结果!M116&lt;=0,0,1)</f>
        <v>1</v>
      </c>
      <c r="N116" s="4">
        <f>IF(香港新定位结果!N116&lt;=0,0,1)</f>
        <v>1</v>
      </c>
      <c r="O116" s="4">
        <f>IF(香港新定位结果!O116&lt;=0,0,1)</f>
        <v>0</v>
      </c>
    </row>
    <row r="117" spans="1:15">
      <c r="A117" s="4" t="s">
        <v>595</v>
      </c>
      <c r="B117" s="4">
        <f>IF(香港新定位结果!B117&lt;=0,0,1)</f>
        <v>1</v>
      </c>
      <c r="C117" s="4">
        <f>IF(香港新定位结果!C117&lt;=0,0,1)</f>
        <v>1</v>
      </c>
      <c r="D117" s="4">
        <f>IF(香港新定位结果!D117&lt;=0,0,1)</f>
        <v>0</v>
      </c>
      <c r="E117" s="4">
        <f>IF(香港新定位结果!E117&lt;=0,0,1)</f>
        <v>0</v>
      </c>
      <c r="F117" s="4">
        <f>IF(香港新定位结果!F117&lt;=0,0,1)</f>
        <v>0</v>
      </c>
      <c r="G117" s="4">
        <f>IF(香港新定位结果!G117&lt;=0,0,1)</f>
        <v>0</v>
      </c>
      <c r="H117" s="4">
        <f>IF(香港新定位结果!H117&lt;=0,0,1)</f>
        <v>0</v>
      </c>
      <c r="I117" s="4">
        <f>IF(香港新定位结果!I117&lt;=0,0,1)</f>
        <v>1</v>
      </c>
      <c r="J117" s="4">
        <f>IF(香港新定位结果!J117&lt;=0,0,1)</f>
        <v>1</v>
      </c>
      <c r="K117" s="4">
        <f>IF(香港新定位结果!K117&lt;=0,0,1)</f>
        <v>0</v>
      </c>
      <c r="L117" s="4">
        <f>IF(香港新定位结果!L117&lt;=0,0,1)</f>
        <v>0</v>
      </c>
      <c r="M117" s="4">
        <f>IF(香港新定位结果!M117&lt;=0,0,1)</f>
        <v>1</v>
      </c>
      <c r="N117" s="4">
        <f>IF(香港新定位结果!N117&lt;=0,0,1)</f>
        <v>0</v>
      </c>
      <c r="O117" s="4">
        <f>IF(香港新定位结果!O117&lt;=0,0,1)</f>
        <v>1</v>
      </c>
    </row>
    <row r="118" spans="1:15">
      <c r="A118" s="4" t="s">
        <v>601</v>
      </c>
      <c r="B118" s="4">
        <f>IF(香港新定位结果!B118&lt;=0,0,1)</f>
        <v>0</v>
      </c>
      <c r="C118" s="4">
        <f>IF(香港新定位结果!C118&lt;=0,0,1)</f>
        <v>1</v>
      </c>
      <c r="D118" s="4">
        <f>IF(香港新定位结果!D118&lt;=0,0,1)</f>
        <v>0</v>
      </c>
      <c r="E118" s="4">
        <f>IF(香港新定位结果!E118&lt;=0,0,1)</f>
        <v>0</v>
      </c>
      <c r="F118" s="4">
        <f>IF(香港新定位结果!F118&lt;=0,0,1)</f>
        <v>0</v>
      </c>
      <c r="G118" s="4">
        <f>IF(香港新定位结果!G118&lt;=0,0,1)</f>
        <v>0</v>
      </c>
      <c r="H118" s="4">
        <f>IF(香港新定位结果!H118&lt;=0,0,1)</f>
        <v>0</v>
      </c>
      <c r="I118" s="4">
        <f>IF(香港新定位结果!I118&lt;=0,0,1)</f>
        <v>0</v>
      </c>
      <c r="J118" s="4">
        <f>IF(香港新定位结果!J118&lt;=0,0,1)</f>
        <v>1</v>
      </c>
      <c r="K118" s="4">
        <f>IF(香港新定位结果!K118&lt;=0,0,1)</f>
        <v>1</v>
      </c>
      <c r="L118" s="4">
        <f>IF(香港新定位结果!L118&lt;=0,0,1)</f>
        <v>0</v>
      </c>
      <c r="M118" s="4">
        <f>IF(香港新定位结果!M118&lt;=0,0,1)</f>
        <v>1</v>
      </c>
      <c r="N118" s="4">
        <f>IF(香港新定位结果!N118&lt;=0,0,1)</f>
        <v>1</v>
      </c>
      <c r="O118" s="4">
        <f>IF(香港新定位结果!O118&lt;=0,0,1)</f>
        <v>0</v>
      </c>
    </row>
    <row r="119" spans="1:15">
      <c r="A119" s="4" t="s">
        <v>605</v>
      </c>
      <c r="B119" s="4">
        <f>IF(香港新定位结果!B119&lt;=0,0,1)</f>
        <v>1</v>
      </c>
      <c r="C119" s="4">
        <f>IF(香港新定位结果!C119&lt;=0,0,1)</f>
        <v>0</v>
      </c>
      <c r="D119" s="4">
        <f>IF(香港新定位结果!D119&lt;=0,0,1)</f>
        <v>1</v>
      </c>
      <c r="E119" s="4">
        <f>IF(香港新定位结果!E119&lt;=0,0,1)</f>
        <v>1</v>
      </c>
      <c r="F119" s="4">
        <f>IF(香港新定位结果!F119&lt;=0,0,1)</f>
        <v>0</v>
      </c>
      <c r="G119" s="4">
        <f>IF(香港新定位结果!G119&lt;=0,0,1)</f>
        <v>0</v>
      </c>
      <c r="H119" s="4">
        <f>IF(香港新定位结果!H119&lt;=0,0,1)</f>
        <v>0</v>
      </c>
      <c r="I119" s="4">
        <f>IF(香港新定位结果!I119&lt;=0,0,1)</f>
        <v>0</v>
      </c>
      <c r="J119" s="4">
        <f>IF(香港新定位结果!J119&lt;=0,0,1)</f>
        <v>0</v>
      </c>
      <c r="K119" s="4">
        <f>IF(香港新定位结果!K119&lt;=0,0,1)</f>
        <v>1</v>
      </c>
      <c r="L119" s="4">
        <f>IF(香港新定位结果!L119&lt;=0,0,1)</f>
        <v>1</v>
      </c>
      <c r="M119" s="4">
        <f>IF(香港新定位结果!M119&lt;=0,0,1)</f>
        <v>1</v>
      </c>
      <c r="N119" s="4">
        <f>IF(香港新定位结果!N119&lt;=0,0,1)</f>
        <v>1</v>
      </c>
      <c r="O119" s="4">
        <f>IF(香港新定位结果!O119&lt;=0,0,1)</f>
        <v>0</v>
      </c>
    </row>
    <row r="120" spans="1:15">
      <c r="A120" s="4" t="s">
        <v>609</v>
      </c>
      <c r="B120" s="4">
        <f>IF(香港新定位结果!B120&lt;=0,0,1)</f>
        <v>0</v>
      </c>
      <c r="C120" s="4">
        <f>IF(香港新定位结果!C120&lt;=0,0,1)</f>
        <v>1</v>
      </c>
      <c r="D120" s="4">
        <f>IF(香港新定位结果!D120&lt;=0,0,1)</f>
        <v>0</v>
      </c>
      <c r="E120" s="4">
        <f>IF(香港新定位结果!E120&lt;=0,0,1)</f>
        <v>1</v>
      </c>
      <c r="F120" s="4">
        <f>IF(香港新定位结果!F120&lt;=0,0,1)</f>
        <v>1</v>
      </c>
      <c r="G120" s="4">
        <f>IF(香港新定位结果!G120&lt;=0,0,1)</f>
        <v>1</v>
      </c>
      <c r="H120" s="4">
        <f>IF(香港新定位结果!H120&lt;=0,0,1)</f>
        <v>0</v>
      </c>
      <c r="I120" s="4">
        <f>IF(香港新定位结果!I120&lt;=0,0,1)</f>
        <v>0</v>
      </c>
      <c r="J120" s="4">
        <f>IF(香港新定位结果!J120&lt;=0,0,1)</f>
        <v>1</v>
      </c>
      <c r="K120" s="4">
        <f>IF(香港新定位结果!K120&lt;=0,0,1)</f>
        <v>1</v>
      </c>
      <c r="L120" s="4">
        <f>IF(香港新定位结果!L120&lt;=0,0,1)</f>
        <v>1</v>
      </c>
      <c r="M120" s="4">
        <f>IF(香港新定位结果!M120&lt;=0,0,1)</f>
        <v>0</v>
      </c>
      <c r="N120" s="4">
        <f>IF(香港新定位结果!N120&lt;=0,0,1)</f>
        <v>0</v>
      </c>
      <c r="O120" s="4">
        <f>IF(香港新定位结果!O120&lt;=0,0,1)</f>
        <v>1</v>
      </c>
    </row>
    <row r="121" spans="1:15">
      <c r="A121" s="4" t="s">
        <v>615</v>
      </c>
      <c r="B121" s="4">
        <f>IF(香港新定位结果!B121&lt;=0,0,1)</f>
        <v>0</v>
      </c>
      <c r="C121" s="4">
        <f>IF(香港新定位结果!C121&lt;=0,0,1)</f>
        <v>0</v>
      </c>
      <c r="D121" s="4">
        <f>IF(香港新定位结果!D121&lt;=0,0,1)</f>
        <v>1</v>
      </c>
      <c r="E121" s="4">
        <f>IF(香港新定位结果!E121&lt;=0,0,1)</f>
        <v>0</v>
      </c>
      <c r="F121" s="4">
        <f>IF(香港新定位结果!F121&lt;=0,0,1)</f>
        <v>1</v>
      </c>
      <c r="G121" s="4">
        <f>IF(香港新定位结果!G121&lt;=0,0,1)</f>
        <v>0</v>
      </c>
      <c r="H121" s="4">
        <f>IF(香港新定位结果!H121&lt;=0,0,1)</f>
        <v>0</v>
      </c>
      <c r="I121" s="4">
        <f>IF(香港新定位结果!I121&lt;=0,0,1)</f>
        <v>0</v>
      </c>
      <c r="J121" s="4">
        <f>IF(香港新定位结果!J121&lt;=0,0,1)</f>
        <v>0</v>
      </c>
      <c r="K121" s="4">
        <f>IF(香港新定位结果!K121&lt;=0,0,1)</f>
        <v>0</v>
      </c>
      <c r="L121" s="4">
        <f>IF(香港新定位结果!L121&lt;=0,0,1)</f>
        <v>0</v>
      </c>
      <c r="M121" s="4">
        <f>IF(香港新定位结果!M121&lt;=0,0,1)</f>
        <v>0</v>
      </c>
      <c r="N121" s="4">
        <f>IF(香港新定位结果!N121&lt;=0,0,1)</f>
        <v>0</v>
      </c>
      <c r="O121" s="4">
        <f>IF(香港新定位结果!O121&lt;=0,0,1)</f>
        <v>1</v>
      </c>
    </row>
    <row r="122" spans="1:15">
      <c r="A122" s="4" t="s">
        <v>619</v>
      </c>
      <c r="B122" s="4">
        <f>IF(香港新定位结果!B122&lt;=0,0,1)</f>
        <v>1</v>
      </c>
      <c r="C122" s="4">
        <f>IF(香港新定位结果!C122&lt;=0,0,1)</f>
        <v>1</v>
      </c>
      <c r="D122" s="4">
        <f>IF(香港新定位结果!D122&lt;=0,0,1)</f>
        <v>0</v>
      </c>
      <c r="E122" s="4">
        <f>IF(香港新定位结果!E122&lt;=0,0,1)</f>
        <v>0</v>
      </c>
      <c r="F122" s="4">
        <f>IF(香港新定位结果!F122&lt;=0,0,1)</f>
        <v>0</v>
      </c>
      <c r="G122" s="4">
        <f>IF(香港新定位结果!G122&lt;=0,0,1)</f>
        <v>0</v>
      </c>
      <c r="H122" s="4">
        <f>IF(香港新定位结果!H122&lt;=0,0,1)</f>
        <v>0</v>
      </c>
      <c r="I122" s="4">
        <f>IF(香港新定位结果!I122&lt;=0,0,1)</f>
        <v>1</v>
      </c>
      <c r="J122" s="4">
        <f>IF(香港新定位结果!J122&lt;=0,0,1)</f>
        <v>0</v>
      </c>
      <c r="K122" s="4">
        <f>IF(香港新定位结果!K122&lt;=0,0,1)</f>
        <v>1</v>
      </c>
      <c r="L122" s="4">
        <f>IF(香港新定位结果!L122&lt;=0,0,1)</f>
        <v>1</v>
      </c>
      <c r="M122" s="4">
        <f>IF(香港新定位结果!M122&lt;=0,0,1)</f>
        <v>1</v>
      </c>
      <c r="N122" s="4">
        <f>IF(香港新定位结果!N122&lt;=0,0,1)</f>
        <v>1</v>
      </c>
      <c r="O122" s="4">
        <f>IF(香港新定位结果!O122&lt;=0,0,1)</f>
        <v>0</v>
      </c>
    </row>
    <row r="123" spans="1:15">
      <c r="A123" s="4" t="s">
        <v>629</v>
      </c>
      <c r="B123" s="4">
        <f>IF(香港新定位结果!B123&lt;=0,0,1)</f>
        <v>0</v>
      </c>
      <c r="C123" s="4">
        <f>IF(香港新定位结果!C123&lt;=0,0,1)</f>
        <v>1</v>
      </c>
      <c r="D123" s="4">
        <f>IF(香港新定位结果!D123&lt;=0,0,1)</f>
        <v>0</v>
      </c>
      <c r="E123" s="4">
        <f>IF(香港新定位结果!E123&lt;=0,0,1)</f>
        <v>1</v>
      </c>
      <c r="F123" s="4">
        <f>IF(香港新定位结果!F123&lt;=0,0,1)</f>
        <v>1</v>
      </c>
      <c r="G123" s="4">
        <f>IF(香港新定位结果!G123&lt;=0,0,1)</f>
        <v>0</v>
      </c>
      <c r="H123" s="4">
        <f>IF(香港新定位结果!H123&lt;=0,0,1)</f>
        <v>0</v>
      </c>
      <c r="I123" s="4">
        <f>IF(香港新定位结果!I123&lt;=0,0,1)</f>
        <v>1</v>
      </c>
      <c r="J123" s="4">
        <f>IF(香港新定位结果!J123&lt;=0,0,1)</f>
        <v>0</v>
      </c>
      <c r="K123" s="4">
        <f>IF(香港新定位结果!K123&lt;=0,0,1)</f>
        <v>1</v>
      </c>
      <c r="L123" s="4">
        <f>IF(香港新定位结果!L123&lt;=0,0,1)</f>
        <v>0</v>
      </c>
      <c r="M123" s="4">
        <f>IF(香港新定位结果!M123&lt;=0,0,1)</f>
        <v>0</v>
      </c>
      <c r="N123" s="4">
        <f>IF(香港新定位结果!N123&lt;=0,0,1)</f>
        <v>0</v>
      </c>
      <c r="O123" s="4">
        <f>IF(香港新定位结果!O123&lt;=0,0,1)</f>
        <v>1</v>
      </c>
    </row>
    <row r="124" spans="1:15">
      <c r="A124" s="4" t="s">
        <v>633</v>
      </c>
      <c r="B124" s="4">
        <f>IF(香港新定位结果!B124&lt;=0,0,1)</f>
        <v>0</v>
      </c>
      <c r="C124" s="4">
        <f>IF(香港新定位结果!C124&lt;=0,0,1)</f>
        <v>1</v>
      </c>
      <c r="D124" s="4">
        <f>IF(香港新定位结果!D124&lt;=0,0,1)</f>
        <v>0</v>
      </c>
      <c r="E124" s="4">
        <f>IF(香港新定位结果!E124&lt;=0,0,1)</f>
        <v>0</v>
      </c>
      <c r="F124" s="4">
        <f>IF(香港新定位结果!F124&lt;=0,0,1)</f>
        <v>1</v>
      </c>
      <c r="G124" s="4">
        <f>IF(香港新定位结果!G124&lt;=0,0,1)</f>
        <v>0</v>
      </c>
      <c r="H124" s="4">
        <f>IF(香港新定位结果!H124&lt;=0,0,1)</f>
        <v>1</v>
      </c>
      <c r="I124" s="4">
        <f>IF(香港新定位结果!I124&lt;=0,0,1)</f>
        <v>1</v>
      </c>
      <c r="J124" s="4">
        <f>IF(香港新定位结果!J124&lt;=0,0,1)</f>
        <v>1</v>
      </c>
      <c r="K124" s="4">
        <f>IF(香港新定位结果!K124&lt;=0,0,1)</f>
        <v>0</v>
      </c>
      <c r="L124" s="4">
        <f>IF(香港新定位结果!L124&lt;=0,0,1)</f>
        <v>1</v>
      </c>
      <c r="M124" s="4">
        <f>IF(香港新定位结果!M124&lt;=0,0,1)</f>
        <v>0</v>
      </c>
      <c r="N124" s="4">
        <f>IF(香港新定位结果!N124&lt;=0,0,1)</f>
        <v>0</v>
      </c>
      <c r="O124" s="4">
        <f>IF(香港新定位结果!O124&lt;=0,0,1)</f>
        <v>1</v>
      </c>
    </row>
    <row r="125" spans="1:15">
      <c r="A125" s="4" t="s">
        <v>637</v>
      </c>
      <c r="B125" s="4">
        <f>IF(香港新定位结果!B125&lt;=0,0,1)</f>
        <v>1</v>
      </c>
      <c r="C125" s="4">
        <f>IF(香港新定位结果!C125&lt;=0,0,1)</f>
        <v>0</v>
      </c>
      <c r="D125" s="4">
        <f>IF(香港新定位结果!D125&lt;=0,0,1)</f>
        <v>0</v>
      </c>
      <c r="E125" s="4">
        <f>IF(香港新定位结果!E125&lt;=0,0,1)</f>
        <v>1</v>
      </c>
      <c r="F125" s="4">
        <f>IF(香港新定位结果!F125&lt;=0,0,1)</f>
        <v>1</v>
      </c>
      <c r="G125" s="4">
        <f>IF(香港新定位结果!G125&lt;=0,0,1)</f>
        <v>1</v>
      </c>
      <c r="H125" s="4">
        <f>IF(香港新定位结果!H125&lt;=0,0,1)</f>
        <v>1</v>
      </c>
      <c r="I125" s="4">
        <f>IF(香港新定位结果!I125&lt;=0,0,1)</f>
        <v>1</v>
      </c>
      <c r="J125" s="4">
        <f>IF(香港新定位结果!J125&lt;=0,0,1)</f>
        <v>0</v>
      </c>
      <c r="K125" s="4">
        <f>IF(香港新定位结果!K125&lt;=0,0,1)</f>
        <v>0</v>
      </c>
      <c r="L125" s="4">
        <f>IF(香港新定位结果!L125&lt;=0,0,1)</f>
        <v>0</v>
      </c>
      <c r="M125" s="4">
        <f>IF(香港新定位结果!M125&lt;=0,0,1)</f>
        <v>0</v>
      </c>
      <c r="N125" s="4">
        <f>IF(香港新定位结果!N125&lt;=0,0,1)</f>
        <v>0</v>
      </c>
      <c r="O125" s="4">
        <f>IF(香港新定位结果!O125&lt;=0,0,1)</f>
        <v>0</v>
      </c>
    </row>
    <row r="126" spans="1:15">
      <c r="A126" s="4" t="s">
        <v>643</v>
      </c>
      <c r="B126" s="4">
        <f>IF(香港新定位结果!B126&lt;=0,0,1)</f>
        <v>0</v>
      </c>
      <c r="C126" s="4">
        <f>IF(香港新定位结果!C126&lt;=0,0,1)</f>
        <v>0</v>
      </c>
      <c r="D126" s="4">
        <f>IF(香港新定位结果!D126&lt;=0,0,1)</f>
        <v>0</v>
      </c>
      <c r="E126" s="4">
        <f>IF(香港新定位结果!E126&lt;=0,0,1)</f>
        <v>0</v>
      </c>
      <c r="F126" s="4">
        <f>IF(香港新定位结果!F126&lt;=0,0,1)</f>
        <v>1</v>
      </c>
      <c r="G126" s="4">
        <f>IF(香港新定位结果!G126&lt;=0,0,1)</f>
        <v>0</v>
      </c>
      <c r="H126" s="4">
        <f>IF(香港新定位结果!H126&lt;=0,0,1)</f>
        <v>0</v>
      </c>
      <c r="I126" s="4">
        <f>IF(香港新定位结果!I126&lt;=0,0,1)</f>
        <v>0</v>
      </c>
      <c r="J126" s="4">
        <f>IF(香港新定位结果!J126&lt;=0,0,1)</f>
        <v>0</v>
      </c>
      <c r="K126" s="4">
        <f>IF(香港新定位结果!K126&lt;=0,0,1)</f>
        <v>0</v>
      </c>
      <c r="L126" s="4">
        <f>IF(香港新定位结果!L126&lt;=0,0,1)</f>
        <v>0</v>
      </c>
      <c r="M126" s="4">
        <f>IF(香港新定位结果!M126&lt;=0,0,1)</f>
        <v>0</v>
      </c>
      <c r="N126" s="4">
        <f>IF(香港新定位结果!N126&lt;=0,0,1)</f>
        <v>0</v>
      </c>
      <c r="O126" s="4">
        <f>IF(香港新定位结果!O126&lt;=0,0,1)</f>
        <v>1</v>
      </c>
    </row>
    <row r="127" spans="1:15">
      <c r="A127" s="4" t="s">
        <v>647</v>
      </c>
      <c r="B127" s="4">
        <f>IF(香港新定位结果!B127&lt;=0,0,1)</f>
        <v>0</v>
      </c>
      <c r="C127" s="4">
        <f>IF(香港新定位结果!C127&lt;=0,0,1)</f>
        <v>1</v>
      </c>
      <c r="D127" s="4">
        <f>IF(香港新定位结果!D127&lt;=0,0,1)</f>
        <v>1</v>
      </c>
      <c r="E127" s="4">
        <f>IF(香港新定位结果!E127&lt;=0,0,1)</f>
        <v>1</v>
      </c>
      <c r="F127" s="4">
        <f>IF(香港新定位结果!F127&lt;=0,0,1)</f>
        <v>0</v>
      </c>
      <c r="G127" s="4">
        <f>IF(香港新定位结果!G127&lt;=0,0,1)</f>
        <v>1</v>
      </c>
      <c r="H127" s="4">
        <f>IF(香港新定位结果!H127&lt;=0,0,1)</f>
        <v>1</v>
      </c>
      <c r="I127" s="4">
        <f>IF(香港新定位结果!I127&lt;=0,0,1)</f>
        <v>1</v>
      </c>
      <c r="J127" s="4">
        <f>IF(香港新定位结果!J127&lt;=0,0,1)</f>
        <v>0</v>
      </c>
      <c r="K127" s="4">
        <f>IF(香港新定位结果!K127&lt;=0,0,1)</f>
        <v>0</v>
      </c>
      <c r="L127" s="4">
        <f>IF(香港新定位结果!L127&lt;=0,0,1)</f>
        <v>1</v>
      </c>
      <c r="M127" s="4">
        <f>IF(香港新定位结果!M127&lt;=0,0,1)</f>
        <v>0</v>
      </c>
      <c r="N127" s="4">
        <f>IF(香港新定位结果!N127&lt;=0,0,1)</f>
        <v>0</v>
      </c>
      <c r="O127" s="4">
        <f>IF(香港新定位结果!O127&lt;=0,0,1)</f>
        <v>0</v>
      </c>
    </row>
    <row r="128" spans="1:15">
      <c r="A128" s="4" t="s">
        <v>653</v>
      </c>
      <c r="B128" s="4">
        <f>IF(香港新定位结果!B128&lt;=0,0,1)</f>
        <v>0</v>
      </c>
      <c r="C128" s="4">
        <f>IF(香港新定位结果!C128&lt;=0,0,1)</f>
        <v>0</v>
      </c>
      <c r="D128" s="4">
        <f>IF(香港新定位结果!D128&lt;=0,0,1)</f>
        <v>0</v>
      </c>
      <c r="E128" s="4">
        <f>IF(香港新定位结果!E128&lt;=0,0,1)</f>
        <v>1</v>
      </c>
      <c r="F128" s="4">
        <f>IF(香港新定位结果!F128&lt;=0,0,1)</f>
        <v>0</v>
      </c>
      <c r="G128" s="4">
        <f>IF(香港新定位结果!G128&lt;=0,0,1)</f>
        <v>0</v>
      </c>
      <c r="H128" s="4">
        <f>IF(香港新定位结果!H128&lt;=0,0,1)</f>
        <v>0</v>
      </c>
      <c r="I128" s="4">
        <f>IF(香港新定位结果!I128&lt;=0,0,1)</f>
        <v>0</v>
      </c>
      <c r="J128" s="4">
        <f>IF(香港新定位结果!J128&lt;=0,0,1)</f>
        <v>1</v>
      </c>
      <c r="K128" s="4">
        <f>IF(香港新定位结果!K128&lt;=0,0,1)</f>
        <v>0</v>
      </c>
      <c r="L128" s="4">
        <f>IF(香港新定位结果!L128&lt;=0,0,1)</f>
        <v>1</v>
      </c>
      <c r="M128" s="4">
        <f>IF(香港新定位结果!M128&lt;=0,0,1)</f>
        <v>0</v>
      </c>
      <c r="N128" s="4">
        <f>IF(香港新定位结果!N128&lt;=0,0,1)</f>
        <v>0</v>
      </c>
      <c r="O128" s="4">
        <f>IF(香港新定位结果!O128&lt;=0,0,1)</f>
        <v>1</v>
      </c>
    </row>
    <row r="129" spans="1:15">
      <c r="A129" s="4" t="s">
        <v>657</v>
      </c>
      <c r="B129" s="4">
        <f>IF(香港新定位结果!B129&lt;=0,0,1)</f>
        <v>0</v>
      </c>
      <c r="C129" s="4">
        <f>IF(香港新定位结果!C129&lt;=0,0,1)</f>
        <v>1</v>
      </c>
      <c r="D129" s="4">
        <f>IF(香港新定位结果!D129&lt;=0,0,1)</f>
        <v>0</v>
      </c>
      <c r="E129" s="4">
        <f>IF(香港新定位结果!E129&lt;=0,0,1)</f>
        <v>1</v>
      </c>
      <c r="F129" s="4">
        <f>IF(香港新定位结果!F129&lt;=0,0,1)</f>
        <v>0</v>
      </c>
      <c r="G129" s="4">
        <f>IF(香港新定位结果!G129&lt;=0,0,1)</f>
        <v>0</v>
      </c>
      <c r="H129" s="4">
        <f>IF(香港新定位结果!H129&lt;=0,0,1)</f>
        <v>1</v>
      </c>
      <c r="I129" s="4">
        <f>IF(香港新定位结果!I129&lt;=0,0,1)</f>
        <v>1</v>
      </c>
      <c r="J129" s="4">
        <f>IF(香港新定位结果!J129&lt;=0,0,1)</f>
        <v>0</v>
      </c>
      <c r="K129" s="4">
        <f>IF(香港新定位结果!K129&lt;=0,0,1)</f>
        <v>1</v>
      </c>
      <c r="L129" s="4">
        <f>IF(香港新定位结果!L129&lt;=0,0,1)</f>
        <v>1</v>
      </c>
      <c r="M129" s="4">
        <f>IF(香港新定位结果!M129&lt;=0,0,1)</f>
        <v>1</v>
      </c>
      <c r="N129" s="4">
        <f>IF(香港新定位结果!N129&lt;=0,0,1)</f>
        <v>0</v>
      </c>
      <c r="O129" s="4">
        <f>IF(香港新定位结果!O129&lt;=0,0,1)</f>
        <v>1</v>
      </c>
    </row>
    <row r="130" spans="1:15">
      <c r="A130" s="4" t="s">
        <v>661</v>
      </c>
      <c r="B130" s="4">
        <f>IF(香港新定位结果!B130&lt;=0,0,1)</f>
        <v>0</v>
      </c>
      <c r="C130" s="4">
        <f>IF(香港新定位结果!C130&lt;=0,0,1)</f>
        <v>0</v>
      </c>
      <c r="D130" s="4">
        <f>IF(香港新定位结果!D130&lt;=0,0,1)</f>
        <v>0</v>
      </c>
      <c r="E130" s="4">
        <f>IF(香港新定位结果!E130&lt;=0,0,1)</f>
        <v>0</v>
      </c>
      <c r="F130" s="4">
        <f>IF(香港新定位结果!F130&lt;=0,0,1)</f>
        <v>0</v>
      </c>
      <c r="G130" s="4">
        <f>IF(香港新定位结果!G130&lt;=0,0,1)</f>
        <v>0</v>
      </c>
      <c r="H130" s="4">
        <f>IF(香港新定位结果!H130&lt;=0,0,1)</f>
        <v>1</v>
      </c>
      <c r="I130" s="4">
        <f>IF(香港新定位结果!I130&lt;=0,0,1)</f>
        <v>1</v>
      </c>
      <c r="J130" s="4">
        <f>IF(香港新定位结果!J130&lt;=0,0,1)</f>
        <v>0</v>
      </c>
      <c r="K130" s="4">
        <f>IF(香港新定位结果!K130&lt;=0,0,1)</f>
        <v>1</v>
      </c>
      <c r="L130" s="4">
        <f>IF(香港新定位结果!L130&lt;=0,0,1)</f>
        <v>0</v>
      </c>
      <c r="M130" s="4">
        <f>IF(香港新定位结果!M130&lt;=0,0,1)</f>
        <v>0</v>
      </c>
      <c r="N130" s="4">
        <f>IF(香港新定位结果!N130&lt;=0,0,1)</f>
        <v>0</v>
      </c>
      <c r="O130" s="4">
        <f>IF(香港新定位结果!O130&lt;=0,0,1)</f>
        <v>0</v>
      </c>
    </row>
    <row r="131" spans="1:15">
      <c r="A131" s="4" t="s">
        <v>665</v>
      </c>
      <c r="B131" s="4">
        <f>IF(香港新定位结果!B131&lt;=0,0,1)</f>
        <v>0</v>
      </c>
      <c r="C131" s="4">
        <f>IF(香港新定位结果!C131&lt;=0,0,1)</f>
        <v>0</v>
      </c>
      <c r="D131" s="4">
        <f>IF(香港新定位结果!D131&lt;=0,0,1)</f>
        <v>1</v>
      </c>
      <c r="E131" s="4">
        <f>IF(香港新定位结果!E131&lt;=0,0,1)</f>
        <v>1</v>
      </c>
      <c r="F131" s="4">
        <f>IF(香港新定位结果!F131&lt;=0,0,1)</f>
        <v>1</v>
      </c>
      <c r="G131" s="4">
        <f>IF(香港新定位结果!G131&lt;=0,0,1)</f>
        <v>0</v>
      </c>
      <c r="H131" s="4">
        <f>IF(香港新定位结果!H131&lt;=0,0,1)</f>
        <v>0</v>
      </c>
      <c r="I131" s="4">
        <f>IF(香港新定位结果!I131&lt;=0,0,1)</f>
        <v>1</v>
      </c>
      <c r="J131" s="4">
        <f>IF(香港新定位结果!J131&lt;=0,0,1)</f>
        <v>1</v>
      </c>
      <c r="K131" s="4">
        <f>IF(香港新定位结果!K131&lt;=0,0,1)</f>
        <v>1</v>
      </c>
      <c r="L131" s="4">
        <f>IF(香港新定位结果!L131&lt;=0,0,1)</f>
        <v>0</v>
      </c>
      <c r="M131" s="4">
        <f>IF(香港新定位结果!M131&lt;=0,0,1)</f>
        <v>1</v>
      </c>
      <c r="N131" s="4">
        <f>IF(香港新定位结果!N131&lt;=0,0,1)</f>
        <v>1</v>
      </c>
      <c r="O131" s="4">
        <f>IF(香港新定位结果!O131&lt;=0,0,1)</f>
        <v>1</v>
      </c>
    </row>
    <row r="132" spans="1:15">
      <c r="A132" s="4" t="s">
        <v>671</v>
      </c>
      <c r="B132" s="4">
        <f>IF(香港新定位结果!B132&lt;=0,0,1)</f>
        <v>1</v>
      </c>
      <c r="C132" s="4">
        <f>IF(香港新定位结果!C132&lt;=0,0,1)</f>
        <v>1</v>
      </c>
      <c r="D132" s="4">
        <f>IF(香港新定位结果!D132&lt;=0,0,1)</f>
        <v>1</v>
      </c>
      <c r="E132" s="4">
        <f>IF(香港新定位结果!E132&lt;=0,0,1)</f>
        <v>1</v>
      </c>
      <c r="F132" s="4">
        <f>IF(香港新定位结果!F132&lt;=0,0,1)</f>
        <v>0</v>
      </c>
      <c r="G132" s="4">
        <f>IF(香港新定位结果!G132&lt;=0,0,1)</f>
        <v>0</v>
      </c>
      <c r="H132" s="4">
        <f>IF(香港新定位结果!H132&lt;=0,0,1)</f>
        <v>0</v>
      </c>
      <c r="I132" s="4">
        <f>IF(香港新定位结果!I132&lt;=0,0,1)</f>
        <v>0</v>
      </c>
      <c r="J132" s="4">
        <f>IF(香港新定位结果!J132&lt;=0,0,1)</f>
        <v>0</v>
      </c>
      <c r="K132" s="4">
        <f>IF(香港新定位结果!K132&lt;=0,0,1)</f>
        <v>1</v>
      </c>
      <c r="L132" s="4">
        <f>IF(香港新定位结果!L132&lt;=0,0,1)</f>
        <v>0</v>
      </c>
      <c r="M132" s="4">
        <f>IF(香港新定位结果!M132&lt;=0,0,1)</f>
        <v>0</v>
      </c>
      <c r="N132" s="4">
        <f>IF(香港新定位结果!N132&lt;=0,0,1)</f>
        <v>0</v>
      </c>
      <c r="O132" s="4">
        <f>IF(香港新定位结果!O132&lt;=0,0,1)</f>
        <v>0</v>
      </c>
    </row>
    <row r="133" spans="1:15">
      <c r="A133" s="4" t="s">
        <v>675</v>
      </c>
      <c r="B133" s="4">
        <f>IF(香港新定位结果!B133&lt;=0,0,1)</f>
        <v>0</v>
      </c>
      <c r="C133" s="4">
        <f>IF(香港新定位结果!C133&lt;=0,0,1)</f>
        <v>0</v>
      </c>
      <c r="D133" s="4">
        <f>IF(香港新定位结果!D133&lt;=0,0,1)</f>
        <v>1</v>
      </c>
      <c r="E133" s="4">
        <f>IF(香港新定位结果!E133&lt;=0,0,1)</f>
        <v>1</v>
      </c>
      <c r="F133" s="4">
        <f>IF(香港新定位结果!F133&lt;=0,0,1)</f>
        <v>1</v>
      </c>
      <c r="G133" s="4">
        <f>IF(香港新定位结果!G133&lt;=0,0,1)</f>
        <v>1</v>
      </c>
      <c r="H133" s="4">
        <f>IF(香港新定位结果!H133&lt;=0,0,1)</f>
        <v>1</v>
      </c>
      <c r="I133" s="4">
        <f>IF(香港新定位结果!I133&lt;=0,0,1)</f>
        <v>1</v>
      </c>
      <c r="J133" s="4">
        <f>IF(香港新定位结果!J133&lt;=0,0,1)</f>
        <v>0</v>
      </c>
      <c r="K133" s="4">
        <f>IF(香港新定位结果!K133&lt;=0,0,1)</f>
        <v>0</v>
      </c>
      <c r="L133" s="4">
        <f>IF(香港新定位结果!L133&lt;=0,0,1)</f>
        <v>0</v>
      </c>
      <c r="M133" s="4">
        <f>IF(香港新定位结果!M133&lt;=0,0,1)</f>
        <v>0</v>
      </c>
      <c r="N133" s="4">
        <f>IF(香港新定位结果!N133&lt;=0,0,1)</f>
        <v>0</v>
      </c>
      <c r="O133" s="4">
        <f>IF(香港新定位结果!O133&lt;=0,0,1)</f>
        <v>0</v>
      </c>
    </row>
    <row r="134" spans="1:15">
      <c r="A134" s="4" t="s">
        <v>679</v>
      </c>
      <c r="B134" s="4">
        <f>IF(香港新定位结果!B134&lt;=0,0,1)</f>
        <v>1</v>
      </c>
      <c r="C134" s="4">
        <f>IF(香港新定位结果!C134&lt;=0,0,1)</f>
        <v>1</v>
      </c>
      <c r="D134" s="4">
        <f>IF(香港新定位结果!D134&lt;=0,0,1)</f>
        <v>0</v>
      </c>
      <c r="E134" s="4">
        <f>IF(香港新定位结果!E134&lt;=0,0,1)</f>
        <v>0</v>
      </c>
      <c r="F134" s="4">
        <f>IF(香港新定位结果!F134&lt;=0,0,1)</f>
        <v>0</v>
      </c>
      <c r="G134" s="4">
        <f>IF(香港新定位结果!G134&lt;=0,0,1)</f>
        <v>1</v>
      </c>
      <c r="H134" s="4">
        <f>IF(香港新定位结果!H134&lt;=0,0,1)</f>
        <v>0</v>
      </c>
      <c r="I134" s="4">
        <f>IF(香港新定位结果!I134&lt;=0,0,1)</f>
        <v>1</v>
      </c>
      <c r="J134" s="4">
        <f>IF(香港新定位结果!J134&lt;=0,0,1)</f>
        <v>0</v>
      </c>
      <c r="K134" s="4">
        <f>IF(香港新定位结果!K134&lt;=0,0,1)</f>
        <v>1</v>
      </c>
      <c r="L134" s="4">
        <f>IF(香港新定位结果!L134&lt;=0,0,1)</f>
        <v>1</v>
      </c>
      <c r="M134" s="4">
        <f>IF(香港新定位结果!M134&lt;=0,0,1)</f>
        <v>0</v>
      </c>
      <c r="N134" s="4">
        <f>IF(香港新定位结果!N134&lt;=0,0,1)</f>
        <v>1</v>
      </c>
      <c r="O134" s="4">
        <f>IF(香港新定位结果!O134&lt;=0,0,1)</f>
        <v>1</v>
      </c>
    </row>
    <row r="135" spans="1:15">
      <c r="A135" s="4" t="s">
        <v>685</v>
      </c>
      <c r="B135" s="4">
        <f>IF(香港新定位结果!B135&lt;=0,0,1)</f>
        <v>0</v>
      </c>
      <c r="C135" s="4">
        <f>IF(香港新定位结果!C135&lt;=0,0,1)</f>
        <v>1</v>
      </c>
      <c r="D135" s="4">
        <f>IF(香港新定位结果!D135&lt;=0,0,1)</f>
        <v>0</v>
      </c>
      <c r="E135" s="4">
        <f>IF(香港新定位结果!E135&lt;=0,0,1)</f>
        <v>0</v>
      </c>
      <c r="F135" s="4">
        <f>IF(香港新定位结果!F135&lt;=0,0,1)</f>
        <v>0</v>
      </c>
      <c r="G135" s="4">
        <f>IF(香港新定位结果!G135&lt;=0,0,1)</f>
        <v>1</v>
      </c>
      <c r="H135" s="4">
        <f>IF(香港新定位结果!H135&lt;=0,0,1)</f>
        <v>1</v>
      </c>
      <c r="I135" s="4">
        <f>IF(香港新定位结果!I135&lt;=0,0,1)</f>
        <v>1</v>
      </c>
      <c r="J135" s="4">
        <f>IF(香港新定位结果!J135&lt;=0,0,1)</f>
        <v>1</v>
      </c>
      <c r="K135" s="4">
        <f>IF(香港新定位结果!K135&lt;=0,0,1)</f>
        <v>0</v>
      </c>
      <c r="L135" s="4">
        <f>IF(香港新定位结果!L135&lt;=0,0,1)</f>
        <v>1</v>
      </c>
      <c r="M135" s="4">
        <f>IF(香港新定位结果!M135&lt;=0,0,1)</f>
        <v>1</v>
      </c>
      <c r="N135" s="4">
        <f>IF(香港新定位结果!N135&lt;=0,0,1)</f>
        <v>1</v>
      </c>
      <c r="O135" s="4">
        <f>IF(香港新定位结果!O135&lt;=0,0,1)</f>
        <v>0</v>
      </c>
    </row>
    <row r="136" spans="1:15">
      <c r="A136" s="4" t="s">
        <v>689</v>
      </c>
      <c r="B136" s="4">
        <f>IF(香港新定位结果!B136&lt;=0,0,1)</f>
        <v>0</v>
      </c>
      <c r="C136" s="4">
        <f>IF(香港新定位结果!C136&lt;=0,0,1)</f>
        <v>1</v>
      </c>
      <c r="D136" s="4">
        <f>IF(香港新定位结果!D136&lt;=0,0,1)</f>
        <v>0</v>
      </c>
      <c r="E136" s="4">
        <f>IF(香港新定位结果!E136&lt;=0,0,1)</f>
        <v>1</v>
      </c>
      <c r="F136" s="4">
        <f>IF(香港新定位结果!F136&lt;=0,0,1)</f>
        <v>1</v>
      </c>
      <c r="G136" s="4">
        <f>IF(香港新定位结果!G136&lt;=0,0,1)</f>
        <v>1</v>
      </c>
      <c r="H136" s="4">
        <f>IF(香港新定位结果!H136&lt;=0,0,1)</f>
        <v>0</v>
      </c>
      <c r="I136" s="4">
        <f>IF(香港新定位结果!I136&lt;=0,0,1)</f>
        <v>1</v>
      </c>
      <c r="J136" s="4">
        <f>IF(香港新定位结果!J136&lt;=0,0,1)</f>
        <v>0</v>
      </c>
      <c r="K136" s="4">
        <f>IF(香港新定位结果!K136&lt;=0,0,1)</f>
        <v>1</v>
      </c>
      <c r="L136" s="4">
        <f>IF(香港新定位结果!L136&lt;=0,0,1)</f>
        <v>1</v>
      </c>
      <c r="M136" s="4">
        <f>IF(香港新定位结果!M136&lt;=0,0,1)</f>
        <v>0</v>
      </c>
      <c r="N136" s="4">
        <f>IF(香港新定位结果!N136&lt;=0,0,1)</f>
        <v>0</v>
      </c>
      <c r="O136" s="4">
        <f>IF(香港新定位结果!O136&lt;=0,0,1)</f>
        <v>1</v>
      </c>
    </row>
    <row r="137" spans="1:15">
      <c r="A137" s="4" t="s">
        <v>693</v>
      </c>
      <c r="B137" s="4">
        <f>IF(香港新定位结果!B137&lt;=0,0,1)</f>
        <v>1</v>
      </c>
      <c r="C137" s="4">
        <f>IF(香港新定位结果!C137&lt;=0,0,1)</f>
        <v>1</v>
      </c>
      <c r="D137" s="4">
        <f>IF(香港新定位结果!D137&lt;=0,0,1)</f>
        <v>0</v>
      </c>
      <c r="E137" s="4">
        <f>IF(香港新定位结果!E137&lt;=0,0,1)</f>
        <v>1</v>
      </c>
      <c r="F137" s="4">
        <f>IF(香港新定位结果!F137&lt;=0,0,1)</f>
        <v>1</v>
      </c>
      <c r="G137" s="4">
        <f>IF(香港新定位结果!G137&lt;=0,0,1)</f>
        <v>1</v>
      </c>
      <c r="H137" s="4">
        <f>IF(香港新定位结果!H137&lt;=0,0,1)</f>
        <v>0</v>
      </c>
      <c r="I137" s="4">
        <f>IF(香港新定位结果!I137&lt;=0,0,1)</f>
        <v>1</v>
      </c>
      <c r="J137" s="4">
        <f>IF(香港新定位结果!J137&lt;=0,0,1)</f>
        <v>1</v>
      </c>
      <c r="K137" s="4">
        <f>IF(香港新定位结果!K137&lt;=0,0,1)</f>
        <v>1</v>
      </c>
      <c r="L137" s="4">
        <f>IF(香港新定位结果!L137&lt;=0,0,1)</f>
        <v>1</v>
      </c>
      <c r="M137" s="4">
        <f>IF(香港新定位结果!M137&lt;=0,0,1)</f>
        <v>1</v>
      </c>
      <c r="N137" s="4">
        <f>IF(香港新定位结果!N137&lt;=0,0,1)</f>
        <v>0</v>
      </c>
      <c r="O137" s="4">
        <f>IF(香港新定位结果!O137&lt;=0,0,1)</f>
        <v>0</v>
      </c>
    </row>
    <row r="138" spans="1:15">
      <c r="A138" s="4" t="s">
        <v>699</v>
      </c>
      <c r="B138" s="4">
        <f>IF(香港新定位结果!B138&lt;=0,0,1)</f>
        <v>1</v>
      </c>
      <c r="C138" s="4">
        <f>IF(香港新定位结果!C138&lt;=0,0,1)</f>
        <v>0</v>
      </c>
      <c r="D138" s="4">
        <f>IF(香港新定位结果!D138&lt;=0,0,1)</f>
        <v>1</v>
      </c>
      <c r="E138" s="4">
        <f>IF(香港新定位结果!E138&lt;=0,0,1)</f>
        <v>1</v>
      </c>
      <c r="F138" s="4">
        <f>IF(香港新定位结果!F138&lt;=0,0,1)</f>
        <v>1</v>
      </c>
      <c r="G138" s="4">
        <f>IF(香港新定位结果!G138&lt;=0,0,1)</f>
        <v>1</v>
      </c>
      <c r="H138" s="4">
        <f>IF(香港新定位结果!H138&lt;=0,0,1)</f>
        <v>0</v>
      </c>
      <c r="I138" s="4">
        <f>IF(香港新定位结果!I138&lt;=0,0,1)</f>
        <v>1</v>
      </c>
      <c r="J138" s="4">
        <f>IF(香港新定位结果!J138&lt;=0,0,1)</f>
        <v>0</v>
      </c>
      <c r="K138" s="4">
        <f>IF(香港新定位结果!K138&lt;=0,0,1)</f>
        <v>0</v>
      </c>
      <c r="L138" s="4">
        <f>IF(香港新定位结果!L138&lt;=0,0,1)</f>
        <v>0</v>
      </c>
      <c r="M138" s="4">
        <f>IF(香港新定位结果!M138&lt;=0,0,1)</f>
        <v>1</v>
      </c>
      <c r="N138" s="4">
        <f>IF(香港新定位结果!N138&lt;=0,0,1)</f>
        <v>1</v>
      </c>
      <c r="O138" s="4">
        <f>IF(香港新定位结果!O138&lt;=0,0,1)</f>
        <v>1</v>
      </c>
    </row>
    <row r="139" spans="1:15">
      <c r="A139" s="4" t="s">
        <v>703</v>
      </c>
      <c r="B139" s="4">
        <f>IF(香港新定位结果!B139&lt;=0,0,1)</f>
        <v>1</v>
      </c>
      <c r="C139" s="4">
        <f>IF(香港新定位结果!C139&lt;=0,0,1)</f>
        <v>1</v>
      </c>
      <c r="D139" s="4">
        <f>IF(香港新定位结果!D139&lt;=0,0,1)</f>
        <v>0</v>
      </c>
      <c r="E139" s="4">
        <f>IF(香港新定位结果!E139&lt;=0,0,1)</f>
        <v>1</v>
      </c>
      <c r="F139" s="4">
        <f>IF(香港新定位结果!F139&lt;=0,0,1)</f>
        <v>1</v>
      </c>
      <c r="G139" s="4">
        <f>IF(香港新定位结果!G139&lt;=0,0,1)</f>
        <v>0</v>
      </c>
      <c r="H139" s="4">
        <f>IF(香港新定位结果!H139&lt;=0,0,1)</f>
        <v>1</v>
      </c>
      <c r="I139" s="4">
        <f>IF(香港新定位结果!I139&lt;=0,0,1)</f>
        <v>1</v>
      </c>
      <c r="J139" s="4">
        <f>IF(香港新定位结果!J139&lt;=0,0,1)</f>
        <v>0</v>
      </c>
      <c r="K139" s="4">
        <f>IF(香港新定位结果!K139&lt;=0,0,1)</f>
        <v>1</v>
      </c>
      <c r="L139" s="4">
        <f>IF(香港新定位结果!L139&lt;=0,0,1)</f>
        <v>1</v>
      </c>
      <c r="M139" s="4">
        <f>IF(香港新定位结果!M139&lt;=0,0,1)</f>
        <v>0</v>
      </c>
      <c r="N139" s="4">
        <f>IF(香港新定位结果!N139&lt;=0,0,1)</f>
        <v>0</v>
      </c>
      <c r="O139" s="4">
        <f>IF(香港新定位结果!O139&lt;=0,0,1)</f>
        <v>1</v>
      </c>
    </row>
    <row r="140" spans="1:15">
      <c r="A140" s="4" t="s">
        <v>707</v>
      </c>
      <c r="B140" s="4">
        <f>IF(香港新定位结果!B140&lt;=0,0,1)</f>
        <v>1</v>
      </c>
      <c r="C140" s="4">
        <f>IF(香港新定位结果!C140&lt;=0,0,1)</f>
        <v>0</v>
      </c>
      <c r="D140" s="4">
        <f>IF(香港新定位结果!D140&lt;=0,0,1)</f>
        <v>1</v>
      </c>
      <c r="E140" s="4">
        <f>IF(香港新定位结果!E140&lt;=0,0,1)</f>
        <v>1</v>
      </c>
      <c r="F140" s="4">
        <f>IF(香港新定位结果!F140&lt;=0,0,1)</f>
        <v>0</v>
      </c>
      <c r="G140" s="4">
        <f>IF(香港新定位结果!G140&lt;=0,0,1)</f>
        <v>0</v>
      </c>
      <c r="H140" s="4">
        <f>IF(香港新定位结果!H140&lt;=0,0,1)</f>
        <v>1</v>
      </c>
      <c r="I140" s="4">
        <f>IF(香港新定位结果!I140&lt;=0,0,1)</f>
        <v>1</v>
      </c>
      <c r="J140" s="4">
        <f>IF(香港新定位结果!J140&lt;=0,0,1)</f>
        <v>0</v>
      </c>
      <c r="K140" s="4">
        <f>IF(香港新定位结果!K140&lt;=0,0,1)</f>
        <v>1</v>
      </c>
      <c r="L140" s="4">
        <f>IF(香港新定位结果!L140&lt;=0,0,1)</f>
        <v>1</v>
      </c>
      <c r="M140" s="4">
        <f>IF(香港新定位结果!M140&lt;=0,0,1)</f>
        <v>0</v>
      </c>
      <c r="N140" s="4">
        <f>IF(香港新定位结果!N140&lt;=0,0,1)</f>
        <v>0</v>
      </c>
      <c r="O140" s="4">
        <f>IF(香港新定位结果!O140&lt;=0,0,1)</f>
        <v>1</v>
      </c>
    </row>
    <row r="141" spans="1:15">
      <c r="A141" s="4" t="s">
        <v>713</v>
      </c>
      <c r="B141" s="4">
        <f>IF(香港新定位结果!B141&lt;=0,0,1)</f>
        <v>0</v>
      </c>
      <c r="C141" s="4">
        <f>IF(香港新定位结果!C141&lt;=0,0,1)</f>
        <v>1</v>
      </c>
      <c r="D141" s="4">
        <f>IF(香港新定位结果!D141&lt;=0,0,1)</f>
        <v>0</v>
      </c>
      <c r="E141" s="4">
        <f>IF(香港新定位结果!E141&lt;=0,0,1)</f>
        <v>1</v>
      </c>
      <c r="F141" s="4">
        <f>IF(香港新定位结果!F141&lt;=0,0,1)</f>
        <v>0</v>
      </c>
      <c r="G141" s="4">
        <f>IF(香港新定位结果!G141&lt;=0,0,1)</f>
        <v>1</v>
      </c>
      <c r="H141" s="4">
        <f>IF(香港新定位结果!H141&lt;=0,0,1)</f>
        <v>0</v>
      </c>
      <c r="I141" s="4">
        <f>IF(香港新定位结果!I141&lt;=0,0,1)</f>
        <v>1</v>
      </c>
      <c r="J141" s="4">
        <f>IF(香港新定位结果!J141&lt;=0,0,1)</f>
        <v>0</v>
      </c>
      <c r="K141" s="4">
        <f>IF(香港新定位结果!K141&lt;=0,0,1)</f>
        <v>1</v>
      </c>
      <c r="L141" s="4">
        <f>IF(香港新定位结果!L141&lt;=0,0,1)</f>
        <v>1</v>
      </c>
      <c r="M141" s="4">
        <f>IF(香港新定位结果!M141&lt;=0,0,1)</f>
        <v>0</v>
      </c>
      <c r="N141" s="4">
        <f>IF(香港新定位结果!N141&lt;=0,0,1)</f>
        <v>0</v>
      </c>
      <c r="O141" s="4">
        <f>IF(香港新定位结果!O141&lt;=0,0,1)</f>
        <v>1</v>
      </c>
    </row>
    <row r="142" spans="1:15">
      <c r="A142" s="4" t="s">
        <v>717</v>
      </c>
      <c r="B142" s="4">
        <f>IF(香港新定位结果!B142&lt;=0,0,1)</f>
        <v>0</v>
      </c>
      <c r="C142" s="4">
        <f>IF(香港新定位结果!C142&lt;=0,0,1)</f>
        <v>1</v>
      </c>
      <c r="D142" s="4">
        <f>IF(香港新定位结果!D142&lt;=0,0,1)</f>
        <v>0</v>
      </c>
      <c r="E142" s="4">
        <f>IF(香港新定位结果!E142&lt;=0,0,1)</f>
        <v>1</v>
      </c>
      <c r="F142" s="4">
        <f>IF(香港新定位结果!F142&lt;=0,0,1)</f>
        <v>0</v>
      </c>
      <c r="G142" s="4">
        <f>IF(香港新定位结果!G142&lt;=0,0,1)</f>
        <v>1</v>
      </c>
      <c r="H142" s="4">
        <f>IF(香港新定位结果!H142&lt;=0,0,1)</f>
        <v>0</v>
      </c>
      <c r="I142" s="4">
        <f>IF(香港新定位结果!I142&lt;=0,0,1)</f>
        <v>1</v>
      </c>
      <c r="J142" s="4">
        <f>IF(香港新定位结果!J142&lt;=0,0,1)</f>
        <v>0</v>
      </c>
      <c r="K142" s="4">
        <f>IF(香港新定位结果!K142&lt;=0,0,1)</f>
        <v>1</v>
      </c>
      <c r="L142" s="4">
        <f>IF(香港新定位结果!L142&lt;=0,0,1)</f>
        <v>1</v>
      </c>
      <c r="M142" s="4">
        <f>IF(香港新定位结果!M142&lt;=0,0,1)</f>
        <v>0</v>
      </c>
      <c r="N142" s="4">
        <f>IF(香港新定位结果!N142&lt;=0,0,1)</f>
        <v>1</v>
      </c>
      <c r="O142" s="4">
        <f>IF(香港新定位结果!O142&lt;=0,0,1)</f>
        <v>1</v>
      </c>
    </row>
    <row r="143" spans="1:15">
      <c r="A143" s="4" t="s">
        <v>727</v>
      </c>
      <c r="B143" s="4">
        <f>IF(香港新定位结果!B143&lt;=0,0,1)</f>
        <v>1</v>
      </c>
      <c r="C143" s="4">
        <f>IF(香港新定位结果!C143&lt;=0,0,1)</f>
        <v>0</v>
      </c>
      <c r="D143" s="4">
        <f>IF(香港新定位结果!D143&lt;=0,0,1)</f>
        <v>0</v>
      </c>
      <c r="E143" s="4">
        <f>IF(香港新定位结果!E143&lt;=0,0,1)</f>
        <v>0</v>
      </c>
      <c r="F143" s="4">
        <f>IF(香港新定位结果!F143&lt;=0,0,1)</f>
        <v>1</v>
      </c>
      <c r="G143" s="4">
        <f>IF(香港新定位结果!G143&lt;=0,0,1)</f>
        <v>0</v>
      </c>
      <c r="H143" s="4">
        <f>IF(香港新定位结果!H143&lt;=0,0,1)</f>
        <v>1</v>
      </c>
      <c r="I143" s="4">
        <f>IF(香港新定位结果!I143&lt;=0,0,1)</f>
        <v>1</v>
      </c>
      <c r="J143" s="4">
        <f>IF(香港新定位结果!J143&lt;=0,0,1)</f>
        <v>0</v>
      </c>
      <c r="K143" s="4">
        <f>IF(香港新定位结果!K143&lt;=0,0,1)</f>
        <v>1</v>
      </c>
      <c r="L143" s="4">
        <f>IF(香港新定位结果!L143&lt;=0,0,1)</f>
        <v>1</v>
      </c>
      <c r="M143" s="4">
        <f>IF(香港新定位结果!M143&lt;=0,0,1)</f>
        <v>0</v>
      </c>
      <c r="N143" s="4">
        <f>IF(香港新定位结果!N143&lt;=0,0,1)</f>
        <v>0</v>
      </c>
      <c r="O143" s="4">
        <f>IF(香港新定位结果!O143&lt;=0,0,1)</f>
        <v>1</v>
      </c>
    </row>
    <row r="144" spans="1:15">
      <c r="A144" s="4" t="s">
        <v>731</v>
      </c>
      <c r="B144" s="4">
        <f>IF(香港新定位结果!B144&lt;=0,0,1)</f>
        <v>1</v>
      </c>
      <c r="C144" s="4">
        <f>IF(香港新定位结果!C144&lt;=0,0,1)</f>
        <v>1</v>
      </c>
      <c r="D144" s="4">
        <f>IF(香港新定位结果!D144&lt;=0,0,1)</f>
        <v>0</v>
      </c>
      <c r="E144" s="4">
        <f>IF(香港新定位结果!E144&lt;=0,0,1)</f>
        <v>1</v>
      </c>
      <c r="F144" s="4">
        <f>IF(香港新定位结果!F144&lt;=0,0,1)</f>
        <v>0</v>
      </c>
      <c r="G144" s="4">
        <f>IF(香港新定位结果!G144&lt;=0,0,1)</f>
        <v>0</v>
      </c>
      <c r="H144" s="4">
        <f>IF(香港新定位结果!H144&lt;=0,0,1)</f>
        <v>0</v>
      </c>
      <c r="I144" s="4">
        <f>IF(香港新定位结果!I144&lt;=0,0,1)</f>
        <v>1</v>
      </c>
      <c r="J144" s="4">
        <f>IF(香港新定位结果!J144&lt;=0,0,1)</f>
        <v>1</v>
      </c>
      <c r="K144" s="4">
        <f>IF(香港新定位结果!K144&lt;=0,0,1)</f>
        <v>1</v>
      </c>
      <c r="L144" s="4">
        <f>IF(香港新定位结果!L144&lt;=0,0,1)</f>
        <v>1</v>
      </c>
      <c r="M144" s="4">
        <f>IF(香港新定位结果!M144&lt;=0,0,1)</f>
        <v>0</v>
      </c>
      <c r="N144" s="4">
        <f>IF(香港新定位结果!N144&lt;=0,0,1)</f>
        <v>0</v>
      </c>
      <c r="O144" s="4">
        <f>IF(香港新定位结果!O144&lt;=0,0,1)</f>
        <v>0</v>
      </c>
    </row>
    <row r="145" spans="1:15">
      <c r="A145" s="4" t="s">
        <v>737</v>
      </c>
      <c r="B145" s="4">
        <f>IF(香港新定位结果!B145&lt;=0,0,1)</f>
        <v>0</v>
      </c>
      <c r="C145" s="4">
        <f>IF(香港新定位结果!C145&lt;=0,0,1)</f>
        <v>0</v>
      </c>
      <c r="D145" s="4">
        <f>IF(香港新定位结果!D145&lt;=0,0,1)</f>
        <v>0</v>
      </c>
      <c r="E145" s="4">
        <f>IF(香港新定位结果!E145&lt;=0,0,1)</f>
        <v>1</v>
      </c>
      <c r="F145" s="4">
        <f>IF(香港新定位结果!F145&lt;=0,0,1)</f>
        <v>0</v>
      </c>
      <c r="G145" s="4">
        <f>IF(香港新定位结果!G145&lt;=0,0,1)</f>
        <v>1</v>
      </c>
      <c r="H145" s="4">
        <f>IF(香港新定位结果!H145&lt;=0,0,1)</f>
        <v>0</v>
      </c>
      <c r="I145" s="4">
        <f>IF(香港新定位结果!I145&lt;=0,0,1)</f>
        <v>1</v>
      </c>
      <c r="J145" s="4">
        <f>IF(香港新定位结果!J145&lt;=0,0,1)</f>
        <v>0</v>
      </c>
      <c r="K145" s="4">
        <f>IF(香港新定位结果!K145&lt;=0,0,1)</f>
        <v>0</v>
      </c>
      <c r="L145" s="4">
        <f>IF(香港新定位结果!L145&lt;=0,0,1)</f>
        <v>0</v>
      </c>
      <c r="M145" s="4">
        <f>IF(香港新定位结果!M145&lt;=0,0,1)</f>
        <v>0</v>
      </c>
      <c r="N145" s="4">
        <f>IF(香港新定位结果!N145&lt;=0,0,1)</f>
        <v>0</v>
      </c>
      <c r="O145" s="4">
        <f>IF(香港新定位结果!O145&lt;=0,0,1)</f>
        <v>0</v>
      </c>
    </row>
    <row r="146" spans="1:15">
      <c r="A146" s="5" t="s">
        <v>745</v>
      </c>
      <c r="B146" s="4">
        <f>IF(香港新定位结果!B146&lt;=0,0,1)</f>
        <v>0</v>
      </c>
      <c r="C146" s="4">
        <f>IF(香港新定位结果!C146&lt;=0,0,1)</f>
        <v>0</v>
      </c>
      <c r="D146" s="4">
        <f>IF(香港新定位结果!D146&lt;=0,0,1)</f>
        <v>1</v>
      </c>
      <c r="E146" s="4">
        <f>IF(香港新定位结果!E146&lt;=0,0,1)</f>
        <v>1</v>
      </c>
      <c r="F146" s="4">
        <f>IF(香港新定位结果!F146&lt;=0,0,1)</f>
        <v>1</v>
      </c>
      <c r="G146" s="4">
        <f>IF(香港新定位结果!G146&lt;=0,0,1)</f>
        <v>0</v>
      </c>
      <c r="H146" s="4">
        <f>IF(香港新定位结果!H146&lt;=0,0,1)</f>
        <v>0</v>
      </c>
      <c r="I146" s="4">
        <f>IF(香港新定位结果!I146&lt;=0,0,1)</f>
        <v>1</v>
      </c>
      <c r="J146" s="4">
        <f>IF(香港新定位结果!J146&lt;=0,0,1)</f>
        <v>1</v>
      </c>
      <c r="K146" s="4">
        <f>IF(香港新定位结果!K146&lt;=0,0,1)</f>
        <v>1</v>
      </c>
      <c r="L146" s="4">
        <f>IF(香港新定位结果!L146&lt;=0,0,1)</f>
        <v>0</v>
      </c>
      <c r="M146" s="4">
        <f>IF(香港新定位结果!M146&lt;=0,0,1)</f>
        <v>0</v>
      </c>
      <c r="N146" s="4">
        <f>IF(香港新定位结果!N146&lt;=0,0,1)</f>
        <v>1</v>
      </c>
      <c r="O146" s="4">
        <f>IF(香港新定位结果!O146&lt;=0,0,1)</f>
        <v>1</v>
      </c>
    </row>
    <row r="147" spans="1:15">
      <c r="A147" s="5" t="s">
        <v>749</v>
      </c>
      <c r="B147" s="4">
        <f>IF(香港新定位结果!B147&lt;=0,0,1)</f>
        <v>1</v>
      </c>
      <c r="C147" s="4">
        <f>IF(香港新定位结果!C147&lt;=0,0,1)</f>
        <v>0</v>
      </c>
      <c r="D147" s="4">
        <f>IF(香港新定位结果!D147&lt;=0,0,1)</f>
        <v>1</v>
      </c>
      <c r="E147" s="4">
        <f>IF(香港新定位结果!E147&lt;=0,0,1)</f>
        <v>1</v>
      </c>
      <c r="F147" s="4">
        <f>IF(香港新定位结果!F147&lt;=0,0,1)</f>
        <v>0</v>
      </c>
      <c r="G147" s="4">
        <f>IF(香港新定位结果!G147&lt;=0,0,1)</f>
        <v>1</v>
      </c>
      <c r="H147" s="4">
        <f>IF(香港新定位结果!H147&lt;=0,0,1)</f>
        <v>0</v>
      </c>
      <c r="I147" s="4">
        <f>IF(香港新定位结果!I147&lt;=0,0,1)</f>
        <v>1</v>
      </c>
      <c r="J147" s="4">
        <f>IF(香港新定位结果!J147&lt;=0,0,1)</f>
        <v>0</v>
      </c>
      <c r="K147" s="4">
        <f>IF(香港新定位结果!K147&lt;=0,0,1)</f>
        <v>0</v>
      </c>
      <c r="L147" s="4">
        <f>IF(香港新定位结果!L147&lt;=0,0,1)</f>
        <v>1</v>
      </c>
      <c r="M147" s="4">
        <f>IF(香港新定位结果!M147&lt;=0,0,1)</f>
        <v>1</v>
      </c>
      <c r="N147" s="4">
        <f>IF(香港新定位结果!N147&lt;=0,0,1)</f>
        <v>1</v>
      </c>
      <c r="O147" s="4">
        <f>IF(香港新定位结果!O147&lt;=0,0,1)</f>
        <v>0</v>
      </c>
    </row>
    <row r="148" spans="1:15">
      <c r="A148" s="5" t="s">
        <v>757</v>
      </c>
      <c r="B148" s="4">
        <f>IF(香港新定位结果!B148&lt;=0,0,1)</f>
        <v>0</v>
      </c>
      <c r="C148" s="4">
        <f>IF(香港新定位结果!C148&lt;=0,0,1)</f>
        <v>1</v>
      </c>
      <c r="D148" s="4">
        <f>IF(香港新定位结果!D148&lt;=0,0,1)</f>
        <v>1</v>
      </c>
      <c r="E148" s="4">
        <f>IF(香港新定位结果!E148&lt;=0,0,1)</f>
        <v>0</v>
      </c>
      <c r="F148" s="4">
        <f>IF(香港新定位结果!F148&lt;=0,0,1)</f>
        <v>0</v>
      </c>
      <c r="G148" s="4">
        <f>IF(香港新定位结果!G148&lt;=0,0,1)</f>
        <v>0</v>
      </c>
      <c r="H148" s="4">
        <f>IF(香港新定位结果!H148&lt;=0,0,1)</f>
        <v>1</v>
      </c>
      <c r="I148" s="4">
        <f>IF(香港新定位结果!I148&lt;=0,0,1)</f>
        <v>1</v>
      </c>
      <c r="J148" s="4">
        <f>IF(香港新定位结果!J148&lt;=0,0,1)</f>
        <v>0</v>
      </c>
      <c r="K148" s="4">
        <f>IF(香港新定位结果!K148&lt;=0,0,1)</f>
        <v>0</v>
      </c>
      <c r="L148" s="4">
        <f>IF(香港新定位结果!L148&lt;=0,0,1)</f>
        <v>1</v>
      </c>
      <c r="M148" s="4">
        <f>IF(香港新定位结果!M148&lt;=0,0,1)</f>
        <v>1</v>
      </c>
      <c r="N148" s="4">
        <f>IF(香港新定位结果!N148&lt;=0,0,1)</f>
        <v>0</v>
      </c>
      <c r="O148" s="4">
        <f>IF(香港新定位结果!O148&lt;=0,0,1)</f>
        <v>1</v>
      </c>
    </row>
    <row r="149" spans="1:15">
      <c r="A149" s="5" t="s">
        <v>763</v>
      </c>
      <c r="B149" s="4">
        <f>IF(香港新定位结果!B149&lt;=0,0,1)</f>
        <v>1</v>
      </c>
      <c r="C149" s="4">
        <f>IF(香港新定位结果!C149&lt;=0,0,1)</f>
        <v>1</v>
      </c>
      <c r="D149" s="4">
        <f>IF(香港新定位结果!D149&lt;=0,0,1)</f>
        <v>0</v>
      </c>
      <c r="E149" s="4">
        <f>IF(香港新定位结果!E149&lt;=0,0,1)</f>
        <v>0</v>
      </c>
      <c r="F149" s="4">
        <f>IF(香港新定位结果!F149&lt;=0,0,1)</f>
        <v>1</v>
      </c>
      <c r="G149" s="4">
        <f>IF(香港新定位结果!G149&lt;=0,0,1)</f>
        <v>0</v>
      </c>
      <c r="H149" s="4">
        <f>IF(香港新定位结果!H149&lt;=0,0,1)</f>
        <v>1</v>
      </c>
      <c r="I149" s="4">
        <f>IF(香港新定位结果!I149&lt;=0,0,1)</f>
        <v>1</v>
      </c>
      <c r="J149" s="4">
        <f>IF(香港新定位结果!J149&lt;=0,0,1)</f>
        <v>0</v>
      </c>
      <c r="K149" s="4">
        <f>IF(香港新定位结果!K149&lt;=0,0,1)</f>
        <v>1</v>
      </c>
      <c r="L149" s="4">
        <f>IF(香港新定位结果!L149&lt;=0,0,1)</f>
        <v>0</v>
      </c>
      <c r="M149" s="4">
        <f>IF(香港新定位结果!M149&lt;=0,0,1)</f>
        <v>0</v>
      </c>
      <c r="N149" s="4">
        <f>IF(香港新定位结果!N149&lt;=0,0,1)</f>
        <v>0</v>
      </c>
      <c r="O149" s="4">
        <f>IF(香港新定位结果!O149&lt;=0,0,1)</f>
        <v>1</v>
      </c>
    </row>
    <row r="150" spans="1:15">
      <c r="A150" s="5" t="s">
        <v>769</v>
      </c>
      <c r="B150" s="4">
        <f>IF(香港新定位结果!B150&lt;=0,0,1)</f>
        <v>0</v>
      </c>
      <c r="C150" s="4">
        <f>IF(香港新定位结果!C150&lt;=0,0,1)</f>
        <v>1</v>
      </c>
      <c r="D150" s="4">
        <f>IF(香港新定位结果!D150&lt;=0,0,1)</f>
        <v>0</v>
      </c>
      <c r="E150" s="4">
        <f>IF(香港新定位结果!E150&lt;=0,0,1)</f>
        <v>0</v>
      </c>
      <c r="F150" s="4">
        <f>IF(香港新定位结果!F150&lt;=0,0,1)</f>
        <v>1</v>
      </c>
      <c r="G150" s="4">
        <f>IF(香港新定位结果!G150&lt;=0,0,1)</f>
        <v>0</v>
      </c>
      <c r="H150" s="4">
        <f>IF(香港新定位结果!H150&lt;=0,0,1)</f>
        <v>0</v>
      </c>
      <c r="I150" s="4">
        <f>IF(香港新定位结果!I150&lt;=0,0,1)</f>
        <v>0</v>
      </c>
      <c r="J150" s="4">
        <f>IF(香港新定位结果!J150&lt;=0,0,1)</f>
        <v>0</v>
      </c>
      <c r="K150" s="4">
        <f>IF(香港新定位结果!K150&lt;=0,0,1)</f>
        <v>1</v>
      </c>
      <c r="L150" s="4">
        <f>IF(香港新定位结果!L150&lt;=0,0,1)</f>
        <v>0</v>
      </c>
      <c r="M150" s="4">
        <f>IF(香港新定位结果!M150&lt;=0,0,1)</f>
        <v>0</v>
      </c>
      <c r="N150" s="4">
        <f>IF(香港新定位结果!N150&lt;=0,0,1)</f>
        <v>1</v>
      </c>
      <c r="O150" s="4">
        <f>IF(香港新定位结果!O150&lt;=0,0,1)</f>
        <v>1</v>
      </c>
    </row>
    <row r="151" spans="1:15">
      <c r="A151" s="6" t="s">
        <v>773</v>
      </c>
      <c r="B151" s="4">
        <f>IF(香港新定位结果!B151&lt;=0,0,1)</f>
        <v>0</v>
      </c>
      <c r="C151" s="4">
        <f>IF(香港新定位结果!C151&lt;=0,0,1)</f>
        <v>1</v>
      </c>
      <c r="D151" s="4">
        <f>IF(香港新定位结果!D151&lt;=0,0,1)</f>
        <v>0</v>
      </c>
      <c r="E151" s="4">
        <f>IF(香港新定位结果!E151&lt;=0,0,1)</f>
        <v>0</v>
      </c>
      <c r="F151" s="4">
        <f>IF(香港新定位结果!F151&lt;=0,0,1)</f>
        <v>0</v>
      </c>
      <c r="G151" s="4">
        <f>IF(香港新定位结果!G151&lt;=0,0,1)</f>
        <v>0</v>
      </c>
      <c r="H151" s="4">
        <f>IF(香港新定位结果!H151&lt;=0,0,1)</f>
        <v>0</v>
      </c>
      <c r="I151" s="4">
        <f>IF(香港新定位结果!I151&lt;=0,0,1)</f>
        <v>1</v>
      </c>
      <c r="J151" s="4">
        <f>IF(香港新定位结果!J151&lt;=0,0,1)</f>
        <v>1</v>
      </c>
      <c r="K151" s="4">
        <f>IF(香港新定位结果!K151&lt;=0,0,1)</f>
        <v>1</v>
      </c>
      <c r="L151" s="4">
        <f>IF(香港新定位结果!L151&lt;=0,0,1)</f>
        <v>1</v>
      </c>
      <c r="M151" s="4">
        <f>IF(香港新定位结果!M151&lt;=0,0,1)</f>
        <v>0</v>
      </c>
      <c r="N151" s="4">
        <f>IF(香港新定位结果!N151&lt;=0,0,1)</f>
        <v>0</v>
      </c>
      <c r="O151" s="4">
        <f>IF(香港新定位结果!O151&lt;=0,0,1)</f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2"/>
  <sheetViews>
    <sheetView topLeftCell="A119" workbookViewId="0">
      <selection activeCell="K1" sqref="K1:K152"/>
    </sheetView>
  </sheetViews>
  <sheetFormatPr defaultColWidth="9" defaultRowHeight="13.5"/>
  <cols>
    <col min="1" max="1" width="11.625" customWidth="1"/>
    <col min="4" max="5" width="9" style="1"/>
    <col min="11" max="11" width="9" style="1"/>
  </cols>
  <sheetData>
    <row r="1" spans="2:15">
      <c r="B1">
        <f>(COUNTIF(B3:B152,"=0")+COUNTIF(B3:B153,"=2"))/(152-3+1)</f>
        <v>0.54</v>
      </c>
      <c r="C1">
        <f t="shared" ref="C1:O1" si="0">(COUNTIF(C3:C152,"=0")+COUNTIF(C3:C153,"=2"))/(152-3+1)</f>
        <v>0.52</v>
      </c>
      <c r="D1" s="1">
        <f t="shared" si="0"/>
        <v>0.566666666666667</v>
      </c>
      <c r="E1" s="1">
        <f t="shared" si="0"/>
        <v>0.54</v>
      </c>
      <c r="F1">
        <f t="shared" si="0"/>
        <v>0.54</v>
      </c>
      <c r="G1">
        <f t="shared" si="0"/>
        <v>0.5</v>
      </c>
      <c r="H1">
        <f t="shared" si="0"/>
        <v>0.513333333333333</v>
      </c>
      <c r="I1">
        <f t="shared" si="0"/>
        <v>0.5</v>
      </c>
      <c r="J1">
        <f t="shared" si="0"/>
        <v>0.48</v>
      </c>
      <c r="K1" s="1">
        <f t="shared" si="0"/>
        <v>0.553333333333333</v>
      </c>
      <c r="L1">
        <f t="shared" si="0"/>
        <v>0.5</v>
      </c>
      <c r="M1">
        <f t="shared" si="0"/>
        <v>0.513333333333333</v>
      </c>
      <c r="N1">
        <f t="shared" si="0"/>
        <v>0.5</v>
      </c>
      <c r="O1">
        <f t="shared" si="0"/>
        <v>0.52</v>
      </c>
    </row>
    <row r="2" spans="1:15">
      <c r="A2" s="2" t="s">
        <v>0</v>
      </c>
      <c r="B2" s="2" t="s">
        <v>797</v>
      </c>
      <c r="C2" s="2" t="s">
        <v>798</v>
      </c>
      <c r="D2" s="3" t="s">
        <v>3</v>
      </c>
      <c r="E2" s="3" t="s">
        <v>778</v>
      </c>
      <c r="F2" s="2" t="s">
        <v>799</v>
      </c>
      <c r="G2" s="2" t="s">
        <v>800</v>
      </c>
      <c r="H2" s="2" t="s">
        <v>801</v>
      </c>
      <c r="I2" s="2" t="s">
        <v>802</v>
      </c>
      <c r="J2" s="2" t="s">
        <v>5</v>
      </c>
      <c r="K2" s="3" t="s">
        <v>780</v>
      </c>
      <c r="L2" s="2" t="s">
        <v>803</v>
      </c>
      <c r="M2" s="2" t="s">
        <v>7</v>
      </c>
      <c r="N2" s="2" t="s">
        <v>804</v>
      </c>
      <c r="O2" s="2" t="s">
        <v>805</v>
      </c>
    </row>
    <row r="3" spans="1:15">
      <c r="A3" s="4" t="s">
        <v>20</v>
      </c>
      <c r="B3">
        <f>香港换算01!B2+香港新定位结果!$P2</f>
        <v>1</v>
      </c>
      <c r="C3">
        <f>香港换算01!C2+香港新定位结果!$P2</f>
        <v>1</v>
      </c>
      <c r="D3" s="1">
        <f>香港换算01!D2+香港新定位结果!$P2</f>
        <v>1</v>
      </c>
      <c r="E3" s="1">
        <f>香港换算01!E2+香港新定位结果!$P2</f>
        <v>2</v>
      </c>
      <c r="F3">
        <f>香港换算01!F2+香港新定位结果!$P2</f>
        <v>1</v>
      </c>
      <c r="G3">
        <f>香港换算01!G2+香港新定位结果!$P2</f>
        <v>1</v>
      </c>
      <c r="H3">
        <f>香港换算01!H2+香港新定位结果!$P2</f>
        <v>1</v>
      </c>
      <c r="I3">
        <f>香港换算01!I2+香港新定位结果!$P2</f>
        <v>2</v>
      </c>
      <c r="J3">
        <f>香港换算01!J2+香港新定位结果!$P2</f>
        <v>1</v>
      </c>
      <c r="K3" s="1">
        <f>香港换算01!K2+香港新定位结果!$P2</f>
        <v>2</v>
      </c>
      <c r="L3">
        <f>香港换算01!L2+香港新定位结果!$P2</f>
        <v>2</v>
      </c>
      <c r="M3">
        <f>香港换算01!M2+香港新定位结果!$P2</f>
        <v>1</v>
      </c>
      <c r="N3">
        <f>香港换算01!N2+香港新定位结果!$P2</f>
        <v>2</v>
      </c>
      <c r="O3">
        <f>香港换算01!O2+香港新定位结果!$P2</f>
        <v>2</v>
      </c>
    </row>
    <row r="4" spans="1:15">
      <c r="A4" s="4" t="s">
        <v>26</v>
      </c>
      <c r="B4">
        <f>香港换算01!B3+香港新定位结果!$P3</f>
        <v>0</v>
      </c>
      <c r="C4">
        <f>香港换算01!C3+香港新定位结果!$P3</f>
        <v>0</v>
      </c>
      <c r="D4" s="1">
        <f>香港换算01!D3+香港新定位结果!$P3</f>
        <v>0</v>
      </c>
      <c r="E4" s="1">
        <f>香港换算01!E3+香港新定位结果!$P3</f>
        <v>0</v>
      </c>
      <c r="F4">
        <f>香港换算01!F3+香港新定位结果!$P3</f>
        <v>0</v>
      </c>
      <c r="G4">
        <f>香港换算01!G3+香港新定位结果!$P3</f>
        <v>0</v>
      </c>
      <c r="H4">
        <f>香港换算01!H3+香港新定位结果!$P3</f>
        <v>0</v>
      </c>
      <c r="I4">
        <f>香港换算01!I3+香港新定位结果!$P3</f>
        <v>1</v>
      </c>
      <c r="J4">
        <f>香港换算01!J3+香港新定位结果!$P3</f>
        <v>1</v>
      </c>
      <c r="K4" s="1">
        <f>香港换算01!K3+香港新定位结果!$P3</f>
        <v>1</v>
      </c>
      <c r="L4">
        <f>香港换算01!L3+香港新定位结果!$P3</f>
        <v>1</v>
      </c>
      <c r="M4">
        <f>香港换算01!M3+香港新定位结果!$P3</f>
        <v>1</v>
      </c>
      <c r="N4">
        <f>香港换算01!N3+香港新定位结果!$P3</f>
        <v>1</v>
      </c>
      <c r="O4">
        <f>香港换算01!O3+香港新定位结果!$P3</f>
        <v>0</v>
      </c>
    </row>
    <row r="5" spans="1:15">
      <c r="A5" s="4" t="s">
        <v>32</v>
      </c>
      <c r="B5">
        <f>香港换算01!B4+香港新定位结果!$P4</f>
        <v>2</v>
      </c>
      <c r="C5">
        <f>香港换算01!C4+香港新定位结果!$P4</f>
        <v>2</v>
      </c>
      <c r="D5" s="1">
        <f>香港换算01!D4+香港新定位结果!$P4</f>
        <v>2</v>
      </c>
      <c r="E5" s="1">
        <f>香港换算01!E4+香港新定位结果!$P4</f>
        <v>2</v>
      </c>
      <c r="F5">
        <f>香港换算01!F4+香港新定位结果!$P4</f>
        <v>2</v>
      </c>
      <c r="G5">
        <f>香港换算01!G4+香港新定位结果!$P4</f>
        <v>1</v>
      </c>
      <c r="H5">
        <f>香港换算01!H4+香港新定位结果!$P4</f>
        <v>2</v>
      </c>
      <c r="I5">
        <f>香港换算01!I4+香港新定位结果!$P4</f>
        <v>2</v>
      </c>
      <c r="J5">
        <f>香港换算01!J4+香港新定位结果!$P4</f>
        <v>1</v>
      </c>
      <c r="K5" s="1">
        <f>香港换算01!K4+香港新定位结果!$P4</f>
        <v>2</v>
      </c>
      <c r="L5">
        <f>香港换算01!L4+香港新定位结果!$P4</f>
        <v>1</v>
      </c>
      <c r="M5">
        <f>香港换算01!M4+香港新定位结果!$P4</f>
        <v>2</v>
      </c>
      <c r="N5">
        <f>香港换算01!N4+香港新定位结果!$P4</f>
        <v>2</v>
      </c>
      <c r="O5">
        <f>香港换算01!O4+香港新定位结果!$P4</f>
        <v>2</v>
      </c>
    </row>
    <row r="6" spans="1:15">
      <c r="A6" s="4" t="s">
        <v>41</v>
      </c>
      <c r="B6">
        <f>香港换算01!B5+香港新定位结果!$P5</f>
        <v>2</v>
      </c>
      <c r="C6">
        <f>香港换算01!C5+香港新定位结果!$P5</f>
        <v>2</v>
      </c>
      <c r="D6" s="1">
        <f>香港换算01!D5+香港新定位结果!$P5</f>
        <v>1</v>
      </c>
      <c r="E6" s="1">
        <f>香港换算01!E5+香港新定位结果!$P5</f>
        <v>1</v>
      </c>
      <c r="F6">
        <f>香港换算01!F5+香港新定位结果!$P5</f>
        <v>1</v>
      </c>
      <c r="G6">
        <f>香港换算01!G5+香港新定位结果!$P5</f>
        <v>1</v>
      </c>
      <c r="H6">
        <f>香港换算01!H5+香港新定位结果!$P5</f>
        <v>2</v>
      </c>
      <c r="I6">
        <f>香港换算01!I5+香港新定位结果!$P5</f>
        <v>1</v>
      </c>
      <c r="J6">
        <f>香港换算01!J5+香港新定位结果!$P5</f>
        <v>2</v>
      </c>
      <c r="K6" s="1">
        <f>香港换算01!K5+香港新定位结果!$P5</f>
        <v>2</v>
      </c>
      <c r="L6">
        <f>香港换算01!L5+香港新定位结果!$P5</f>
        <v>2</v>
      </c>
      <c r="M6">
        <f>香港换算01!M5+香港新定位结果!$P5</f>
        <v>1</v>
      </c>
      <c r="N6">
        <f>香港换算01!N5+香港新定位结果!$P5</f>
        <v>1</v>
      </c>
      <c r="O6">
        <f>香港换算01!O5+香港新定位结果!$P5</f>
        <v>1</v>
      </c>
    </row>
    <row r="7" spans="1:15">
      <c r="A7" s="4" t="s">
        <v>45</v>
      </c>
      <c r="B7">
        <f>香港换算01!B6+香港新定位结果!$P6</f>
        <v>0</v>
      </c>
      <c r="C7">
        <f>香港换算01!C6+香港新定位结果!$P6</f>
        <v>1</v>
      </c>
      <c r="D7" s="1">
        <f>香港换算01!D6+香港新定位结果!$P6</f>
        <v>0</v>
      </c>
      <c r="E7" s="1">
        <f>香港换算01!E6+香港新定位结果!$P6</f>
        <v>1</v>
      </c>
      <c r="F7">
        <f>香港换算01!F6+香港新定位结果!$P6</f>
        <v>0</v>
      </c>
      <c r="G7">
        <f>香港换算01!G6+香港新定位结果!$P6</f>
        <v>0</v>
      </c>
      <c r="H7">
        <f>香港换算01!H6+香港新定位结果!$P6</f>
        <v>1</v>
      </c>
      <c r="I7">
        <f>香港换算01!I6+香港新定位结果!$P6</f>
        <v>0</v>
      </c>
      <c r="J7">
        <f>香港换算01!J6+香港新定位结果!$P6</f>
        <v>0</v>
      </c>
      <c r="K7" s="1">
        <f>香港换算01!K6+香港新定位结果!$P6</f>
        <v>0</v>
      </c>
      <c r="L7">
        <f>香港换算01!L6+香港新定位结果!$P6</f>
        <v>1</v>
      </c>
      <c r="M7">
        <f>香港换算01!M6+香港新定位结果!$P6</f>
        <v>0</v>
      </c>
      <c r="N7">
        <f>香港换算01!N6+香港新定位结果!$P6</f>
        <v>1</v>
      </c>
      <c r="O7">
        <f>香港换算01!O6+香港新定位结果!$P6</f>
        <v>0</v>
      </c>
    </row>
    <row r="8" spans="1:15">
      <c r="A8" s="4" t="s">
        <v>49</v>
      </c>
      <c r="B8">
        <f>香港换算01!B7+香港新定位结果!$P7</f>
        <v>1</v>
      </c>
      <c r="C8">
        <f>香港换算01!C7+香港新定位结果!$P7</f>
        <v>2</v>
      </c>
      <c r="D8" s="1">
        <f>香港换算01!D7+香港新定位结果!$P7</f>
        <v>1</v>
      </c>
      <c r="E8" s="1">
        <f>香港换算01!E7+香港新定位结果!$P7</f>
        <v>1</v>
      </c>
      <c r="F8">
        <f>香港换算01!F7+香港新定位结果!$P7</f>
        <v>2</v>
      </c>
      <c r="G8">
        <f>香港换算01!G7+香港新定位结果!$P7</f>
        <v>1</v>
      </c>
      <c r="H8">
        <f>香港换算01!H7+香港新定位结果!$P7</f>
        <v>1</v>
      </c>
      <c r="I8">
        <f>香港换算01!I7+香港新定位结果!$P7</f>
        <v>1</v>
      </c>
      <c r="J8">
        <f>香港换算01!J7+香港新定位结果!$P7</f>
        <v>1</v>
      </c>
      <c r="K8" s="1">
        <f>香港换算01!K7+香港新定位结果!$P7</f>
        <v>2</v>
      </c>
      <c r="L8">
        <f>香港换算01!L7+香港新定位结果!$P7</f>
        <v>1</v>
      </c>
      <c r="M8">
        <f>香港换算01!M7+香港新定位结果!$P7</f>
        <v>1</v>
      </c>
      <c r="N8">
        <f>香港换算01!N7+香港新定位结果!$P7</f>
        <v>2</v>
      </c>
      <c r="O8">
        <f>香港换算01!O7+香港新定位结果!$P7</f>
        <v>2</v>
      </c>
    </row>
    <row r="9" spans="1:15">
      <c r="A9" s="4" t="s">
        <v>55</v>
      </c>
      <c r="B9">
        <f>香港换算01!B8+香港新定位结果!$P8</f>
        <v>0</v>
      </c>
      <c r="C9">
        <f>香港换算01!C8+香港新定位结果!$P8</f>
        <v>0</v>
      </c>
      <c r="D9" s="1">
        <f>香港换算01!D8+香港新定位结果!$P8</f>
        <v>0</v>
      </c>
      <c r="E9" s="1">
        <f>香港换算01!E8+香港新定位结果!$P8</f>
        <v>1</v>
      </c>
      <c r="F9">
        <f>香港换算01!F8+香港新定位结果!$P8</f>
        <v>1</v>
      </c>
      <c r="G9">
        <f>香港换算01!G8+香港新定位结果!$P8</f>
        <v>0</v>
      </c>
      <c r="H9">
        <f>香港换算01!H8+香港新定位结果!$P8</f>
        <v>0</v>
      </c>
      <c r="I9">
        <f>香港换算01!I8+香港新定位结果!$P8</f>
        <v>0</v>
      </c>
      <c r="J9">
        <f>香港换算01!J8+香港新定位结果!$P8</f>
        <v>0</v>
      </c>
      <c r="K9" s="1">
        <f>香港换算01!K8+香港新定位结果!$P8</f>
        <v>0</v>
      </c>
      <c r="L9">
        <f>香港换算01!L8+香港新定位结果!$P8</f>
        <v>0</v>
      </c>
      <c r="M9">
        <f>香港换算01!M8+香港新定位结果!$P8</f>
        <v>0</v>
      </c>
      <c r="N9">
        <f>香港换算01!N8+香港新定位结果!$P8</f>
        <v>1</v>
      </c>
      <c r="O9">
        <f>香港换算01!O8+香港新定位结果!$P8</f>
        <v>0</v>
      </c>
    </row>
    <row r="10" spans="1:15">
      <c r="A10" s="4" t="s">
        <v>59</v>
      </c>
      <c r="B10">
        <f>香港换算01!B9+香港新定位结果!$P9</f>
        <v>1</v>
      </c>
      <c r="C10">
        <f>香港换算01!C9+香港新定位结果!$P9</f>
        <v>2</v>
      </c>
      <c r="D10" s="1">
        <f>香港换算01!D9+香港新定位结果!$P9</f>
        <v>2</v>
      </c>
      <c r="E10" s="1">
        <f>香港换算01!E9+香港新定位结果!$P9</f>
        <v>1</v>
      </c>
      <c r="F10">
        <f>香港换算01!F9+香港新定位结果!$P9</f>
        <v>1</v>
      </c>
      <c r="G10">
        <f>香港换算01!G9+香港新定位结果!$P9</f>
        <v>1</v>
      </c>
      <c r="H10">
        <f>香港换算01!H9+香港新定位结果!$P9</f>
        <v>1</v>
      </c>
      <c r="I10">
        <f>香港换算01!I9+香港新定位结果!$P9</f>
        <v>2</v>
      </c>
      <c r="J10">
        <f>香港换算01!J9+香港新定位结果!$P9</f>
        <v>1</v>
      </c>
      <c r="K10" s="1">
        <f>香港换算01!K9+香港新定位结果!$P9</f>
        <v>2</v>
      </c>
      <c r="L10">
        <f>香港换算01!L9+香港新定位结果!$P9</f>
        <v>1</v>
      </c>
      <c r="M10">
        <f>香港换算01!M9+香港新定位结果!$P9</f>
        <v>1</v>
      </c>
      <c r="N10">
        <f>香港换算01!N9+香港新定位结果!$P9</f>
        <v>1</v>
      </c>
      <c r="O10">
        <f>香港换算01!O9+香港新定位结果!$P9</f>
        <v>1</v>
      </c>
    </row>
    <row r="11" spans="1:15">
      <c r="A11" s="4" t="s">
        <v>73</v>
      </c>
      <c r="B11">
        <f>香港换算01!B10+香港新定位结果!$P10</f>
        <v>1</v>
      </c>
      <c r="C11">
        <f>香港换算01!C10+香港新定位结果!$P10</f>
        <v>2</v>
      </c>
      <c r="D11" s="1">
        <f>香港换算01!D10+香港新定位结果!$P10</f>
        <v>1</v>
      </c>
      <c r="E11" s="1">
        <f>香港换算01!E10+香港新定位结果!$P10</f>
        <v>2</v>
      </c>
      <c r="F11">
        <f>香港换算01!F10+香港新定位结果!$P10</f>
        <v>2</v>
      </c>
      <c r="G11">
        <f>香港换算01!G10+香港新定位结果!$P10</f>
        <v>1</v>
      </c>
      <c r="H11">
        <f>香港换算01!H10+香港新定位结果!$P10</f>
        <v>2</v>
      </c>
      <c r="I11">
        <f>香港换算01!I10+香港新定位结果!$P10</f>
        <v>2</v>
      </c>
      <c r="J11">
        <f>香港换算01!J10+香港新定位结果!$P10</f>
        <v>2</v>
      </c>
      <c r="K11" s="1">
        <f>香港换算01!K10+香港新定位结果!$P10</f>
        <v>1</v>
      </c>
      <c r="L11">
        <f>香港换算01!L10+香港新定位结果!$P10</f>
        <v>1</v>
      </c>
      <c r="M11">
        <f>香港换算01!M10+香港新定位结果!$P10</f>
        <v>2</v>
      </c>
      <c r="N11">
        <f>香港换算01!N10+香港新定位结果!$P10</f>
        <v>1</v>
      </c>
      <c r="O11">
        <f>香港换算01!O10+香港新定位结果!$P10</f>
        <v>2</v>
      </c>
    </row>
    <row r="12" spans="1:15">
      <c r="A12" s="4" t="s">
        <v>77</v>
      </c>
      <c r="B12">
        <f>香港换算01!B11+香港新定位结果!$P11</f>
        <v>0</v>
      </c>
      <c r="C12">
        <f>香港换算01!C11+香港新定位结果!$P11</f>
        <v>1</v>
      </c>
      <c r="D12" s="1">
        <f>香港换算01!D11+香港新定位结果!$P11</f>
        <v>0</v>
      </c>
      <c r="E12" s="1">
        <f>香港换算01!E11+香港新定位结果!$P11</f>
        <v>0</v>
      </c>
      <c r="F12">
        <f>香港换算01!F11+香港新定位结果!$P11</f>
        <v>0</v>
      </c>
      <c r="G12">
        <f>香港换算01!G11+香港新定位结果!$P11</f>
        <v>0</v>
      </c>
      <c r="H12">
        <f>香港换算01!H11+香港新定位结果!$P11</f>
        <v>0</v>
      </c>
      <c r="I12">
        <f>香港换算01!I11+香港新定位结果!$P11</f>
        <v>0</v>
      </c>
      <c r="J12">
        <f>香港换算01!J11+香港新定位结果!$P11</f>
        <v>0</v>
      </c>
      <c r="K12" s="1">
        <f>香港换算01!K11+香港新定位结果!$P11</f>
        <v>1</v>
      </c>
      <c r="L12">
        <f>香港换算01!L11+香港新定位结果!$P11</f>
        <v>1</v>
      </c>
      <c r="M12">
        <f>香港换算01!M11+香港新定位结果!$P11</f>
        <v>1</v>
      </c>
      <c r="N12">
        <f>香港换算01!N11+香港新定位结果!$P11</f>
        <v>0</v>
      </c>
      <c r="O12">
        <f>香港换算01!O11+香港新定位结果!$P11</f>
        <v>1</v>
      </c>
    </row>
    <row r="13" spans="1:15">
      <c r="A13" s="4" t="s">
        <v>87</v>
      </c>
      <c r="B13">
        <f>香港换算01!B12+香港新定位结果!$P12</f>
        <v>0</v>
      </c>
      <c r="C13">
        <f>香港换算01!C12+香港新定位结果!$P12</f>
        <v>0</v>
      </c>
      <c r="D13" s="1">
        <f>香港换算01!D12+香港新定位结果!$P12</f>
        <v>0</v>
      </c>
      <c r="E13" s="1">
        <f>香港换算01!E12+香港新定位结果!$P12</f>
        <v>0</v>
      </c>
      <c r="F13">
        <f>香港换算01!F12+香港新定位结果!$P12</f>
        <v>0</v>
      </c>
      <c r="G13">
        <f>香港换算01!G12+香港新定位结果!$P12</f>
        <v>0</v>
      </c>
      <c r="H13">
        <f>香港换算01!H12+香港新定位结果!$P12</f>
        <v>0</v>
      </c>
      <c r="I13">
        <f>香港换算01!I12+香港新定位结果!$P12</f>
        <v>0</v>
      </c>
      <c r="J13">
        <f>香港换算01!J12+香港新定位结果!$P12</f>
        <v>0</v>
      </c>
      <c r="K13" s="1">
        <f>香港换算01!K12+香港新定位结果!$P12</f>
        <v>1</v>
      </c>
      <c r="L13">
        <f>香港换算01!L12+香港新定位结果!$P12</f>
        <v>0</v>
      </c>
      <c r="M13">
        <f>香港换算01!M12+香港新定位结果!$P12</f>
        <v>0</v>
      </c>
      <c r="N13">
        <f>香港换算01!N12+香港新定位结果!$P12</f>
        <v>1</v>
      </c>
      <c r="O13">
        <f>香港换算01!O12+香港新定位结果!$P12</f>
        <v>0</v>
      </c>
    </row>
    <row r="14" spans="1:15">
      <c r="A14" s="4" t="s">
        <v>91</v>
      </c>
      <c r="B14">
        <f>香港换算01!B13+香港新定位结果!$P13</f>
        <v>1</v>
      </c>
      <c r="C14">
        <f>香港换算01!C13+香港新定位结果!$P13</f>
        <v>0</v>
      </c>
      <c r="D14" s="1">
        <f>香港换算01!D13+香港新定位结果!$P13</f>
        <v>1</v>
      </c>
      <c r="E14" s="1">
        <f>香港换算01!E13+香港新定位结果!$P13</f>
        <v>0</v>
      </c>
      <c r="F14">
        <f>香港换算01!F13+香港新定位结果!$P13</f>
        <v>0</v>
      </c>
      <c r="G14">
        <f>香港换算01!G13+香港新定位结果!$P13</f>
        <v>1</v>
      </c>
      <c r="H14">
        <f>香港换算01!H13+香港新定位结果!$P13</f>
        <v>1</v>
      </c>
      <c r="I14">
        <f>香港换算01!I13+香港新定位结果!$P13</f>
        <v>1</v>
      </c>
      <c r="J14">
        <f>香港换算01!J13+香港新定位结果!$P13</f>
        <v>1</v>
      </c>
      <c r="K14" s="1">
        <f>香港换算01!K13+香港新定位结果!$P13</f>
        <v>0</v>
      </c>
      <c r="L14">
        <f>香港换算01!L13+香港新定位结果!$P13</f>
        <v>0</v>
      </c>
      <c r="M14">
        <f>香港换算01!M13+香港新定位结果!$P13</f>
        <v>1</v>
      </c>
      <c r="N14">
        <f>香港换算01!N13+香港新定位结果!$P13</f>
        <v>0</v>
      </c>
      <c r="O14">
        <f>香港换算01!O13+香港新定位结果!$P13</f>
        <v>0</v>
      </c>
    </row>
    <row r="15" spans="1:15">
      <c r="A15" s="4" t="s">
        <v>97</v>
      </c>
      <c r="B15">
        <f>香港换算01!B14+香港新定位结果!$P14</f>
        <v>2</v>
      </c>
      <c r="C15">
        <f>香港换算01!C14+香港新定位结果!$P14</f>
        <v>2</v>
      </c>
      <c r="D15" s="1">
        <f>香港换算01!D14+香港新定位结果!$P14</f>
        <v>2</v>
      </c>
      <c r="E15" s="1">
        <f>香港换算01!E14+香港新定位结果!$P14</f>
        <v>1</v>
      </c>
      <c r="F15">
        <f>香港换算01!F14+香港新定位结果!$P14</f>
        <v>1</v>
      </c>
      <c r="G15">
        <f>香港换算01!G14+香港新定位结果!$P14</f>
        <v>2</v>
      </c>
      <c r="H15">
        <f>香港换算01!H14+香港新定位结果!$P14</f>
        <v>2</v>
      </c>
      <c r="I15">
        <f>香港换算01!I14+香港新定位结果!$P14</f>
        <v>2</v>
      </c>
      <c r="J15">
        <f>香港换算01!J14+香港新定位结果!$P14</f>
        <v>1</v>
      </c>
      <c r="K15" s="1">
        <f>香港换算01!K14+香港新定位结果!$P14</f>
        <v>2</v>
      </c>
      <c r="L15">
        <f>香港换算01!L14+香港新定位结果!$P14</f>
        <v>2</v>
      </c>
      <c r="M15">
        <f>香港换算01!M14+香港新定位结果!$P14</f>
        <v>1</v>
      </c>
      <c r="N15">
        <f>香港换算01!N14+香港新定位结果!$P14</f>
        <v>2</v>
      </c>
      <c r="O15">
        <f>香港换算01!O14+香港新定位结果!$P14</f>
        <v>1</v>
      </c>
    </row>
    <row r="16" spans="1:15">
      <c r="A16" s="4" t="s">
        <v>101</v>
      </c>
      <c r="B16">
        <f>香港换算01!B15+香港新定位结果!$P15</f>
        <v>0</v>
      </c>
      <c r="C16">
        <f>香港换算01!C15+香港新定位结果!$P15</f>
        <v>0</v>
      </c>
      <c r="D16" s="1">
        <f>香港换算01!D15+香港新定位结果!$P15</f>
        <v>0</v>
      </c>
      <c r="E16" s="1">
        <f>香港换算01!E15+香港新定位结果!$P15</f>
        <v>1</v>
      </c>
      <c r="F16">
        <f>香港换算01!F15+香港新定位结果!$P15</f>
        <v>0</v>
      </c>
      <c r="G16">
        <f>香港换算01!G15+香港新定位结果!$P15</f>
        <v>1</v>
      </c>
      <c r="H16">
        <f>香港换算01!H15+香港新定位结果!$P15</f>
        <v>0</v>
      </c>
      <c r="I16">
        <f>香港换算01!I15+香港新定位结果!$P15</f>
        <v>1</v>
      </c>
      <c r="J16">
        <f>香港换算01!J15+香港新定位结果!$P15</f>
        <v>0</v>
      </c>
      <c r="K16" s="1">
        <f>香港换算01!K15+香港新定位结果!$P15</f>
        <v>0</v>
      </c>
      <c r="L16">
        <f>香港换算01!L15+香港新定位结果!$P15</f>
        <v>0</v>
      </c>
      <c r="M16">
        <f>香港换算01!M15+香港新定位结果!$P15</f>
        <v>1</v>
      </c>
      <c r="N16">
        <f>香港换算01!N15+香港新定位结果!$P15</f>
        <v>0</v>
      </c>
      <c r="O16">
        <f>香港换算01!O15+香港新定位结果!$P15</f>
        <v>0</v>
      </c>
    </row>
    <row r="17" spans="1:15">
      <c r="A17" s="4" t="s">
        <v>105</v>
      </c>
      <c r="B17">
        <f>香港换算01!B16+香港新定位结果!$P16</f>
        <v>0</v>
      </c>
      <c r="C17">
        <f>香港换算01!C16+香港新定位结果!$P16</f>
        <v>1</v>
      </c>
      <c r="D17" s="1">
        <f>香港换算01!D16+香港新定位结果!$P16</f>
        <v>0</v>
      </c>
      <c r="E17" s="1">
        <f>香港换算01!E16+香港新定位结果!$P16</f>
        <v>1</v>
      </c>
      <c r="F17">
        <f>香港换算01!F16+香港新定位结果!$P16</f>
        <v>1</v>
      </c>
      <c r="G17">
        <f>香港换算01!G16+香港新定位结果!$P16</f>
        <v>0</v>
      </c>
      <c r="H17">
        <f>香港换算01!H16+香港新定位结果!$P16</f>
        <v>1</v>
      </c>
      <c r="I17">
        <f>香港换算01!I16+香港新定位结果!$P16</f>
        <v>1</v>
      </c>
      <c r="J17">
        <f>香港换算01!J16+香港新定位结果!$P16</f>
        <v>0</v>
      </c>
      <c r="K17" s="1">
        <f>香港换算01!K16+香港新定位结果!$P16</f>
        <v>0</v>
      </c>
      <c r="L17">
        <f>香港换算01!L16+香港新定位结果!$P16</f>
        <v>1</v>
      </c>
      <c r="M17">
        <f>香港换算01!M16+香港新定位结果!$P16</f>
        <v>0</v>
      </c>
      <c r="N17">
        <f>香港换算01!N16+香港新定位结果!$P16</f>
        <v>1</v>
      </c>
      <c r="O17">
        <f>香港换算01!O16+香港新定位结果!$P16</f>
        <v>1</v>
      </c>
    </row>
    <row r="18" spans="1:15">
      <c r="A18" s="4" t="s">
        <v>111</v>
      </c>
      <c r="B18">
        <f>香港换算01!B17+香港新定位结果!$P17</f>
        <v>0</v>
      </c>
      <c r="C18">
        <f>香港换算01!C17+香港新定位结果!$P17</f>
        <v>1</v>
      </c>
      <c r="D18" s="1">
        <f>香港换算01!D17+香港新定位结果!$P17</f>
        <v>0</v>
      </c>
      <c r="E18" s="1">
        <f>香港换算01!E17+香港新定位结果!$P17</f>
        <v>1</v>
      </c>
      <c r="F18">
        <f>香港换算01!F17+香港新定位结果!$P17</f>
        <v>0</v>
      </c>
      <c r="G18">
        <f>香港换算01!G17+香港新定位结果!$P17</f>
        <v>0</v>
      </c>
      <c r="H18">
        <f>香港换算01!H17+香港新定位结果!$P17</f>
        <v>0</v>
      </c>
      <c r="I18">
        <f>香港换算01!I17+香港新定位结果!$P17</f>
        <v>1</v>
      </c>
      <c r="J18">
        <f>香港换算01!J17+香港新定位结果!$P17</f>
        <v>1</v>
      </c>
      <c r="K18" s="1">
        <f>香港换算01!K17+香港新定位结果!$P17</f>
        <v>0</v>
      </c>
      <c r="L18">
        <f>香港换算01!L17+香港新定位结果!$P17</f>
        <v>0</v>
      </c>
      <c r="M18">
        <f>香港换算01!M17+香港新定位结果!$P17</f>
        <v>0</v>
      </c>
      <c r="N18">
        <f>香港换算01!N17+香港新定位结果!$P17</f>
        <v>0</v>
      </c>
      <c r="O18">
        <f>香港换算01!O17+香港新定位结果!$P17</f>
        <v>0</v>
      </c>
    </row>
    <row r="19" spans="1:15">
      <c r="A19" s="4" t="s">
        <v>115</v>
      </c>
      <c r="B19">
        <f>香港换算01!B18+香港新定位结果!$P18</f>
        <v>1</v>
      </c>
      <c r="C19">
        <f>香港换算01!C18+香港新定位结果!$P18</f>
        <v>1</v>
      </c>
      <c r="D19" s="1">
        <f>香港换算01!D18+香港新定位结果!$P18</f>
        <v>1</v>
      </c>
      <c r="E19" s="1">
        <f>香港换算01!E18+香港新定位结果!$P18</f>
        <v>0</v>
      </c>
      <c r="F19">
        <f>香港换算01!F18+香港新定位结果!$P18</f>
        <v>1</v>
      </c>
      <c r="G19">
        <f>香港换算01!G18+香港新定位结果!$P18</f>
        <v>0</v>
      </c>
      <c r="H19">
        <f>香港换算01!H18+香港新定位结果!$P18</f>
        <v>1</v>
      </c>
      <c r="I19">
        <f>香港换算01!I18+香港新定位结果!$P18</f>
        <v>1</v>
      </c>
      <c r="J19">
        <f>香港换算01!J18+香港新定位结果!$P18</f>
        <v>0</v>
      </c>
      <c r="K19" s="1">
        <f>香港换算01!K18+香港新定位结果!$P18</f>
        <v>1</v>
      </c>
      <c r="L19">
        <f>香港换算01!L18+香港新定位结果!$P18</f>
        <v>0</v>
      </c>
      <c r="M19">
        <f>香港换算01!M18+香港新定位结果!$P18</f>
        <v>1</v>
      </c>
      <c r="N19">
        <f>香港换算01!N18+香港新定位结果!$P18</f>
        <v>0</v>
      </c>
      <c r="O19">
        <f>香港换算01!O18+香港新定位结果!$P18</f>
        <v>0</v>
      </c>
    </row>
    <row r="20" spans="1:15">
      <c r="A20" s="4" t="s">
        <v>119</v>
      </c>
      <c r="B20">
        <f>香港换算01!B19+香港新定位结果!$P19</f>
        <v>2</v>
      </c>
      <c r="C20">
        <f>香港换算01!C19+香港新定位结果!$P19</f>
        <v>2</v>
      </c>
      <c r="D20" s="1">
        <f>香港换算01!D19+香港新定位结果!$P19</f>
        <v>2</v>
      </c>
      <c r="E20" s="1">
        <f>香港换算01!E19+香港新定位结果!$P19</f>
        <v>2</v>
      </c>
      <c r="F20">
        <f>香港换算01!F19+香港新定位结果!$P19</f>
        <v>2</v>
      </c>
      <c r="G20">
        <f>香港换算01!G19+香港新定位结果!$P19</f>
        <v>1</v>
      </c>
      <c r="H20">
        <f>香港换算01!H19+香港新定位结果!$P19</f>
        <v>1</v>
      </c>
      <c r="I20">
        <f>香港换算01!I19+香港新定位结果!$P19</f>
        <v>2</v>
      </c>
      <c r="J20">
        <f>香港换算01!J19+香港新定位结果!$P19</f>
        <v>1</v>
      </c>
      <c r="K20" s="1">
        <f>香港换算01!K19+香港新定位结果!$P19</f>
        <v>2</v>
      </c>
      <c r="L20">
        <f>香港换算01!L19+香港新定位结果!$P19</f>
        <v>2</v>
      </c>
      <c r="M20">
        <f>香港换算01!M19+香港新定位结果!$P19</f>
        <v>1</v>
      </c>
      <c r="N20">
        <f>香港换算01!N19+香港新定位结果!$P19</f>
        <v>2</v>
      </c>
      <c r="O20">
        <f>香港换算01!O19+香港新定位结果!$P19</f>
        <v>2</v>
      </c>
    </row>
    <row r="21" spans="1:15">
      <c r="A21" s="4" t="s">
        <v>125</v>
      </c>
      <c r="B21">
        <f>香港换算01!B20+香港新定位结果!$P20</f>
        <v>1</v>
      </c>
      <c r="C21">
        <f>香港换算01!C20+香港新定位结果!$P20</f>
        <v>0</v>
      </c>
      <c r="D21" s="1">
        <f>香港换算01!D20+香港新定位结果!$P20</f>
        <v>1</v>
      </c>
      <c r="E21" s="1">
        <f>香港换算01!E20+香港新定位结果!$P20</f>
        <v>1</v>
      </c>
      <c r="F21">
        <f>香港换算01!F20+香港新定位结果!$P20</f>
        <v>0</v>
      </c>
      <c r="G21">
        <f>香港换算01!G20+香港新定位结果!$P20</f>
        <v>0</v>
      </c>
      <c r="H21">
        <f>香港换算01!H20+香港新定位结果!$P20</f>
        <v>0</v>
      </c>
      <c r="I21">
        <f>香港换算01!I20+香港新定位结果!$P20</f>
        <v>1</v>
      </c>
      <c r="J21">
        <f>香港换算01!J20+香港新定位结果!$P20</f>
        <v>0</v>
      </c>
      <c r="K21" s="1">
        <f>香港换算01!K20+香港新定位结果!$P20</f>
        <v>0</v>
      </c>
      <c r="L21">
        <f>香港换算01!L20+香港新定位结果!$P20</f>
        <v>1</v>
      </c>
      <c r="M21">
        <f>香港换算01!M20+香港新定位结果!$P20</f>
        <v>1</v>
      </c>
      <c r="N21">
        <f>香港换算01!N20+香港新定位结果!$P20</f>
        <v>1</v>
      </c>
      <c r="O21">
        <f>香港换算01!O20+香港新定位结果!$P20</f>
        <v>1</v>
      </c>
    </row>
    <row r="22" spans="1:15">
      <c r="A22" s="4" t="s">
        <v>129</v>
      </c>
      <c r="B22">
        <f>香港换算01!B21+香港新定位结果!$P21</f>
        <v>0</v>
      </c>
      <c r="C22">
        <f>香港换算01!C21+香港新定位结果!$P21</f>
        <v>1</v>
      </c>
      <c r="D22" s="1">
        <f>香港换算01!D21+香港新定位结果!$P21</f>
        <v>0</v>
      </c>
      <c r="E22" s="1">
        <f>香港换算01!E21+香港新定位结果!$P21</f>
        <v>1</v>
      </c>
      <c r="F22">
        <f>香港换算01!F21+香港新定位结果!$P21</f>
        <v>1</v>
      </c>
      <c r="G22">
        <f>香港换算01!G21+香港新定位结果!$P21</f>
        <v>0</v>
      </c>
      <c r="H22">
        <f>香港换算01!H21+香港新定位结果!$P21</f>
        <v>0</v>
      </c>
      <c r="I22">
        <f>香港换算01!I21+香港新定位结果!$P21</f>
        <v>1</v>
      </c>
      <c r="J22">
        <f>香港换算01!J21+香港新定位结果!$P21</f>
        <v>1</v>
      </c>
      <c r="K22" s="1">
        <f>香港换算01!K21+香港新定位结果!$P21</f>
        <v>1</v>
      </c>
      <c r="L22">
        <f>香港换算01!L21+香港新定位结果!$P21</f>
        <v>1</v>
      </c>
      <c r="M22">
        <f>香港换算01!M21+香港新定位结果!$P21</f>
        <v>0</v>
      </c>
      <c r="N22">
        <f>香港换算01!N21+香港新定位结果!$P21</f>
        <v>0</v>
      </c>
      <c r="O22">
        <f>香港换算01!O21+香港新定位结果!$P21</f>
        <v>1</v>
      </c>
    </row>
    <row r="23" spans="1:15">
      <c r="A23" s="4" t="s">
        <v>133</v>
      </c>
      <c r="B23">
        <f>香港换算01!B22+香港新定位结果!$P22</f>
        <v>2</v>
      </c>
      <c r="C23">
        <f>香港换算01!C22+香港新定位结果!$P22</f>
        <v>2</v>
      </c>
      <c r="D23" s="1">
        <f>香港换算01!D22+香港新定位结果!$P22</f>
        <v>1</v>
      </c>
      <c r="E23" s="1">
        <f>香港换算01!E22+香港新定位结果!$P22</f>
        <v>1</v>
      </c>
      <c r="F23">
        <f>香港换算01!F22+香港新定位结果!$P22</f>
        <v>2</v>
      </c>
      <c r="G23">
        <f>香港换算01!G22+香港新定位结果!$P22</f>
        <v>2</v>
      </c>
      <c r="H23">
        <f>香港换算01!H22+香港新定位结果!$P22</f>
        <v>1</v>
      </c>
      <c r="I23">
        <f>香港换算01!I22+香港新定位结果!$P22</f>
        <v>2</v>
      </c>
      <c r="J23">
        <f>香港换算01!J22+香港新定位结果!$P22</f>
        <v>1</v>
      </c>
      <c r="K23" s="1">
        <f>香港换算01!K22+香港新定位结果!$P22</f>
        <v>2</v>
      </c>
      <c r="L23">
        <f>香港换算01!L22+香港新定位结果!$P22</f>
        <v>2</v>
      </c>
      <c r="M23">
        <f>香港换算01!M22+香港新定位结果!$P22</f>
        <v>2</v>
      </c>
      <c r="N23">
        <f>香港换算01!N22+香港新定位结果!$P22</f>
        <v>1</v>
      </c>
      <c r="O23">
        <f>香港换算01!O22+香港新定位结果!$P22</f>
        <v>2</v>
      </c>
    </row>
    <row r="24" spans="1:15">
      <c r="A24" s="4" t="s">
        <v>139</v>
      </c>
      <c r="B24">
        <f>香港换算01!B23+香港新定位结果!$P23</f>
        <v>2</v>
      </c>
      <c r="C24">
        <f>香港换算01!C23+香港新定位结果!$P23</f>
        <v>2</v>
      </c>
      <c r="D24" s="1">
        <f>香港换算01!D23+香港新定位结果!$P23</f>
        <v>1</v>
      </c>
      <c r="E24" s="1">
        <f>香港换算01!E23+香港新定位结果!$P23</f>
        <v>1</v>
      </c>
      <c r="F24">
        <f>香港换算01!F23+香港新定位结果!$P23</f>
        <v>2</v>
      </c>
      <c r="G24">
        <f>香港换算01!G23+香港新定位结果!$P23</f>
        <v>2</v>
      </c>
      <c r="H24">
        <f>香港换算01!H23+香港新定位结果!$P23</f>
        <v>1</v>
      </c>
      <c r="I24">
        <f>香港换算01!I23+香港新定位结果!$P23</f>
        <v>2</v>
      </c>
      <c r="J24">
        <f>香港换算01!J23+香港新定位结果!$P23</f>
        <v>2</v>
      </c>
      <c r="K24" s="1">
        <f>香港换算01!K23+香港新定位结果!$P23</f>
        <v>2</v>
      </c>
      <c r="L24">
        <f>香港换算01!L23+香港新定位结果!$P23</f>
        <v>2</v>
      </c>
      <c r="M24">
        <f>香港换算01!M23+香港新定位结果!$P23</f>
        <v>2</v>
      </c>
      <c r="N24">
        <f>香港换算01!N23+香港新定位结果!$P23</f>
        <v>2</v>
      </c>
      <c r="O24">
        <f>香港换算01!O23+香港新定位结果!$P23</f>
        <v>2</v>
      </c>
    </row>
    <row r="25" spans="1:15">
      <c r="A25" s="4" t="s">
        <v>143</v>
      </c>
      <c r="B25">
        <f>香港换算01!B24+香港新定位结果!$P24</f>
        <v>1</v>
      </c>
      <c r="C25">
        <f>香港换算01!C24+香港新定位结果!$P24</f>
        <v>1</v>
      </c>
      <c r="D25" s="1">
        <f>香港换算01!D24+香港新定位结果!$P24</f>
        <v>0</v>
      </c>
      <c r="E25" s="1">
        <f>香港换算01!E24+香港新定位结果!$P24</f>
        <v>0</v>
      </c>
      <c r="F25">
        <f>香港换算01!F24+香港新定位结果!$P24</f>
        <v>1</v>
      </c>
      <c r="G25">
        <f>香港换算01!G24+香港新定位结果!$P24</f>
        <v>1</v>
      </c>
      <c r="H25">
        <f>香港换算01!H24+香港新定位结果!$P24</f>
        <v>0</v>
      </c>
      <c r="I25">
        <f>香港换算01!I24+香港新定位结果!$P24</f>
        <v>1</v>
      </c>
      <c r="J25">
        <f>香港换算01!J24+香港新定位结果!$P24</f>
        <v>1</v>
      </c>
      <c r="K25" s="1">
        <f>香港换算01!K24+香港新定位结果!$P24</f>
        <v>1</v>
      </c>
      <c r="L25">
        <f>香港换算01!L24+香港新定位结果!$P24</f>
        <v>1</v>
      </c>
      <c r="M25">
        <f>香港换算01!M24+香港新定位结果!$P24</f>
        <v>0</v>
      </c>
      <c r="N25">
        <f>香港换算01!N24+香港新定位结果!$P24</f>
        <v>0</v>
      </c>
      <c r="O25">
        <f>香港换算01!O24+香港新定位结果!$P24</f>
        <v>1</v>
      </c>
    </row>
    <row r="26" spans="1:15">
      <c r="A26" s="4" t="s">
        <v>147</v>
      </c>
      <c r="B26">
        <f>香港换算01!B25+香港新定位结果!$P25</f>
        <v>0</v>
      </c>
      <c r="C26">
        <f>香港换算01!C25+香港新定位结果!$P25</f>
        <v>0</v>
      </c>
      <c r="D26" s="1">
        <f>香港换算01!D25+香港新定位结果!$P25</f>
        <v>1</v>
      </c>
      <c r="E26" s="1">
        <f>香港换算01!E25+香港新定位结果!$P25</f>
        <v>1</v>
      </c>
      <c r="F26">
        <f>香港换算01!F25+香港新定位结果!$P25</f>
        <v>1</v>
      </c>
      <c r="G26">
        <f>香港换算01!G25+香港新定位结果!$P25</f>
        <v>0</v>
      </c>
      <c r="H26">
        <f>香港换算01!H25+香港新定位结果!$P25</f>
        <v>1</v>
      </c>
      <c r="I26">
        <f>香港换算01!I25+香港新定位结果!$P25</f>
        <v>1</v>
      </c>
      <c r="J26">
        <f>香港换算01!J25+香港新定位结果!$P25</f>
        <v>0</v>
      </c>
      <c r="K26" s="1">
        <f>香港换算01!K25+香港新定位结果!$P25</f>
        <v>1</v>
      </c>
      <c r="L26">
        <f>香港换算01!L25+香港新定位结果!$P25</f>
        <v>0</v>
      </c>
      <c r="M26">
        <f>香港换算01!M25+香港新定位结果!$P25</f>
        <v>0</v>
      </c>
      <c r="N26">
        <f>香港换算01!N25+香港新定位结果!$P25</f>
        <v>1</v>
      </c>
      <c r="O26">
        <f>香港换算01!O25+香港新定位结果!$P25</f>
        <v>1</v>
      </c>
    </row>
    <row r="27" spans="1:15">
      <c r="A27" s="4" t="s">
        <v>153</v>
      </c>
      <c r="B27">
        <f>香港换算01!B26+香港新定位结果!$P26</f>
        <v>0</v>
      </c>
      <c r="C27">
        <f>香港换算01!C26+香港新定位结果!$P26</f>
        <v>1</v>
      </c>
      <c r="D27" s="1">
        <f>香港换算01!D26+香港新定位结果!$P26</f>
        <v>0</v>
      </c>
      <c r="E27" s="1">
        <f>香港换算01!E26+香港新定位结果!$P26</f>
        <v>0</v>
      </c>
      <c r="F27">
        <f>香港换算01!F26+香港新定位结果!$P26</f>
        <v>0</v>
      </c>
      <c r="G27">
        <f>香港换算01!G26+香港新定位结果!$P26</f>
        <v>0</v>
      </c>
      <c r="H27">
        <f>香港换算01!H26+香港新定位结果!$P26</f>
        <v>1</v>
      </c>
      <c r="I27">
        <f>香港换算01!I26+香港新定位结果!$P26</f>
        <v>1</v>
      </c>
      <c r="J27">
        <f>香港换算01!J26+香港新定位结果!$P26</f>
        <v>0</v>
      </c>
      <c r="K27" s="1">
        <f>香港换算01!K26+香港新定位结果!$P26</f>
        <v>0</v>
      </c>
      <c r="L27">
        <f>香港换算01!L26+香港新定位结果!$P26</f>
        <v>1</v>
      </c>
      <c r="M27">
        <f>香港换算01!M26+香港新定位结果!$P26</f>
        <v>0</v>
      </c>
      <c r="N27">
        <f>香港换算01!N26+香港新定位结果!$P26</f>
        <v>1</v>
      </c>
      <c r="O27">
        <f>香港换算01!O26+香港新定位结果!$P26</f>
        <v>1</v>
      </c>
    </row>
    <row r="28" spans="1:15">
      <c r="A28" s="4" t="s">
        <v>157</v>
      </c>
      <c r="B28">
        <f>香港换算01!B27+香港新定位结果!$P27</f>
        <v>1</v>
      </c>
      <c r="C28">
        <f>香港换算01!C27+香港新定位结果!$P27</f>
        <v>2</v>
      </c>
      <c r="D28" s="1">
        <f>香港换算01!D27+香港新定位结果!$P27</f>
        <v>2</v>
      </c>
      <c r="E28" s="1">
        <f>香港换算01!E27+香港新定位结果!$P27</f>
        <v>1</v>
      </c>
      <c r="F28">
        <f>香港换算01!F27+香港新定位结果!$P27</f>
        <v>1</v>
      </c>
      <c r="G28">
        <f>香港换算01!G27+香港新定位结果!$P27</f>
        <v>1</v>
      </c>
      <c r="H28">
        <f>香港换算01!H27+香港新定位结果!$P27</f>
        <v>2</v>
      </c>
      <c r="I28">
        <f>香港换算01!I27+香港新定位结果!$P27</f>
        <v>2</v>
      </c>
      <c r="J28">
        <f>香港换算01!J27+香港新定位结果!$P27</f>
        <v>1</v>
      </c>
      <c r="K28" s="1">
        <f>香港换算01!K27+香港新定位结果!$P27</f>
        <v>1</v>
      </c>
      <c r="L28">
        <f>香港换算01!L27+香港新定位结果!$P27</f>
        <v>2</v>
      </c>
      <c r="M28">
        <f>香港换算01!M27+香港新定位结果!$P27</f>
        <v>1</v>
      </c>
      <c r="N28">
        <f>香港换算01!N27+香港新定位结果!$P27</f>
        <v>1</v>
      </c>
      <c r="O28">
        <f>香港换算01!O27+香港新定位结果!$P27</f>
        <v>2</v>
      </c>
    </row>
    <row r="29" spans="1:15">
      <c r="A29" s="4" t="s">
        <v>163</v>
      </c>
      <c r="B29">
        <f>香港换算01!B28+香港新定位结果!$P28</f>
        <v>1</v>
      </c>
      <c r="C29">
        <f>香港换算01!C28+香港新定位结果!$P28</f>
        <v>1</v>
      </c>
      <c r="D29" s="1">
        <f>香港换算01!D28+香港新定位结果!$P28</f>
        <v>0</v>
      </c>
      <c r="E29" s="1">
        <f>香港换算01!E28+香港新定位结果!$P28</f>
        <v>0</v>
      </c>
      <c r="F29">
        <f>香港换算01!F28+香港新定位结果!$P28</f>
        <v>1</v>
      </c>
      <c r="G29">
        <f>香港换算01!G28+香港新定位结果!$P28</f>
        <v>1</v>
      </c>
      <c r="H29">
        <f>香港换算01!H28+香港新定位结果!$P28</f>
        <v>1</v>
      </c>
      <c r="I29">
        <f>香港换算01!I28+香港新定位结果!$P28</f>
        <v>1</v>
      </c>
      <c r="J29">
        <f>香港换算01!J28+香港新定位结果!$P28</f>
        <v>1</v>
      </c>
      <c r="K29" s="1">
        <f>香港换算01!K28+香港新定位结果!$P28</f>
        <v>0</v>
      </c>
      <c r="L29">
        <f>香港换算01!L28+香港新定位结果!$P28</f>
        <v>1</v>
      </c>
      <c r="M29">
        <f>香港换算01!M28+香港新定位结果!$P28</f>
        <v>0</v>
      </c>
      <c r="N29">
        <f>香港换算01!N28+香港新定位结果!$P28</f>
        <v>0</v>
      </c>
      <c r="O29">
        <f>香港换算01!O28+香港新定位结果!$P28</f>
        <v>1</v>
      </c>
    </row>
    <row r="30" spans="1:15">
      <c r="A30" s="4" t="s">
        <v>167</v>
      </c>
      <c r="B30">
        <f>香港换算01!B29+香港新定位结果!$P29</f>
        <v>1</v>
      </c>
      <c r="C30">
        <f>香港换算01!C29+香港新定位结果!$P29</f>
        <v>2</v>
      </c>
      <c r="D30" s="1">
        <f>香港换算01!D29+香港新定位结果!$P29</f>
        <v>1</v>
      </c>
      <c r="E30" s="1">
        <f>香港换算01!E29+香港新定位结果!$P29</f>
        <v>2</v>
      </c>
      <c r="F30">
        <f>香港换算01!F29+香港新定位结果!$P29</f>
        <v>1</v>
      </c>
      <c r="G30">
        <f>香港换算01!G29+香港新定位结果!$P29</f>
        <v>2</v>
      </c>
      <c r="H30">
        <f>香港换算01!H29+香港新定位结果!$P29</f>
        <v>1</v>
      </c>
      <c r="I30">
        <f>香港换算01!I29+香港新定位结果!$P29</f>
        <v>2</v>
      </c>
      <c r="J30">
        <f>香港换算01!J29+香港新定位结果!$P29</f>
        <v>1</v>
      </c>
      <c r="K30" s="1">
        <f>香港换算01!K29+香港新定位结果!$P29</f>
        <v>1</v>
      </c>
      <c r="L30">
        <f>香港换算01!L29+香港新定位结果!$P29</f>
        <v>1</v>
      </c>
      <c r="M30">
        <f>香港换算01!M29+香港新定位结果!$P29</f>
        <v>1</v>
      </c>
      <c r="N30">
        <f>香港换算01!N29+香港新定位结果!$P29</f>
        <v>1</v>
      </c>
      <c r="O30">
        <f>香港换算01!O29+香港新定位结果!$P29</f>
        <v>2</v>
      </c>
    </row>
    <row r="31" spans="1:15">
      <c r="A31" s="4" t="s">
        <v>171</v>
      </c>
      <c r="B31">
        <f>香港换算01!B30+香港新定位结果!$P30</f>
        <v>1</v>
      </c>
      <c r="C31">
        <f>香港换算01!C30+香港新定位结果!$P30</f>
        <v>2</v>
      </c>
      <c r="D31" s="1">
        <f>香港换算01!D30+香港新定位结果!$P30</f>
        <v>1</v>
      </c>
      <c r="E31" s="1">
        <f>香港换算01!E30+香港新定位结果!$P30</f>
        <v>2</v>
      </c>
      <c r="F31">
        <f>香港换算01!F30+香港新定位结果!$P30</f>
        <v>1</v>
      </c>
      <c r="G31">
        <f>香港换算01!G30+香港新定位结果!$P30</f>
        <v>1</v>
      </c>
      <c r="H31">
        <f>香港换算01!H30+香港新定位结果!$P30</f>
        <v>1</v>
      </c>
      <c r="I31">
        <f>香港换算01!I30+香港新定位结果!$P30</f>
        <v>2</v>
      </c>
      <c r="J31">
        <f>香港换算01!J30+香港新定位结果!$P30</f>
        <v>1</v>
      </c>
      <c r="K31" s="1">
        <f>香港换算01!K30+香港新定位结果!$P30</f>
        <v>2</v>
      </c>
      <c r="L31">
        <f>香港换算01!L30+香港新定位结果!$P30</f>
        <v>1</v>
      </c>
      <c r="M31">
        <f>香港换算01!M30+香港新定位结果!$P30</f>
        <v>1</v>
      </c>
      <c r="N31">
        <f>香港换算01!N30+香港新定位结果!$P30</f>
        <v>1</v>
      </c>
      <c r="O31">
        <f>香港换算01!O30+香港新定位结果!$P30</f>
        <v>1</v>
      </c>
    </row>
    <row r="32" spans="1:15">
      <c r="A32" s="4" t="s">
        <v>175</v>
      </c>
      <c r="B32">
        <f>香港换算01!B31+香港新定位结果!$P31</f>
        <v>2</v>
      </c>
      <c r="C32">
        <f>香港换算01!C31+香港新定位结果!$P31</f>
        <v>2</v>
      </c>
      <c r="D32" s="1">
        <f>香港换算01!D31+香港新定位结果!$P31</f>
        <v>2</v>
      </c>
      <c r="E32" s="1">
        <f>香港换算01!E31+香港新定位结果!$P31</f>
        <v>1</v>
      </c>
      <c r="F32">
        <f>香港换算01!F31+香港新定位结果!$P31</f>
        <v>1</v>
      </c>
      <c r="G32">
        <f>香港换算01!G31+香港新定位结果!$P31</f>
        <v>1</v>
      </c>
      <c r="H32">
        <f>香港换算01!H31+香港新定位结果!$P31</f>
        <v>1</v>
      </c>
      <c r="I32">
        <f>香港换算01!I31+香港新定位结果!$P31</f>
        <v>2</v>
      </c>
      <c r="J32">
        <f>香港换算01!J31+香港新定位结果!$P31</f>
        <v>2</v>
      </c>
      <c r="K32" s="1">
        <f>香港换算01!K31+香港新定位结果!$P31</f>
        <v>2</v>
      </c>
      <c r="L32">
        <f>香港换算01!L31+香港新定位结果!$P31</f>
        <v>1</v>
      </c>
      <c r="M32">
        <f>香港换算01!M31+香港新定位结果!$P31</f>
        <v>2</v>
      </c>
      <c r="N32">
        <f>香港换算01!N31+香港新定位结果!$P31</f>
        <v>1</v>
      </c>
      <c r="O32">
        <f>香港换算01!O31+香港新定位结果!$P31</f>
        <v>2</v>
      </c>
    </row>
    <row r="33" spans="1:15">
      <c r="A33" s="4" t="s">
        <v>181</v>
      </c>
      <c r="B33">
        <f>香港换算01!B32+香港新定位结果!$P32</f>
        <v>1</v>
      </c>
      <c r="C33">
        <f>香港换算01!C32+香港新定位结果!$P32</f>
        <v>2</v>
      </c>
      <c r="D33" s="1">
        <f>香港换算01!D32+香港新定位结果!$P32</f>
        <v>2</v>
      </c>
      <c r="E33" s="1">
        <f>香港换算01!E32+香港新定位结果!$P32</f>
        <v>2</v>
      </c>
      <c r="F33">
        <f>香港换算01!F32+香港新定位结果!$P32</f>
        <v>1</v>
      </c>
      <c r="G33">
        <f>香港换算01!G32+香港新定位结果!$P32</f>
        <v>1</v>
      </c>
      <c r="H33">
        <f>香港换算01!H32+香港新定位结果!$P32</f>
        <v>2</v>
      </c>
      <c r="I33">
        <f>香港换算01!I32+香港新定位结果!$P32</f>
        <v>2</v>
      </c>
      <c r="J33">
        <f>香港换算01!J32+香港新定位结果!$P32</f>
        <v>2</v>
      </c>
      <c r="K33" s="1">
        <f>香港换算01!K32+香港新定位结果!$P32</f>
        <v>2</v>
      </c>
      <c r="L33">
        <f>香港换算01!L32+香港新定位结果!$P32</f>
        <v>2</v>
      </c>
      <c r="M33">
        <f>香港换算01!M32+香港新定位结果!$P32</f>
        <v>2</v>
      </c>
      <c r="N33">
        <f>香港换算01!N32+香港新定位结果!$P32</f>
        <v>2</v>
      </c>
      <c r="O33">
        <f>香港换算01!O32+香港新定位结果!$P32</f>
        <v>2</v>
      </c>
    </row>
    <row r="34" spans="1:15">
      <c r="A34" s="4" t="s">
        <v>185</v>
      </c>
      <c r="B34">
        <f>香港换算01!B33+香港新定位结果!$P33</f>
        <v>1</v>
      </c>
      <c r="C34">
        <f>香港换算01!C33+香港新定位结果!$P33</f>
        <v>1</v>
      </c>
      <c r="D34" s="1">
        <f>香港换算01!D33+香港新定位结果!$P33</f>
        <v>2</v>
      </c>
      <c r="E34" s="1">
        <f>香港换算01!E33+香港新定位结果!$P33</f>
        <v>2</v>
      </c>
      <c r="F34">
        <f>香港换算01!F33+香港新定位结果!$P33</f>
        <v>2</v>
      </c>
      <c r="G34">
        <f>香港换算01!G33+香港新定位结果!$P33</f>
        <v>1</v>
      </c>
      <c r="H34">
        <f>香港换算01!H33+香港新定位结果!$P33</f>
        <v>1</v>
      </c>
      <c r="I34">
        <f>香港换算01!I33+香港新定位结果!$P33</f>
        <v>2</v>
      </c>
      <c r="J34">
        <f>香港换算01!J33+香港新定位结果!$P33</f>
        <v>2</v>
      </c>
      <c r="K34" s="1">
        <f>香港换算01!K33+香港新定位结果!$P33</f>
        <v>2</v>
      </c>
      <c r="L34">
        <f>香港换算01!L33+香港新定位结果!$P33</f>
        <v>2</v>
      </c>
      <c r="M34">
        <f>香港换算01!M33+香港新定位结果!$P33</f>
        <v>1</v>
      </c>
      <c r="N34">
        <f>香港换算01!N33+香港新定位结果!$P33</f>
        <v>2</v>
      </c>
      <c r="O34">
        <f>香港换算01!O33+香港新定位结果!$P33</f>
        <v>2</v>
      </c>
    </row>
    <row r="35" spans="1:15">
      <c r="A35" s="4" t="s">
        <v>189</v>
      </c>
      <c r="B35">
        <f>香港换算01!B34+香港新定位结果!$P34</f>
        <v>1</v>
      </c>
      <c r="C35">
        <f>香港换算01!C34+香港新定位结果!$P34</f>
        <v>1</v>
      </c>
      <c r="D35" s="1">
        <f>香港换算01!D34+香港新定位结果!$P34</f>
        <v>0</v>
      </c>
      <c r="E35" s="1">
        <f>香港换算01!E34+香港新定位结果!$P34</f>
        <v>1</v>
      </c>
      <c r="F35">
        <f>香港换算01!F34+香港新定位结果!$P34</f>
        <v>1</v>
      </c>
      <c r="G35">
        <f>香港换算01!G34+香港新定位结果!$P34</f>
        <v>1</v>
      </c>
      <c r="H35">
        <f>香港换算01!H34+香港新定位结果!$P34</f>
        <v>0</v>
      </c>
      <c r="I35">
        <f>香港换算01!I34+香港新定位结果!$P34</f>
        <v>1</v>
      </c>
      <c r="J35">
        <f>香港换算01!J34+香港新定位结果!$P34</f>
        <v>1</v>
      </c>
      <c r="K35" s="1">
        <f>香港换算01!K34+香港新定位结果!$P34</f>
        <v>1</v>
      </c>
      <c r="L35">
        <f>香港换算01!L34+香港新定位结果!$P34</f>
        <v>1</v>
      </c>
      <c r="M35">
        <f>香港换算01!M34+香港新定位结果!$P34</f>
        <v>1</v>
      </c>
      <c r="N35">
        <f>香港换算01!N34+香港新定位结果!$P34</f>
        <v>1</v>
      </c>
      <c r="O35">
        <f>香港换算01!O34+香港新定位结果!$P34</f>
        <v>1</v>
      </c>
    </row>
    <row r="36" spans="1:15">
      <c r="A36" s="4" t="s">
        <v>195</v>
      </c>
      <c r="B36">
        <f>香港换算01!B35+香港新定位结果!$P35</f>
        <v>1</v>
      </c>
      <c r="C36">
        <f>香港换算01!C35+香港新定位结果!$P35</f>
        <v>1</v>
      </c>
      <c r="D36" s="1">
        <f>香港换算01!D35+香港新定位结果!$P35</f>
        <v>2</v>
      </c>
      <c r="E36" s="1">
        <f>香港换算01!E35+香港新定位结果!$P35</f>
        <v>2</v>
      </c>
      <c r="F36">
        <f>香港换算01!F35+香港新定位结果!$P35</f>
        <v>2</v>
      </c>
      <c r="G36">
        <f>香港换算01!G35+香港新定位结果!$P35</f>
        <v>1</v>
      </c>
      <c r="H36">
        <f>香港换算01!H35+香港新定位结果!$P35</f>
        <v>1</v>
      </c>
      <c r="I36">
        <f>香港换算01!I35+香港新定位结果!$P35</f>
        <v>1</v>
      </c>
      <c r="J36">
        <f>香港换算01!J35+香港新定位结果!$P35</f>
        <v>1</v>
      </c>
      <c r="K36" s="1">
        <f>香港换算01!K35+香港新定位结果!$P35</f>
        <v>1</v>
      </c>
      <c r="L36">
        <f>香港换算01!L35+香港新定位结果!$P35</f>
        <v>2</v>
      </c>
      <c r="M36">
        <f>香港换算01!M35+香港新定位结果!$P35</f>
        <v>1</v>
      </c>
      <c r="N36">
        <f>香港换算01!N35+香港新定位结果!$P35</f>
        <v>2</v>
      </c>
      <c r="O36">
        <f>香港换算01!O35+香港新定位结果!$P35</f>
        <v>2</v>
      </c>
    </row>
    <row r="37" spans="1:15">
      <c r="A37" s="4" t="s">
        <v>199</v>
      </c>
      <c r="B37">
        <f>香港换算01!B36+香港新定位结果!$P36</f>
        <v>2</v>
      </c>
      <c r="C37">
        <f>香港换算01!C36+香港新定位结果!$P36</f>
        <v>2</v>
      </c>
      <c r="D37" s="1">
        <f>香港换算01!D36+香港新定位结果!$P36</f>
        <v>1</v>
      </c>
      <c r="E37" s="1">
        <f>香港换算01!E36+香港新定位结果!$P36</f>
        <v>2</v>
      </c>
      <c r="F37">
        <f>香港换算01!F36+香港新定位结果!$P36</f>
        <v>2</v>
      </c>
      <c r="G37">
        <f>香港换算01!G36+香港新定位结果!$P36</f>
        <v>1</v>
      </c>
      <c r="H37">
        <f>香港换算01!H36+香港新定位结果!$P36</f>
        <v>1</v>
      </c>
      <c r="I37">
        <f>香港换算01!I36+香港新定位结果!$P36</f>
        <v>2</v>
      </c>
      <c r="J37">
        <f>香港换算01!J36+香港新定位结果!$P36</f>
        <v>2</v>
      </c>
      <c r="K37" s="1">
        <f>香港换算01!K36+香港新定位结果!$P36</f>
        <v>2</v>
      </c>
      <c r="L37">
        <f>香港换算01!L36+香港新定位结果!$P36</f>
        <v>2</v>
      </c>
      <c r="M37">
        <f>香港换算01!M36+香港新定位结果!$P36</f>
        <v>1</v>
      </c>
      <c r="N37">
        <f>香港换算01!N36+香港新定位结果!$P36</f>
        <v>1</v>
      </c>
      <c r="O37">
        <f>香港换算01!O36+香港新定位结果!$P36</f>
        <v>2</v>
      </c>
    </row>
    <row r="38" spans="1:15">
      <c r="A38" s="4" t="s">
        <v>203</v>
      </c>
      <c r="B38">
        <f>香港换算01!B37+香港新定位结果!$P37</f>
        <v>1</v>
      </c>
      <c r="C38">
        <f>香港换算01!C37+香港新定位结果!$P37</f>
        <v>2</v>
      </c>
      <c r="D38" s="1">
        <f>香港换算01!D37+香港新定位结果!$P37</f>
        <v>1</v>
      </c>
      <c r="E38" s="1">
        <f>香港换算01!E37+香港新定位结果!$P37</f>
        <v>1</v>
      </c>
      <c r="F38">
        <f>香港换算01!F37+香港新定位结果!$P37</f>
        <v>2</v>
      </c>
      <c r="G38">
        <f>香港换算01!G37+香港新定位结果!$P37</f>
        <v>2</v>
      </c>
      <c r="H38">
        <f>香港换算01!H37+香港新定位结果!$P37</f>
        <v>1</v>
      </c>
      <c r="I38">
        <f>香港换算01!I37+香港新定位结果!$P37</f>
        <v>2</v>
      </c>
      <c r="J38">
        <f>香港换算01!J37+香港新定位结果!$P37</f>
        <v>1</v>
      </c>
      <c r="K38" s="1">
        <f>香港换算01!K37+香港新定位结果!$P37</f>
        <v>2</v>
      </c>
      <c r="L38">
        <f>香港换算01!L37+香港新定位结果!$P37</f>
        <v>2</v>
      </c>
      <c r="M38">
        <f>香港换算01!M37+香港新定位结果!$P37</f>
        <v>2</v>
      </c>
      <c r="N38">
        <f>香港换算01!N37+香港新定位结果!$P37</f>
        <v>1</v>
      </c>
      <c r="O38">
        <f>香港换算01!O37+香港新定位结果!$P37</f>
        <v>2</v>
      </c>
    </row>
    <row r="39" spans="1:15">
      <c r="A39" s="4" t="s">
        <v>209</v>
      </c>
      <c r="B39">
        <f>香港换算01!B38+香港新定位结果!$P38</f>
        <v>1</v>
      </c>
      <c r="C39">
        <f>香港换算01!C38+香港新定位结果!$P38</f>
        <v>2</v>
      </c>
      <c r="D39" s="1">
        <f>香港换算01!D38+香港新定位结果!$P38</f>
        <v>1</v>
      </c>
      <c r="E39" s="1">
        <f>香港换算01!E38+香港新定位结果!$P38</f>
        <v>1</v>
      </c>
      <c r="F39">
        <f>香港换算01!F38+香港新定位结果!$P38</f>
        <v>2</v>
      </c>
      <c r="G39">
        <f>香港换算01!G38+香港新定位结果!$P38</f>
        <v>2</v>
      </c>
      <c r="H39">
        <f>香港换算01!H38+香港新定位结果!$P38</f>
        <v>1</v>
      </c>
      <c r="I39">
        <f>香港换算01!I38+香港新定位结果!$P38</f>
        <v>2</v>
      </c>
      <c r="J39">
        <f>香港换算01!J38+香港新定位结果!$P38</f>
        <v>2</v>
      </c>
      <c r="K39" s="1">
        <f>香港换算01!K38+香港新定位结果!$P38</f>
        <v>2</v>
      </c>
      <c r="L39">
        <f>香港换算01!L38+香港新定位结果!$P38</f>
        <v>2</v>
      </c>
      <c r="M39">
        <f>香港换算01!M38+香港新定位结果!$P38</f>
        <v>2</v>
      </c>
      <c r="N39">
        <f>香港换算01!N38+香港新定位结果!$P38</f>
        <v>2</v>
      </c>
      <c r="O39">
        <f>香港换算01!O38+香港新定位结果!$P38</f>
        <v>2</v>
      </c>
    </row>
    <row r="40" spans="1:15">
      <c r="A40" s="4" t="s">
        <v>217</v>
      </c>
      <c r="B40">
        <f>香港换算01!B39+香港新定位结果!$P39</f>
        <v>0</v>
      </c>
      <c r="C40">
        <f>香港换算01!C39+香港新定位结果!$P39</f>
        <v>0</v>
      </c>
      <c r="D40" s="1">
        <f>香港换算01!D39+香港新定位结果!$P39</f>
        <v>1</v>
      </c>
      <c r="E40" s="1">
        <f>香港换算01!E39+香港新定位结果!$P39</f>
        <v>0</v>
      </c>
      <c r="F40">
        <f>香港换算01!F39+香港新定位结果!$P39</f>
        <v>0</v>
      </c>
      <c r="G40">
        <f>香港换算01!G39+香港新定位结果!$P39</f>
        <v>1</v>
      </c>
      <c r="H40">
        <f>香港换算01!H39+香港新定位结果!$P39</f>
        <v>0</v>
      </c>
      <c r="I40">
        <f>香港换算01!I39+香港新定位结果!$P39</f>
        <v>1</v>
      </c>
      <c r="J40">
        <f>香港换算01!J39+香港新定位结果!$P39</f>
        <v>0</v>
      </c>
      <c r="K40" s="1">
        <f>香港换算01!K39+香港新定位结果!$P39</f>
        <v>0</v>
      </c>
      <c r="L40">
        <f>香港换算01!L39+香港新定位结果!$P39</f>
        <v>0</v>
      </c>
      <c r="M40">
        <f>香港换算01!M39+香港新定位结果!$P39</f>
        <v>0</v>
      </c>
      <c r="N40">
        <f>香港换算01!N39+香港新定位结果!$P39</f>
        <v>0</v>
      </c>
      <c r="O40">
        <f>香港换算01!O39+香港新定位结果!$P39</f>
        <v>1</v>
      </c>
    </row>
    <row r="41" spans="1:15">
      <c r="A41" s="4" t="s">
        <v>223</v>
      </c>
      <c r="B41">
        <f>香港换算01!B40+香港新定位结果!$P40</f>
        <v>1</v>
      </c>
      <c r="C41">
        <f>香港换算01!C40+香港新定位结果!$P40</f>
        <v>1</v>
      </c>
      <c r="D41" s="1">
        <f>香港换算01!D40+香港新定位结果!$P40</f>
        <v>1</v>
      </c>
      <c r="E41" s="1">
        <f>香港换算01!E40+香港新定位结果!$P40</f>
        <v>2</v>
      </c>
      <c r="F41">
        <f>香港换算01!F40+香港新定位结果!$P40</f>
        <v>2</v>
      </c>
      <c r="G41">
        <f>香港换算01!G40+香港新定位结果!$P40</f>
        <v>2</v>
      </c>
      <c r="H41">
        <f>香港换算01!H40+香港新定位结果!$P40</f>
        <v>2</v>
      </c>
      <c r="I41">
        <f>香港换算01!I40+香港新定位结果!$P40</f>
        <v>1</v>
      </c>
      <c r="J41">
        <f>香港换算01!J40+香港新定位结果!$P40</f>
        <v>1</v>
      </c>
      <c r="K41" s="1">
        <f>香港换算01!K40+香港新定位结果!$P40</f>
        <v>1</v>
      </c>
      <c r="L41">
        <f>香港换算01!L40+香港新定位结果!$P40</f>
        <v>2</v>
      </c>
      <c r="M41">
        <f>香港换算01!M40+香港新定位结果!$P40</f>
        <v>1</v>
      </c>
      <c r="N41">
        <f>香港换算01!N40+香港新定位结果!$P40</f>
        <v>1</v>
      </c>
      <c r="O41">
        <f>香港换算01!O40+香港新定位结果!$P40</f>
        <v>1</v>
      </c>
    </row>
    <row r="42" spans="1:15">
      <c r="A42" s="4" t="s">
        <v>227</v>
      </c>
      <c r="B42">
        <f>香港换算01!B41+香港新定位结果!$P41</f>
        <v>0</v>
      </c>
      <c r="C42">
        <f>香港换算01!C41+香港新定位结果!$P41</f>
        <v>1</v>
      </c>
      <c r="D42" s="1">
        <f>香港换算01!D41+香港新定位结果!$P41</f>
        <v>0</v>
      </c>
      <c r="E42" s="1">
        <f>香港换算01!E41+香港新定位结果!$P41</f>
        <v>0</v>
      </c>
      <c r="F42">
        <f>香港换算01!F41+香港新定位结果!$P41</f>
        <v>0</v>
      </c>
      <c r="G42">
        <f>香港换算01!G41+香港新定位结果!$P41</f>
        <v>1</v>
      </c>
      <c r="H42">
        <f>香港换算01!H41+香港新定位结果!$P41</f>
        <v>1</v>
      </c>
      <c r="I42">
        <f>香港换算01!I41+香港新定位结果!$P41</f>
        <v>1</v>
      </c>
      <c r="J42">
        <f>香港换算01!J41+香港新定位结果!$P41</f>
        <v>0</v>
      </c>
      <c r="K42" s="1">
        <f>香港换算01!K41+香港新定位结果!$P41</f>
        <v>1</v>
      </c>
      <c r="L42">
        <f>香港换算01!L41+香港新定位结果!$P41</f>
        <v>0</v>
      </c>
      <c r="M42">
        <f>香港换算01!M41+香港新定位结果!$P41</f>
        <v>1</v>
      </c>
      <c r="N42">
        <f>香港换算01!N41+香港新定位结果!$P41</f>
        <v>0</v>
      </c>
      <c r="O42">
        <f>香港换算01!O41+香港新定位结果!$P41</f>
        <v>1</v>
      </c>
    </row>
    <row r="43" spans="1:15">
      <c r="A43" s="4" t="s">
        <v>233</v>
      </c>
      <c r="B43">
        <f>香港换算01!B42+香港新定位结果!$P42</f>
        <v>1</v>
      </c>
      <c r="C43">
        <f>香港换算01!C42+香港新定位结果!$P42</f>
        <v>1</v>
      </c>
      <c r="D43" s="1">
        <f>香港换算01!D42+香港新定位结果!$P42</f>
        <v>1</v>
      </c>
      <c r="E43" s="1">
        <f>香港换算01!E42+香港新定位结果!$P42</f>
        <v>1</v>
      </c>
      <c r="F43">
        <f>香港换算01!F42+香港新定位结果!$P42</f>
        <v>2</v>
      </c>
      <c r="G43">
        <f>香港换算01!G42+香港新定位结果!$P42</f>
        <v>2</v>
      </c>
      <c r="H43">
        <f>香港换算01!H42+香港新定位结果!$P42</f>
        <v>1</v>
      </c>
      <c r="I43">
        <f>香港换算01!I42+香港新定位结果!$P42</f>
        <v>2</v>
      </c>
      <c r="J43">
        <f>香港换算01!J42+香港新定位结果!$P42</f>
        <v>1</v>
      </c>
      <c r="K43" s="1">
        <f>香港换算01!K42+香港新定位结果!$P42</f>
        <v>1</v>
      </c>
      <c r="L43">
        <f>香港换算01!L42+香港新定位结果!$P42</f>
        <v>1</v>
      </c>
      <c r="M43">
        <f>香港换算01!M42+香港新定位结果!$P42</f>
        <v>1</v>
      </c>
      <c r="N43">
        <f>香港换算01!N42+香港新定位结果!$P42</f>
        <v>1</v>
      </c>
      <c r="O43">
        <f>香港换算01!O42+香港新定位结果!$P42</f>
        <v>1</v>
      </c>
    </row>
    <row r="44" spans="1:15">
      <c r="A44" s="4" t="s">
        <v>237</v>
      </c>
      <c r="B44">
        <f>香港换算01!B43+香港新定位结果!$P43</f>
        <v>1</v>
      </c>
      <c r="C44">
        <f>香港换算01!C43+香港新定位结果!$P43</f>
        <v>2</v>
      </c>
      <c r="D44" s="1">
        <f>香港换算01!D43+香港新定位结果!$P43</f>
        <v>1</v>
      </c>
      <c r="E44" s="1">
        <f>香港换算01!E43+香港新定位结果!$P43</f>
        <v>1</v>
      </c>
      <c r="F44">
        <f>香港换算01!F43+香港新定位结果!$P43</f>
        <v>2</v>
      </c>
      <c r="G44">
        <f>香港换算01!G43+香港新定位结果!$P43</f>
        <v>2</v>
      </c>
      <c r="H44">
        <f>香港换算01!H43+香港新定位结果!$P43</f>
        <v>1</v>
      </c>
      <c r="I44">
        <f>香港换算01!I43+香港新定位结果!$P43</f>
        <v>2</v>
      </c>
      <c r="J44">
        <f>香港换算01!J43+香港新定位结果!$P43</f>
        <v>1</v>
      </c>
      <c r="K44" s="1">
        <f>香港换算01!K43+香港新定位结果!$P43</f>
        <v>1</v>
      </c>
      <c r="L44">
        <f>香港换算01!L43+香港新定位结果!$P43</f>
        <v>2</v>
      </c>
      <c r="M44">
        <f>香港换算01!M43+香港新定位结果!$P43</f>
        <v>1</v>
      </c>
      <c r="N44">
        <f>香港换算01!N43+香港新定位结果!$P43</f>
        <v>1</v>
      </c>
      <c r="O44">
        <f>香港换算01!O43+香港新定位结果!$P43</f>
        <v>1</v>
      </c>
    </row>
    <row r="45" spans="1:15">
      <c r="A45" s="4" t="s">
        <v>241</v>
      </c>
      <c r="B45">
        <f>香港换算01!B44+香港新定位结果!$P44</f>
        <v>1</v>
      </c>
      <c r="C45">
        <f>香港换算01!C44+香港新定位结果!$P44</f>
        <v>1</v>
      </c>
      <c r="D45" s="1">
        <f>香港换算01!D44+香港新定位结果!$P44</f>
        <v>0</v>
      </c>
      <c r="E45" s="1">
        <f>香港换算01!E44+香港新定位结果!$P44</f>
        <v>1</v>
      </c>
      <c r="F45">
        <f>香港换算01!F44+香港新定位结果!$P44</f>
        <v>0</v>
      </c>
      <c r="G45">
        <f>香港换算01!G44+香港新定位结果!$P44</f>
        <v>1</v>
      </c>
      <c r="H45">
        <f>香港换算01!H44+香港新定位结果!$P44</f>
        <v>1</v>
      </c>
      <c r="I45">
        <f>香港换算01!I44+香港新定位结果!$P44</f>
        <v>1</v>
      </c>
      <c r="J45">
        <f>香港换算01!J44+香港新定位结果!$P44</f>
        <v>1</v>
      </c>
      <c r="K45" s="1">
        <f>香港换算01!K44+香港新定位结果!$P44</f>
        <v>1</v>
      </c>
      <c r="L45">
        <f>香港换算01!L44+香港新定位结果!$P44</f>
        <v>1</v>
      </c>
      <c r="M45">
        <f>香港换算01!M44+香港新定位结果!$P44</f>
        <v>1</v>
      </c>
      <c r="N45">
        <f>香港换算01!N44+香港新定位结果!$P44</f>
        <v>0</v>
      </c>
      <c r="O45">
        <f>香港换算01!O44+香港新定位结果!$P44</f>
        <v>0</v>
      </c>
    </row>
    <row r="46" spans="1:15">
      <c r="A46" s="4" t="s">
        <v>245</v>
      </c>
      <c r="B46">
        <f>香港换算01!B45+香港新定位结果!$P45</f>
        <v>1</v>
      </c>
      <c r="C46">
        <f>香港换算01!C45+香港新定位结果!$P45</f>
        <v>1</v>
      </c>
      <c r="D46" s="1">
        <f>香港换算01!D45+香港新定位结果!$P45</f>
        <v>1</v>
      </c>
      <c r="E46" s="1">
        <f>香港换算01!E45+香港新定位结果!$P45</f>
        <v>1</v>
      </c>
      <c r="F46">
        <f>香港换算01!F45+香港新定位结果!$P45</f>
        <v>2</v>
      </c>
      <c r="G46">
        <f>香港换算01!G45+香港新定位结果!$P45</f>
        <v>1</v>
      </c>
      <c r="H46">
        <f>香港换算01!H45+香港新定位结果!$P45</f>
        <v>1</v>
      </c>
      <c r="I46">
        <f>香港换算01!I45+香港新定位结果!$P45</f>
        <v>1</v>
      </c>
      <c r="J46">
        <f>香港换算01!J45+香港新定位结果!$P45</f>
        <v>1</v>
      </c>
      <c r="K46" s="1">
        <f>香港换算01!K45+香港新定位结果!$P45</f>
        <v>1</v>
      </c>
      <c r="L46">
        <f>香港换算01!L45+香港新定位结果!$P45</f>
        <v>1</v>
      </c>
      <c r="M46">
        <f>香港换算01!M45+香港新定位结果!$P45</f>
        <v>1</v>
      </c>
      <c r="N46">
        <f>香港换算01!N45+香港新定位结果!$P45</f>
        <v>1</v>
      </c>
      <c r="O46">
        <f>香港换算01!O45+香港新定位结果!$P45</f>
        <v>1</v>
      </c>
    </row>
    <row r="47" spans="1:15">
      <c r="A47" s="4" t="s">
        <v>251</v>
      </c>
      <c r="B47">
        <f>香港换算01!B46+香港新定位结果!$P46</f>
        <v>0</v>
      </c>
      <c r="C47">
        <f>香港换算01!C46+香港新定位结果!$P46</f>
        <v>0</v>
      </c>
      <c r="D47" s="1">
        <f>香港换算01!D46+香港新定位结果!$P46</f>
        <v>0</v>
      </c>
      <c r="E47" s="1">
        <f>香港换算01!E46+香港新定位结果!$P46</f>
        <v>0</v>
      </c>
      <c r="F47">
        <f>香港换算01!F46+香港新定位结果!$P46</f>
        <v>0</v>
      </c>
      <c r="G47">
        <f>香港换算01!G46+香港新定位结果!$P46</f>
        <v>0</v>
      </c>
      <c r="H47">
        <f>香港换算01!H46+香港新定位结果!$P46</f>
        <v>1</v>
      </c>
      <c r="I47">
        <f>香港换算01!I46+香港新定位结果!$P46</f>
        <v>1</v>
      </c>
      <c r="J47">
        <f>香港换算01!J46+香港新定位结果!$P46</f>
        <v>1</v>
      </c>
      <c r="K47" s="1">
        <f>香港换算01!K46+香港新定位结果!$P46</f>
        <v>1</v>
      </c>
      <c r="L47">
        <f>香港换算01!L46+香港新定位结果!$P46</f>
        <v>1</v>
      </c>
      <c r="M47">
        <f>香港换算01!M46+香港新定位结果!$P46</f>
        <v>1</v>
      </c>
      <c r="N47">
        <f>香港换算01!N46+香港新定位结果!$P46</f>
        <v>1</v>
      </c>
      <c r="O47">
        <f>香港换算01!O46+香港新定位结果!$P46</f>
        <v>0</v>
      </c>
    </row>
    <row r="48" spans="1:15">
      <c r="A48" s="4" t="s">
        <v>255</v>
      </c>
      <c r="B48">
        <f>香港换算01!B47+香港新定位结果!$P47</f>
        <v>1</v>
      </c>
      <c r="C48">
        <f>香港换算01!C47+香港新定位结果!$P47</f>
        <v>2</v>
      </c>
      <c r="D48" s="1">
        <f>香港换算01!D47+香港新定位结果!$P47</f>
        <v>2</v>
      </c>
      <c r="E48" s="1">
        <f>香港换算01!E47+香港新定位结果!$P47</f>
        <v>2</v>
      </c>
      <c r="F48">
        <f>香港换算01!F47+香港新定位结果!$P47</f>
        <v>2</v>
      </c>
      <c r="G48">
        <f>香港换算01!G47+香港新定位结果!$P47</f>
        <v>1</v>
      </c>
      <c r="H48">
        <f>香港换算01!H47+香港新定位结果!$P47</f>
        <v>2</v>
      </c>
      <c r="I48">
        <f>香港换算01!I47+香港新定位结果!$P47</f>
        <v>2</v>
      </c>
      <c r="J48">
        <f>香港换算01!J47+香港新定位结果!$P47</f>
        <v>1</v>
      </c>
      <c r="K48" s="1">
        <f>香港换算01!K47+香港新定位结果!$P47</f>
        <v>2</v>
      </c>
      <c r="L48">
        <f>香港换算01!L47+香港新定位结果!$P47</f>
        <v>1</v>
      </c>
      <c r="M48">
        <f>香港换算01!M47+香港新定位结果!$P47</f>
        <v>2</v>
      </c>
      <c r="N48">
        <f>香港换算01!N47+香港新定位结果!$P47</f>
        <v>2</v>
      </c>
      <c r="O48">
        <f>香港换算01!O47+香港新定位结果!$P47</f>
        <v>2</v>
      </c>
    </row>
    <row r="49" spans="1:15">
      <c r="A49" s="4" t="s">
        <v>259</v>
      </c>
      <c r="B49">
        <f>香港换算01!B48+香港新定位结果!$P48</f>
        <v>0</v>
      </c>
      <c r="C49">
        <f>香港换算01!C48+香港新定位结果!$P48</f>
        <v>0</v>
      </c>
      <c r="D49" s="1">
        <f>香港换算01!D48+香港新定位结果!$P48</f>
        <v>1</v>
      </c>
      <c r="E49" s="1">
        <f>香港换算01!E48+香港新定位结果!$P48</f>
        <v>0</v>
      </c>
      <c r="F49">
        <f>香港换算01!F48+香港新定位结果!$P48</f>
        <v>1</v>
      </c>
      <c r="G49">
        <f>香港换算01!G48+香港新定位结果!$P48</f>
        <v>0</v>
      </c>
      <c r="H49">
        <f>香港换算01!H48+香港新定位结果!$P48</f>
        <v>0</v>
      </c>
      <c r="I49">
        <f>香港换算01!I48+香港新定位结果!$P48</f>
        <v>0</v>
      </c>
      <c r="J49">
        <f>香港换算01!J48+香港新定位结果!$P48</f>
        <v>0</v>
      </c>
      <c r="K49" s="1">
        <f>香港换算01!K48+香港新定位结果!$P48</f>
        <v>0</v>
      </c>
      <c r="L49">
        <f>香港换算01!L48+香港新定位结果!$P48</f>
        <v>1</v>
      </c>
      <c r="M49">
        <f>香港换算01!M48+香港新定位结果!$P48</f>
        <v>0</v>
      </c>
      <c r="N49">
        <f>香港换算01!N48+香港新定位结果!$P48</f>
        <v>1</v>
      </c>
      <c r="O49">
        <f>香港换算01!O48+香港新定位结果!$P48</f>
        <v>1</v>
      </c>
    </row>
    <row r="50" spans="1:15">
      <c r="A50" s="4" t="s">
        <v>265</v>
      </c>
      <c r="B50">
        <f>香港换算01!B49+香港新定位结果!$P49</f>
        <v>2</v>
      </c>
      <c r="C50">
        <f>香港换算01!C49+香港新定位结果!$P49</f>
        <v>1</v>
      </c>
      <c r="D50" s="1">
        <f>香港换算01!D49+香港新定位结果!$P49</f>
        <v>1</v>
      </c>
      <c r="E50" s="1">
        <f>香港换算01!E49+香港新定位结果!$P49</f>
        <v>2</v>
      </c>
      <c r="F50">
        <f>香港换算01!F49+香港新定位结果!$P49</f>
        <v>1</v>
      </c>
      <c r="G50">
        <f>香港换算01!G49+香港新定位结果!$P49</f>
        <v>1</v>
      </c>
      <c r="H50">
        <f>香港换算01!H49+香港新定位结果!$P49</f>
        <v>1</v>
      </c>
      <c r="I50">
        <f>香港换算01!I49+香港新定位结果!$P49</f>
        <v>1</v>
      </c>
      <c r="J50">
        <f>香港换算01!J49+香港新定位结果!$P49</f>
        <v>2</v>
      </c>
      <c r="K50" s="1">
        <f>香港换算01!K49+香港新定位结果!$P49</f>
        <v>1</v>
      </c>
      <c r="L50">
        <f>香港换算01!L49+香港新定位结果!$P49</f>
        <v>2</v>
      </c>
      <c r="M50">
        <f>香港换算01!M49+香港新定位结果!$P49</f>
        <v>1</v>
      </c>
      <c r="N50">
        <f>香港换算01!N49+香港新定位结果!$P49</f>
        <v>2</v>
      </c>
      <c r="O50">
        <f>香港换算01!O49+香港新定位结果!$P49</f>
        <v>1</v>
      </c>
    </row>
    <row r="51" spans="1:15">
      <c r="A51" s="4" t="s">
        <v>269</v>
      </c>
      <c r="B51">
        <f>香港换算01!B50+香港新定位结果!$P50</f>
        <v>1</v>
      </c>
      <c r="C51">
        <f>香港换算01!C50+香港新定位结果!$P50</f>
        <v>1</v>
      </c>
      <c r="D51" s="1">
        <f>香港换算01!D50+香港新定位结果!$P50</f>
        <v>0</v>
      </c>
      <c r="E51" s="1">
        <f>香港换算01!E50+香港新定位结果!$P50</f>
        <v>0</v>
      </c>
      <c r="F51">
        <f>香港换算01!F50+香港新定位结果!$P50</f>
        <v>1</v>
      </c>
      <c r="G51">
        <f>香港换算01!G50+香港新定位结果!$P50</f>
        <v>0</v>
      </c>
      <c r="H51">
        <f>香港换算01!H50+香港新定位结果!$P50</f>
        <v>0</v>
      </c>
      <c r="I51">
        <f>香港换算01!I50+香港新定位结果!$P50</f>
        <v>0</v>
      </c>
      <c r="J51">
        <f>香港换算01!J50+香港新定位结果!$P50</f>
        <v>0</v>
      </c>
      <c r="K51" s="1">
        <f>香港换算01!K50+香港新定位结果!$P50</f>
        <v>0</v>
      </c>
      <c r="L51">
        <f>香港换算01!L50+香港新定位结果!$P50</f>
        <v>0</v>
      </c>
      <c r="M51">
        <f>香港换算01!M50+香港新定位结果!$P50</f>
        <v>0</v>
      </c>
      <c r="N51">
        <f>香港换算01!N50+香港新定位结果!$P50</f>
        <v>1</v>
      </c>
      <c r="O51">
        <f>香港换算01!O50+香港新定位结果!$P50</f>
        <v>1</v>
      </c>
    </row>
    <row r="52" spans="1:15">
      <c r="A52" s="4" t="s">
        <v>273</v>
      </c>
      <c r="B52">
        <f>香港换算01!B51+香港新定位结果!$P51</f>
        <v>1</v>
      </c>
      <c r="C52">
        <f>香港换算01!C51+香港新定位结果!$P51</f>
        <v>1</v>
      </c>
      <c r="D52" s="1">
        <f>香港换算01!D51+香港新定位结果!$P51</f>
        <v>1</v>
      </c>
      <c r="E52" s="1">
        <f>香港换算01!E51+香港新定位结果!$P51</f>
        <v>2</v>
      </c>
      <c r="F52">
        <f>香港换算01!F51+香港新定位结果!$P51</f>
        <v>2</v>
      </c>
      <c r="G52">
        <f>香港换算01!G51+香港新定位结果!$P51</f>
        <v>1</v>
      </c>
      <c r="H52">
        <f>香港换算01!H51+香港新定位结果!$P51</f>
        <v>1</v>
      </c>
      <c r="I52">
        <f>香港换算01!I51+香港新定位结果!$P51</f>
        <v>2</v>
      </c>
      <c r="J52">
        <f>香港换算01!J51+香港新定位结果!$P51</f>
        <v>2</v>
      </c>
      <c r="K52" s="1">
        <f>香港换算01!K51+香港新定位结果!$P51</f>
        <v>2</v>
      </c>
      <c r="L52">
        <f>香港换算01!L51+香港新定位结果!$P51</f>
        <v>2</v>
      </c>
      <c r="M52">
        <f>香港换算01!M51+香港新定位结果!$P51</f>
        <v>1</v>
      </c>
      <c r="N52">
        <f>香港换算01!N51+香港新定位结果!$P51</f>
        <v>1</v>
      </c>
      <c r="O52">
        <f>香港换算01!O51+香港新定位结果!$P51</f>
        <v>2</v>
      </c>
    </row>
    <row r="53" spans="1:15">
      <c r="A53" s="4" t="s">
        <v>279</v>
      </c>
      <c r="B53">
        <f>香港换算01!B52+香港新定位结果!$P52</f>
        <v>1</v>
      </c>
      <c r="C53">
        <f>香港换算01!C52+香港新定位结果!$P52</f>
        <v>0</v>
      </c>
      <c r="D53" s="1">
        <f>香港换算01!D52+香港新定位结果!$P52</f>
        <v>1</v>
      </c>
      <c r="E53" s="1">
        <f>香港换算01!E52+香港新定位结果!$P52</f>
        <v>1</v>
      </c>
      <c r="F53">
        <f>香港换算01!F52+香港新定位结果!$P52</f>
        <v>1</v>
      </c>
      <c r="G53">
        <f>香港换算01!G52+香港新定位结果!$P52</f>
        <v>1</v>
      </c>
      <c r="H53">
        <f>香港换算01!H52+香港新定位结果!$P52</f>
        <v>0</v>
      </c>
      <c r="I53">
        <f>香港换算01!I52+香港新定位结果!$P52</f>
        <v>0</v>
      </c>
      <c r="J53">
        <f>香港换算01!J52+香港新定位结果!$P52</f>
        <v>1</v>
      </c>
      <c r="K53" s="1">
        <f>香港换算01!K52+香港新定位结果!$P52</f>
        <v>0</v>
      </c>
      <c r="L53">
        <f>香港换算01!L52+香港新定位结果!$P52</f>
        <v>0</v>
      </c>
      <c r="M53">
        <f>香港换算01!M52+香港新定位结果!$P52</f>
        <v>1</v>
      </c>
      <c r="N53">
        <f>香港换算01!N52+香港新定位结果!$P52</f>
        <v>0</v>
      </c>
      <c r="O53">
        <f>香港换算01!O52+香港新定位结果!$P52</f>
        <v>1</v>
      </c>
    </row>
    <row r="54" spans="1:15">
      <c r="A54" s="4" t="s">
        <v>283</v>
      </c>
      <c r="B54">
        <f>香港换算01!B53+香港新定位结果!$P53</f>
        <v>1</v>
      </c>
      <c r="C54">
        <f>香港换算01!C53+香港新定位结果!$P53</f>
        <v>1</v>
      </c>
      <c r="D54" s="1">
        <f>香港换算01!D53+香港新定位结果!$P53</f>
        <v>0</v>
      </c>
      <c r="E54" s="1">
        <f>香港换算01!E53+香港新定位结果!$P53</f>
        <v>1</v>
      </c>
      <c r="F54">
        <f>香港换算01!F53+香港新定位结果!$P53</f>
        <v>1</v>
      </c>
      <c r="G54">
        <f>香港换算01!G53+香港新定位结果!$P53</f>
        <v>1</v>
      </c>
      <c r="H54">
        <f>香港换算01!H53+香港新定位结果!$P53</f>
        <v>1</v>
      </c>
      <c r="I54">
        <f>香港换算01!I53+香港新定位结果!$P53</f>
        <v>1</v>
      </c>
      <c r="J54">
        <f>香港换算01!J53+香港新定位结果!$P53</f>
        <v>0</v>
      </c>
      <c r="K54" s="1">
        <f>香港换算01!K53+香港新定位结果!$P53</f>
        <v>0</v>
      </c>
      <c r="L54">
        <f>香港换算01!L53+香港新定位结果!$P53</f>
        <v>1</v>
      </c>
      <c r="M54">
        <f>香港换算01!M53+香港新定位结果!$P53</f>
        <v>0</v>
      </c>
      <c r="N54">
        <f>香港换算01!N53+香港新定位结果!$P53</f>
        <v>0</v>
      </c>
      <c r="O54">
        <f>香港换算01!O53+香港新定位结果!$P53</f>
        <v>1</v>
      </c>
    </row>
    <row r="55" spans="1:15">
      <c r="A55" s="4" t="s">
        <v>289</v>
      </c>
      <c r="B55">
        <f>香港换算01!B54+香港新定位结果!$P54</f>
        <v>0</v>
      </c>
      <c r="C55">
        <f>香港换算01!C54+香港新定位结果!$P54</f>
        <v>1</v>
      </c>
      <c r="D55" s="1">
        <f>香港换算01!D54+香港新定位结果!$P54</f>
        <v>0</v>
      </c>
      <c r="E55" s="1">
        <f>香港换算01!E54+香港新定位结果!$P54</f>
        <v>1</v>
      </c>
      <c r="F55">
        <f>香港换算01!F54+香港新定位结果!$P54</f>
        <v>1</v>
      </c>
      <c r="G55">
        <f>香港换算01!G54+香港新定位结果!$P54</f>
        <v>1</v>
      </c>
      <c r="H55">
        <f>香港换算01!H54+香港新定位结果!$P54</f>
        <v>0</v>
      </c>
      <c r="I55">
        <f>香港换算01!I54+香港新定位结果!$P54</f>
        <v>1</v>
      </c>
      <c r="J55">
        <f>香港换算01!J54+香港新定位结果!$P54</f>
        <v>1</v>
      </c>
      <c r="K55" s="1">
        <f>香港换算01!K54+香港新定位结果!$P54</f>
        <v>0</v>
      </c>
      <c r="L55">
        <f>香港换算01!L54+香港新定位结果!$P54</f>
        <v>0</v>
      </c>
      <c r="M55">
        <f>香港换算01!M54+香港新定位结果!$P54</f>
        <v>0</v>
      </c>
      <c r="N55">
        <f>香港换算01!N54+香港新定位结果!$P54</f>
        <v>0</v>
      </c>
      <c r="O55">
        <f>香港换算01!O54+香港新定位结果!$P54</f>
        <v>1</v>
      </c>
    </row>
    <row r="56" spans="1:15">
      <c r="A56" s="4" t="s">
        <v>293</v>
      </c>
      <c r="B56">
        <f>香港换算01!B55+香港新定位结果!$P55</f>
        <v>0</v>
      </c>
      <c r="C56">
        <f>香港换算01!C55+香港新定位结果!$P55</f>
        <v>1</v>
      </c>
      <c r="D56" s="1">
        <f>香港换算01!D55+香港新定位结果!$P55</f>
        <v>0</v>
      </c>
      <c r="E56" s="1">
        <f>香港换算01!E55+香港新定位结果!$P55</f>
        <v>0</v>
      </c>
      <c r="F56">
        <f>香港换算01!F55+香港新定位结果!$P55</f>
        <v>1</v>
      </c>
      <c r="G56">
        <f>香港换算01!G55+香港新定位结果!$P55</f>
        <v>1</v>
      </c>
      <c r="H56">
        <f>香港换算01!H55+香港新定位结果!$P55</f>
        <v>1</v>
      </c>
      <c r="I56">
        <f>香港换算01!I55+香港新定位结果!$P55</f>
        <v>1</v>
      </c>
      <c r="J56">
        <f>香港换算01!J55+香港新定位结果!$P55</f>
        <v>1</v>
      </c>
      <c r="K56" s="1">
        <f>香港换算01!K55+香港新定位结果!$P55</f>
        <v>1</v>
      </c>
      <c r="L56">
        <f>香港换算01!L55+香港新定位结果!$P55</f>
        <v>1</v>
      </c>
      <c r="M56">
        <f>香港换算01!M55+香港新定位结果!$P55</f>
        <v>1</v>
      </c>
      <c r="N56">
        <f>香港换算01!N55+香港新定位结果!$P55</f>
        <v>0</v>
      </c>
      <c r="O56">
        <f>香港换算01!O55+香港新定位结果!$P55</f>
        <v>0</v>
      </c>
    </row>
    <row r="57" spans="1:15">
      <c r="A57" s="4" t="s">
        <v>297</v>
      </c>
      <c r="B57">
        <f>香港换算01!B56+香港新定位结果!$P56</f>
        <v>1</v>
      </c>
      <c r="C57">
        <f>香港换算01!C56+香港新定位结果!$P56</f>
        <v>2</v>
      </c>
      <c r="D57" s="1">
        <f>香港换算01!D56+香港新定位结果!$P56</f>
        <v>1</v>
      </c>
      <c r="E57" s="1">
        <f>香港换算01!E56+香港新定位结果!$P56</f>
        <v>2</v>
      </c>
      <c r="F57">
        <f>香港换算01!F56+香港新定位结果!$P56</f>
        <v>1</v>
      </c>
      <c r="G57">
        <f>香港换算01!G56+香港新定位结果!$P56</f>
        <v>2</v>
      </c>
      <c r="H57">
        <f>香港换算01!H56+香港新定位结果!$P56</f>
        <v>2</v>
      </c>
      <c r="I57">
        <f>香港换算01!I56+香港新定位结果!$P56</f>
        <v>2</v>
      </c>
      <c r="J57">
        <f>香港换算01!J56+香港新定位结果!$P56</f>
        <v>1</v>
      </c>
      <c r="K57" s="1">
        <f>香港换算01!K56+香港新定位结果!$P56</f>
        <v>1</v>
      </c>
      <c r="L57">
        <f>香港换算01!L56+香港新定位结果!$P56</f>
        <v>2</v>
      </c>
      <c r="M57">
        <f>香港换算01!M56+香港新定位结果!$P56</f>
        <v>2</v>
      </c>
      <c r="N57">
        <f>香港换算01!N56+香港新定位结果!$P56</f>
        <v>2</v>
      </c>
      <c r="O57">
        <f>香港换算01!O56+香港新定位结果!$P56</f>
        <v>1</v>
      </c>
    </row>
    <row r="58" spans="1:15">
      <c r="A58" s="4" t="s">
        <v>301</v>
      </c>
      <c r="B58">
        <f>香港换算01!B57+香港新定位结果!$P57</f>
        <v>0</v>
      </c>
      <c r="C58">
        <f>香港换算01!C57+香港新定位结果!$P57</f>
        <v>1</v>
      </c>
      <c r="D58" s="1">
        <f>香港换算01!D57+香港新定位结果!$P57</f>
        <v>1</v>
      </c>
      <c r="E58" s="1">
        <f>香港换算01!E57+香港新定位结果!$P57</f>
        <v>1</v>
      </c>
      <c r="F58">
        <f>香港换算01!F57+香港新定位结果!$P57</f>
        <v>0</v>
      </c>
      <c r="G58">
        <f>香港换算01!G57+香港新定位结果!$P57</f>
        <v>0</v>
      </c>
      <c r="H58">
        <f>香港换算01!H57+香港新定位结果!$P57</f>
        <v>1</v>
      </c>
      <c r="I58">
        <f>香港换算01!I57+香港新定位结果!$P57</f>
        <v>0</v>
      </c>
      <c r="J58">
        <f>香港换算01!J57+香港新定位结果!$P57</f>
        <v>1</v>
      </c>
      <c r="K58" s="1">
        <f>香港换算01!K57+香港新定位结果!$P57</f>
        <v>1</v>
      </c>
      <c r="L58">
        <f>香港换算01!L57+香港新定位结果!$P57</f>
        <v>0</v>
      </c>
      <c r="M58">
        <f>香港换算01!M57+香港新定位结果!$P57</f>
        <v>0</v>
      </c>
      <c r="N58">
        <f>香港换算01!N57+香港新定位结果!$P57</f>
        <v>1</v>
      </c>
      <c r="O58">
        <f>香港换算01!O57+香港新定位结果!$P57</f>
        <v>0</v>
      </c>
    </row>
    <row r="59" spans="1:15">
      <c r="A59" s="4" t="s">
        <v>307</v>
      </c>
      <c r="B59">
        <f>香港换算01!B58+香港新定位结果!$P58</f>
        <v>1</v>
      </c>
      <c r="C59">
        <f>香港换算01!C58+香港新定位结果!$P58</f>
        <v>2</v>
      </c>
      <c r="D59" s="1">
        <f>香港换算01!D58+香港新定位结果!$P58</f>
        <v>2</v>
      </c>
      <c r="E59" s="1">
        <f>香港换算01!E58+香港新定位结果!$P58</f>
        <v>2</v>
      </c>
      <c r="F59">
        <f>香港换算01!F58+香港新定位结果!$P58</f>
        <v>1</v>
      </c>
      <c r="G59">
        <f>香港换算01!G58+香港新定位结果!$P58</f>
        <v>2</v>
      </c>
      <c r="H59">
        <f>香港换算01!H58+香港新定位结果!$P58</f>
        <v>1</v>
      </c>
      <c r="I59">
        <f>香港换算01!I58+香港新定位结果!$P58</f>
        <v>1</v>
      </c>
      <c r="J59">
        <f>香港换算01!J58+香港新定位结果!$P58</f>
        <v>1</v>
      </c>
      <c r="K59" s="1">
        <f>香港换算01!K58+香港新定位结果!$P58</f>
        <v>1</v>
      </c>
      <c r="L59">
        <f>香港换算01!L58+香港新定位结果!$P58</f>
        <v>1</v>
      </c>
      <c r="M59">
        <f>香港换算01!M58+香港新定位结果!$P58</f>
        <v>1</v>
      </c>
      <c r="N59">
        <f>香港换算01!N58+香港新定位结果!$P58</f>
        <v>2</v>
      </c>
      <c r="O59">
        <f>香港换算01!O58+香港新定位结果!$P58</f>
        <v>2</v>
      </c>
    </row>
    <row r="60" spans="1:15">
      <c r="A60" s="4" t="s">
        <v>311</v>
      </c>
      <c r="B60">
        <f>香港换算01!B59+香港新定位结果!$P59</f>
        <v>2</v>
      </c>
      <c r="C60">
        <f>香港换算01!C59+香港新定位结果!$P59</f>
        <v>2</v>
      </c>
      <c r="D60" s="1">
        <f>香港换算01!D59+香港新定位结果!$P59</f>
        <v>2</v>
      </c>
      <c r="E60" s="1">
        <f>香港换算01!E59+香港新定位结果!$P59</f>
        <v>2</v>
      </c>
      <c r="F60">
        <f>香港换算01!F59+香港新定位结果!$P59</f>
        <v>1</v>
      </c>
      <c r="G60">
        <f>香港换算01!G59+香港新定位结果!$P59</f>
        <v>1</v>
      </c>
      <c r="H60">
        <f>香港换算01!H59+香港新定位结果!$P59</f>
        <v>1</v>
      </c>
      <c r="I60">
        <f>香港换算01!I59+香港新定位结果!$P59</f>
        <v>2</v>
      </c>
      <c r="J60">
        <f>香港换算01!J59+香港新定位结果!$P59</f>
        <v>2</v>
      </c>
      <c r="K60" s="1">
        <f>香港换算01!K59+香港新定位结果!$P59</f>
        <v>2</v>
      </c>
      <c r="L60">
        <f>香港换算01!L59+香港新定位结果!$P59</f>
        <v>2</v>
      </c>
      <c r="M60">
        <f>香港换算01!M59+香港新定位结果!$P59</f>
        <v>2</v>
      </c>
      <c r="N60">
        <f>香港换算01!N59+香港新定位结果!$P59</f>
        <v>1</v>
      </c>
      <c r="O60">
        <f>香港换算01!O59+香港新定位结果!$P59</f>
        <v>1</v>
      </c>
    </row>
    <row r="61" spans="1:15">
      <c r="A61" s="4" t="s">
        <v>315</v>
      </c>
      <c r="B61">
        <f>香港换算01!B60+香港新定位结果!$P60</f>
        <v>2</v>
      </c>
      <c r="C61">
        <f>香港换算01!C60+香港新定位结果!$P60</f>
        <v>2</v>
      </c>
      <c r="D61" s="1">
        <f>香港换算01!D60+香港新定位结果!$P60</f>
        <v>2</v>
      </c>
      <c r="E61" s="1">
        <f>香港换算01!E60+香港新定位结果!$P60</f>
        <v>1</v>
      </c>
      <c r="F61">
        <f>香港换算01!F60+香港新定位结果!$P60</f>
        <v>2</v>
      </c>
      <c r="G61">
        <f>香港换算01!G60+香港新定位结果!$P60</f>
        <v>1</v>
      </c>
      <c r="H61">
        <f>香港换算01!H60+香港新定位结果!$P60</f>
        <v>2</v>
      </c>
      <c r="I61">
        <f>香港换算01!I60+香港新定位结果!$P60</f>
        <v>2</v>
      </c>
      <c r="J61">
        <f>香港换算01!J60+香港新定位结果!$P60</f>
        <v>1</v>
      </c>
      <c r="K61" s="1">
        <f>香港换算01!K60+香港新定位结果!$P60</f>
        <v>2</v>
      </c>
      <c r="L61">
        <f>香港换算01!L60+香港新定位结果!$P60</f>
        <v>1</v>
      </c>
      <c r="M61">
        <f>香港换算01!M60+香港新定位结果!$P60</f>
        <v>2</v>
      </c>
      <c r="N61">
        <f>香港换算01!N60+香港新定位结果!$P60</f>
        <v>2</v>
      </c>
      <c r="O61">
        <f>香港换算01!O60+香港新定位结果!$P60</f>
        <v>1</v>
      </c>
    </row>
    <row r="62" spans="1:15">
      <c r="A62" s="4" t="s">
        <v>321</v>
      </c>
      <c r="B62">
        <f>香港换算01!B61+香港新定位结果!$P61</f>
        <v>1</v>
      </c>
      <c r="C62">
        <f>香港换算01!C61+香港新定位结果!$P61</f>
        <v>2</v>
      </c>
      <c r="D62" s="1">
        <f>香港换算01!D61+香港新定位结果!$P61</f>
        <v>1</v>
      </c>
      <c r="E62" s="1">
        <f>香港换算01!E61+香港新定位结果!$P61</f>
        <v>1</v>
      </c>
      <c r="F62">
        <f>香港换算01!F61+香港新定位结果!$P61</f>
        <v>1</v>
      </c>
      <c r="G62">
        <f>香港换算01!G61+香港新定位结果!$P61</f>
        <v>2</v>
      </c>
      <c r="H62">
        <f>香港换算01!H61+香港新定位结果!$P61</f>
        <v>2</v>
      </c>
      <c r="I62">
        <f>香港换算01!I61+香港新定位结果!$P61</f>
        <v>2</v>
      </c>
      <c r="J62">
        <f>香港换算01!J61+香港新定位结果!$P61</f>
        <v>2</v>
      </c>
      <c r="K62" s="1">
        <f>香港换算01!K61+香港新定位结果!$P61</f>
        <v>2</v>
      </c>
      <c r="L62">
        <f>香港换算01!L61+香港新定位结果!$P61</f>
        <v>2</v>
      </c>
      <c r="M62">
        <f>香港换算01!M61+香港新定位结果!$P61</f>
        <v>2</v>
      </c>
      <c r="N62">
        <f>香港换算01!N61+香港新定位结果!$P61</f>
        <v>1</v>
      </c>
      <c r="O62">
        <f>香港换算01!O61+香港新定位结果!$P61</f>
        <v>1</v>
      </c>
    </row>
    <row r="63" spans="1:15">
      <c r="A63" s="4" t="s">
        <v>325</v>
      </c>
      <c r="B63">
        <f>香港换算01!B62+香港新定位结果!$P62</f>
        <v>2</v>
      </c>
      <c r="C63">
        <f>香港换算01!C62+香港新定位结果!$P62</f>
        <v>2</v>
      </c>
      <c r="D63" s="1">
        <f>香港换算01!D62+香港新定位结果!$P62</f>
        <v>2</v>
      </c>
      <c r="E63" s="1">
        <f>香港换算01!E62+香港新定位结果!$P62</f>
        <v>2</v>
      </c>
      <c r="F63">
        <f>香港换算01!F62+香港新定位结果!$P62</f>
        <v>2</v>
      </c>
      <c r="G63">
        <f>香港换算01!G62+香港新定位结果!$P62</f>
        <v>1</v>
      </c>
      <c r="H63">
        <f>香港换算01!H62+香港新定位结果!$P62</f>
        <v>2</v>
      </c>
      <c r="I63">
        <f>香港换算01!I62+香港新定位结果!$P62</f>
        <v>1</v>
      </c>
      <c r="J63">
        <f>香港换算01!J62+香港新定位结果!$P62</f>
        <v>2</v>
      </c>
      <c r="K63" s="1">
        <f>香港换算01!K62+香港新定位结果!$P62</f>
        <v>2</v>
      </c>
      <c r="L63">
        <f>香港换算01!L62+香港新定位结果!$P62</f>
        <v>2</v>
      </c>
      <c r="M63">
        <f>香港换算01!M62+香港新定位结果!$P62</f>
        <v>2</v>
      </c>
      <c r="N63">
        <f>香港换算01!N62+香港新定位结果!$P62</f>
        <v>2</v>
      </c>
      <c r="O63">
        <f>香港换算01!O62+香港新定位结果!$P62</f>
        <v>1</v>
      </c>
    </row>
    <row r="64" spans="1:15">
      <c r="A64" s="4" t="s">
        <v>329</v>
      </c>
      <c r="B64">
        <f>香港换算01!B63+香港新定位结果!$P63</f>
        <v>0</v>
      </c>
      <c r="C64">
        <f>香港换算01!C63+香港新定位结果!$P63</f>
        <v>1</v>
      </c>
      <c r="D64" s="1">
        <f>香港换算01!D63+香港新定位结果!$P63</f>
        <v>0</v>
      </c>
      <c r="E64" s="1">
        <f>香港换算01!E63+香港新定位结果!$P63</f>
        <v>0</v>
      </c>
      <c r="F64">
        <f>香港换算01!F63+香港新定位结果!$P63</f>
        <v>1</v>
      </c>
      <c r="G64">
        <f>香港换算01!G63+香港新定位结果!$P63</f>
        <v>0</v>
      </c>
      <c r="H64">
        <f>香港换算01!H63+香港新定位结果!$P63</f>
        <v>0</v>
      </c>
      <c r="I64">
        <f>香港换算01!I63+香港新定位结果!$P63</f>
        <v>0</v>
      </c>
      <c r="J64">
        <f>香港换算01!J63+香港新定位结果!$P63</f>
        <v>1</v>
      </c>
      <c r="K64" s="1">
        <f>香港换算01!K63+香港新定位结果!$P63</f>
        <v>0</v>
      </c>
      <c r="L64">
        <f>香港换算01!L63+香港新定位结果!$P63</f>
        <v>0</v>
      </c>
      <c r="M64">
        <f>香港换算01!M63+香港新定位结果!$P63</f>
        <v>0</v>
      </c>
      <c r="N64">
        <f>香港换算01!N63+香港新定位结果!$P63</f>
        <v>1</v>
      </c>
      <c r="O64">
        <f>香港换算01!O63+香港新定位结果!$P63</f>
        <v>1</v>
      </c>
    </row>
    <row r="65" spans="1:15">
      <c r="A65" s="4" t="s">
        <v>335</v>
      </c>
      <c r="B65">
        <f>香港换算01!B64+香港新定位结果!$P64</f>
        <v>0</v>
      </c>
      <c r="C65">
        <f>香港换算01!C64+香港新定位结果!$P64</f>
        <v>1</v>
      </c>
      <c r="D65" s="1">
        <f>香港换算01!D64+香港新定位结果!$P64</f>
        <v>0</v>
      </c>
      <c r="E65" s="1">
        <f>香港换算01!E64+香港新定位结果!$P64</f>
        <v>1</v>
      </c>
      <c r="F65">
        <f>香港换算01!F64+香港新定位结果!$P64</f>
        <v>0</v>
      </c>
      <c r="G65">
        <f>香港换算01!G64+香港新定位结果!$P64</f>
        <v>0</v>
      </c>
      <c r="H65">
        <f>香港换算01!H64+香港新定位结果!$P64</f>
        <v>1</v>
      </c>
      <c r="I65">
        <f>香港换算01!I64+香港新定位结果!$P64</f>
        <v>0</v>
      </c>
      <c r="J65">
        <f>香港换算01!J64+香港新定位结果!$P64</f>
        <v>1</v>
      </c>
      <c r="K65" s="1">
        <f>香港换算01!K64+香港新定位结果!$P64</f>
        <v>0</v>
      </c>
      <c r="L65">
        <f>香港换算01!L64+香港新定位结果!$P64</f>
        <v>0</v>
      </c>
      <c r="M65">
        <f>香港换算01!M64+香港新定位结果!$P64</f>
        <v>1</v>
      </c>
      <c r="N65">
        <f>香港换算01!N64+香港新定位结果!$P64</f>
        <v>1</v>
      </c>
      <c r="O65">
        <f>香港换算01!O64+香港新定位结果!$P64</f>
        <v>1</v>
      </c>
    </row>
    <row r="66" spans="1:15">
      <c r="A66" s="4" t="s">
        <v>339</v>
      </c>
      <c r="B66">
        <f>香港换算01!B65+香港新定位结果!$P65</f>
        <v>2</v>
      </c>
      <c r="C66">
        <f>香港换算01!C65+香港新定位结果!$P65</f>
        <v>2</v>
      </c>
      <c r="D66" s="1">
        <f>香港换算01!D65+香港新定位结果!$P65</f>
        <v>1</v>
      </c>
      <c r="E66" s="1">
        <f>香港换算01!E65+香港新定位结果!$P65</f>
        <v>1</v>
      </c>
      <c r="F66">
        <f>香港换算01!F65+香港新定位结果!$P65</f>
        <v>2</v>
      </c>
      <c r="G66">
        <f>香港换算01!G65+香港新定位结果!$P65</f>
        <v>2</v>
      </c>
      <c r="H66">
        <f>香港换算01!H65+香港新定位结果!$P65</f>
        <v>1</v>
      </c>
      <c r="I66">
        <f>香港换算01!I65+香港新定位结果!$P65</f>
        <v>2</v>
      </c>
      <c r="J66">
        <f>香港换算01!J65+香港新定位结果!$P65</f>
        <v>2</v>
      </c>
      <c r="K66" s="1">
        <f>香港换算01!K65+香港新定位结果!$P65</f>
        <v>2</v>
      </c>
      <c r="L66">
        <f>香港换算01!L65+香港新定位结果!$P65</f>
        <v>2</v>
      </c>
      <c r="M66">
        <f>香港换算01!M65+香港新定位结果!$P65</f>
        <v>2</v>
      </c>
      <c r="N66">
        <f>香港换算01!N65+香港新定位结果!$P65</f>
        <v>2</v>
      </c>
      <c r="O66">
        <f>香港换算01!O65+香港新定位结果!$P65</f>
        <v>2</v>
      </c>
    </row>
    <row r="67" spans="1:15">
      <c r="A67" s="4" t="s">
        <v>345</v>
      </c>
      <c r="B67">
        <f>香港换算01!B66+香港新定位结果!$P66</f>
        <v>2</v>
      </c>
      <c r="C67">
        <f>香港换算01!C66+香港新定位结果!$P66</f>
        <v>1</v>
      </c>
      <c r="D67" s="1">
        <f>香港换算01!D66+香港新定位结果!$P66</f>
        <v>2</v>
      </c>
      <c r="E67" s="1">
        <f>香港换算01!E66+香港新定位结果!$P66</f>
        <v>2</v>
      </c>
      <c r="F67">
        <f>香港换算01!F66+香港新定位结果!$P66</f>
        <v>1</v>
      </c>
      <c r="G67">
        <f>香港换算01!G66+香港新定位结果!$P66</f>
        <v>1</v>
      </c>
      <c r="H67">
        <f>香港换算01!H66+香港新定位结果!$P66</f>
        <v>1</v>
      </c>
      <c r="I67">
        <f>香港换算01!I66+香港新定位结果!$P66</f>
        <v>2</v>
      </c>
      <c r="J67">
        <f>香港换算01!J66+香港新定位结果!$P66</f>
        <v>2</v>
      </c>
      <c r="K67" s="1">
        <f>香港换算01!K66+香港新定位结果!$P66</f>
        <v>2</v>
      </c>
      <c r="L67">
        <f>香港换算01!L66+香港新定位结果!$P66</f>
        <v>2</v>
      </c>
      <c r="M67">
        <f>香港换算01!M66+香港新定位结果!$P66</f>
        <v>1</v>
      </c>
      <c r="N67">
        <f>香港换算01!N66+香港新定位结果!$P66</f>
        <v>1</v>
      </c>
      <c r="O67">
        <f>香港换算01!O66+香港新定位结果!$P66</f>
        <v>1</v>
      </c>
    </row>
    <row r="68" spans="1:15">
      <c r="A68" s="4" t="s">
        <v>349</v>
      </c>
      <c r="B68">
        <f>香港换算01!B67+香港新定位结果!$P67</f>
        <v>1</v>
      </c>
      <c r="C68">
        <f>香港换算01!C67+香港新定位结果!$P67</f>
        <v>1</v>
      </c>
      <c r="D68" s="1">
        <f>香港换算01!D67+香港新定位结果!$P67</f>
        <v>0</v>
      </c>
      <c r="E68" s="1">
        <f>香港换算01!E67+香港新定位结果!$P67</f>
        <v>1</v>
      </c>
      <c r="F68">
        <f>香港换算01!F67+香港新定位结果!$P67</f>
        <v>1</v>
      </c>
      <c r="G68">
        <f>香港换算01!G67+香港新定位结果!$P67</f>
        <v>0</v>
      </c>
      <c r="H68">
        <f>香港换算01!H67+香港新定位结果!$P67</f>
        <v>0</v>
      </c>
      <c r="I68">
        <f>香港换算01!I67+香港新定位结果!$P67</f>
        <v>1</v>
      </c>
      <c r="J68">
        <f>香港换算01!J67+香港新定位结果!$P67</f>
        <v>1</v>
      </c>
      <c r="K68" s="1">
        <f>香港换算01!K67+香港新定位结果!$P67</f>
        <v>0</v>
      </c>
      <c r="L68">
        <f>香港换算01!L67+香港新定位结果!$P67</f>
        <v>1</v>
      </c>
      <c r="M68">
        <f>香港换算01!M67+香港新定位结果!$P67</f>
        <v>1</v>
      </c>
      <c r="N68">
        <f>香港换算01!N67+香港新定位结果!$P67</f>
        <v>1</v>
      </c>
      <c r="O68">
        <f>香港换算01!O67+香港新定位结果!$P67</f>
        <v>0</v>
      </c>
    </row>
    <row r="69" spans="1:15">
      <c r="A69" s="4" t="s">
        <v>353</v>
      </c>
      <c r="B69">
        <f>香港换算01!B68+香港新定位结果!$P68</f>
        <v>0</v>
      </c>
      <c r="C69">
        <f>香港换算01!C68+香港新定位结果!$P68</f>
        <v>0</v>
      </c>
      <c r="D69" s="1">
        <f>香港换算01!D68+香港新定位结果!$P68</f>
        <v>0</v>
      </c>
      <c r="E69" s="1">
        <f>香港换算01!E68+香港新定位结果!$P68</f>
        <v>1</v>
      </c>
      <c r="F69">
        <f>香港换算01!F68+香港新定位结果!$P68</f>
        <v>1</v>
      </c>
      <c r="G69">
        <f>香港换算01!G68+香港新定位结果!$P68</f>
        <v>0</v>
      </c>
      <c r="H69">
        <f>香港换算01!H68+香港新定位结果!$P68</f>
        <v>0</v>
      </c>
      <c r="I69">
        <f>香港换算01!I68+香港新定位结果!$P68</f>
        <v>1</v>
      </c>
      <c r="J69">
        <f>香港换算01!J68+香港新定位结果!$P68</f>
        <v>0</v>
      </c>
      <c r="K69" s="1">
        <f>香港换算01!K68+香港新定位结果!$P68</f>
        <v>0</v>
      </c>
      <c r="L69">
        <f>香港换算01!L68+香港新定位结果!$P68</f>
        <v>0</v>
      </c>
      <c r="M69">
        <f>香港换算01!M68+香港新定位结果!$P68</f>
        <v>1</v>
      </c>
      <c r="N69">
        <f>香港换算01!N68+香港新定位结果!$P68</f>
        <v>0</v>
      </c>
      <c r="O69">
        <f>香港换算01!O68+香港新定位结果!$P68</f>
        <v>1</v>
      </c>
    </row>
    <row r="70" spans="1:15">
      <c r="A70" s="4" t="s">
        <v>357</v>
      </c>
      <c r="B70">
        <f>香港换算01!B69+香港新定位结果!$P69</f>
        <v>1</v>
      </c>
      <c r="C70">
        <f>香港换算01!C69+香港新定位结果!$P69</f>
        <v>2</v>
      </c>
      <c r="D70" s="1">
        <f>香港换算01!D69+香港新定位结果!$P69</f>
        <v>1</v>
      </c>
      <c r="E70" s="1">
        <f>香港换算01!E69+香港新定位结果!$P69</f>
        <v>1</v>
      </c>
      <c r="F70">
        <f>香港换算01!F69+香港新定位结果!$P69</f>
        <v>1</v>
      </c>
      <c r="G70">
        <f>香港换算01!G69+香港新定位结果!$P69</f>
        <v>1</v>
      </c>
      <c r="H70">
        <f>香港换算01!H69+香港新定位结果!$P69</f>
        <v>2</v>
      </c>
      <c r="I70">
        <f>香港换算01!I69+香港新定位结果!$P69</f>
        <v>2</v>
      </c>
      <c r="J70">
        <f>香港换算01!J69+香港新定位结果!$P69</f>
        <v>1</v>
      </c>
      <c r="K70" s="1">
        <f>香港换算01!K69+香港新定位结果!$P69</f>
        <v>2</v>
      </c>
      <c r="L70">
        <f>香港换算01!L69+香港新定位结果!$P69</f>
        <v>2</v>
      </c>
      <c r="M70">
        <f>香港换算01!M69+香港新定位结果!$P69</f>
        <v>1</v>
      </c>
      <c r="N70">
        <f>香港换算01!N69+香港新定位结果!$P69</f>
        <v>1</v>
      </c>
      <c r="O70">
        <f>香港换算01!O69+香港新定位结果!$P69</f>
        <v>2</v>
      </c>
    </row>
    <row r="71" spans="1:15">
      <c r="A71" s="4" t="s">
        <v>363</v>
      </c>
      <c r="B71">
        <f>香港换算01!B70+香港新定位结果!$P70</f>
        <v>2</v>
      </c>
      <c r="C71">
        <f>香港换算01!C70+香港新定位结果!$P70</f>
        <v>2</v>
      </c>
      <c r="D71" s="1">
        <f>香港换算01!D70+香港新定位结果!$P70</f>
        <v>1</v>
      </c>
      <c r="E71" s="1">
        <f>香港换算01!E70+香港新定位结果!$P70</f>
        <v>2</v>
      </c>
      <c r="F71">
        <f>香港换算01!F70+香港新定位结果!$P70</f>
        <v>2</v>
      </c>
      <c r="G71">
        <f>香港换算01!G70+香港新定位结果!$P70</f>
        <v>2</v>
      </c>
      <c r="H71">
        <f>香港换算01!H70+香港新定位结果!$P70</f>
        <v>1</v>
      </c>
      <c r="I71">
        <f>香港换算01!I70+香港新定位结果!$P70</f>
        <v>2</v>
      </c>
      <c r="J71">
        <f>香港换算01!J70+香港新定位结果!$P70</f>
        <v>2</v>
      </c>
      <c r="K71" s="1">
        <f>香港换算01!K70+香港新定位结果!$P70</f>
        <v>2</v>
      </c>
      <c r="L71">
        <f>香港换算01!L70+香港新定位结果!$P70</f>
        <v>2</v>
      </c>
      <c r="M71">
        <f>香港换算01!M70+香港新定位结果!$P70</f>
        <v>2</v>
      </c>
      <c r="N71">
        <f>香港换算01!N70+香港新定位结果!$P70</f>
        <v>1</v>
      </c>
      <c r="O71">
        <f>香港换算01!O70+香港新定位结果!$P70</f>
        <v>2</v>
      </c>
    </row>
    <row r="72" spans="1:15">
      <c r="A72" s="4" t="s">
        <v>367</v>
      </c>
      <c r="B72">
        <f>香港换算01!B71+香港新定位结果!$P71</f>
        <v>1</v>
      </c>
      <c r="C72">
        <f>香港换算01!C71+香港新定位结果!$P71</f>
        <v>1</v>
      </c>
      <c r="D72" s="1">
        <f>香港换算01!D71+香港新定位结果!$P71</f>
        <v>1</v>
      </c>
      <c r="E72" s="1">
        <f>香港换算01!E71+香港新定位结果!$P71</f>
        <v>1</v>
      </c>
      <c r="F72">
        <f>香港换算01!F71+香港新定位结果!$P71</f>
        <v>0</v>
      </c>
      <c r="G72">
        <f>香港换算01!G71+香港新定位结果!$P71</f>
        <v>1</v>
      </c>
      <c r="H72">
        <f>香港换算01!H71+香港新定位结果!$P71</f>
        <v>1</v>
      </c>
      <c r="I72">
        <f>香港换算01!I71+香港新定位结果!$P71</f>
        <v>1</v>
      </c>
      <c r="J72">
        <f>香港换算01!J71+香港新定位结果!$P71</f>
        <v>0</v>
      </c>
      <c r="K72" s="1">
        <f>香港换算01!K71+香港新定位结果!$P71</f>
        <v>0</v>
      </c>
      <c r="L72">
        <f>香港换算01!L71+香港新定位结果!$P71</f>
        <v>1</v>
      </c>
      <c r="M72">
        <f>香港换算01!M71+香港新定位结果!$P71</f>
        <v>1</v>
      </c>
      <c r="N72">
        <f>香港换算01!N71+香港新定位结果!$P71</f>
        <v>1</v>
      </c>
      <c r="O72">
        <f>香港换算01!O71+香港新定位结果!$P71</f>
        <v>1</v>
      </c>
    </row>
    <row r="73" spans="1:15">
      <c r="A73" s="4" t="s">
        <v>371</v>
      </c>
      <c r="B73">
        <f>香港换算01!B72+香港新定位结果!$P72</f>
        <v>0</v>
      </c>
      <c r="C73">
        <f>香港换算01!C72+香港新定位结果!$P72</f>
        <v>0</v>
      </c>
      <c r="D73" s="1">
        <f>香港换算01!D72+香港新定位结果!$P72</f>
        <v>0</v>
      </c>
      <c r="E73" s="1">
        <f>香港换算01!E72+香港新定位结果!$P72</f>
        <v>0</v>
      </c>
      <c r="F73">
        <f>香港换算01!F72+香港新定位结果!$P72</f>
        <v>0</v>
      </c>
      <c r="G73">
        <f>香港换算01!G72+香港新定位结果!$P72</f>
        <v>0</v>
      </c>
      <c r="H73">
        <f>香港换算01!H72+香港新定位结果!$P72</f>
        <v>1</v>
      </c>
      <c r="I73">
        <f>香港换算01!I72+香港新定位结果!$P72</f>
        <v>1</v>
      </c>
      <c r="J73">
        <f>香港换算01!J72+香港新定位结果!$P72</f>
        <v>0</v>
      </c>
      <c r="K73" s="1">
        <f>香港换算01!K72+香港新定位结果!$P72</f>
        <v>1</v>
      </c>
      <c r="L73">
        <f>香港换算01!L72+香港新定位结果!$P72</f>
        <v>1</v>
      </c>
      <c r="M73">
        <f>香港换算01!M72+香港新定位结果!$P72</f>
        <v>0</v>
      </c>
      <c r="N73">
        <f>香港换算01!N72+香港新定位结果!$P72</f>
        <v>1</v>
      </c>
      <c r="O73">
        <f>香港换算01!O72+香港新定位结果!$P72</f>
        <v>0</v>
      </c>
    </row>
    <row r="74" spans="1:15">
      <c r="A74" s="4" t="s">
        <v>377</v>
      </c>
      <c r="B74">
        <f>香港换算01!B73+香港新定位结果!$P73</f>
        <v>2</v>
      </c>
      <c r="C74">
        <f>香港换算01!C73+香港新定位结果!$P73</f>
        <v>1</v>
      </c>
      <c r="D74" s="1">
        <f>香港换算01!D73+香港新定位结果!$P73</f>
        <v>1</v>
      </c>
      <c r="E74" s="1">
        <f>香港换算01!E73+香港新定位结果!$P73</f>
        <v>2</v>
      </c>
      <c r="F74">
        <f>香港换算01!F73+香港新定位结果!$P73</f>
        <v>1</v>
      </c>
      <c r="G74">
        <f>香港换算01!G73+香港新定位结果!$P73</f>
        <v>2</v>
      </c>
      <c r="H74">
        <f>香港换算01!H73+香港新定位结果!$P73</f>
        <v>2</v>
      </c>
      <c r="I74">
        <f>香港换算01!I73+香港新定位结果!$P73</f>
        <v>2</v>
      </c>
      <c r="J74">
        <f>香港换算01!J73+香港新定位结果!$P73</f>
        <v>1</v>
      </c>
      <c r="K74" s="1">
        <f>香港换算01!K73+香港新定位结果!$P73</f>
        <v>1</v>
      </c>
      <c r="L74">
        <f>香港换算01!L73+香港新定位结果!$P73</f>
        <v>1</v>
      </c>
      <c r="M74">
        <f>香港换算01!M73+香港新定位结果!$P73</f>
        <v>1</v>
      </c>
      <c r="N74">
        <f>香港换算01!N73+香港新定位结果!$P73</f>
        <v>1</v>
      </c>
      <c r="O74">
        <f>香港换算01!O73+香港新定位结果!$P73</f>
        <v>2</v>
      </c>
    </row>
    <row r="75" spans="1:15">
      <c r="A75" s="4" t="s">
        <v>381</v>
      </c>
      <c r="B75">
        <f>香港换算01!B74+香港新定位结果!$P74</f>
        <v>2</v>
      </c>
      <c r="C75">
        <f>香港换算01!C74+香港新定位结果!$P74</f>
        <v>2</v>
      </c>
      <c r="D75" s="1">
        <f>香港换算01!D74+香港新定位结果!$P74</f>
        <v>1</v>
      </c>
      <c r="E75" s="1">
        <f>香港换算01!E74+香港新定位结果!$P74</f>
        <v>1</v>
      </c>
      <c r="F75">
        <f>香港换算01!F74+香港新定位结果!$P74</f>
        <v>1</v>
      </c>
      <c r="G75">
        <f>香港换算01!G74+香港新定位结果!$P74</f>
        <v>1</v>
      </c>
      <c r="H75">
        <f>香港换算01!H74+香港新定位结果!$P74</f>
        <v>2</v>
      </c>
      <c r="I75">
        <f>香港换算01!I74+香港新定位结果!$P74</f>
        <v>2</v>
      </c>
      <c r="J75">
        <f>香港换算01!J74+香港新定位结果!$P74</f>
        <v>2</v>
      </c>
      <c r="K75" s="1">
        <f>香港换算01!K74+香港新定位结果!$P74</f>
        <v>2</v>
      </c>
      <c r="L75">
        <f>香港换算01!L74+香港新定位结果!$P74</f>
        <v>2</v>
      </c>
      <c r="M75">
        <f>香港换算01!M74+香港新定位结果!$P74</f>
        <v>2</v>
      </c>
      <c r="N75">
        <f>香港换算01!N74+香港新定位结果!$P74</f>
        <v>2</v>
      </c>
      <c r="O75">
        <f>香港换算01!O74+香港新定位结果!$P74</f>
        <v>1</v>
      </c>
    </row>
    <row r="76" spans="1:15">
      <c r="A76" s="4" t="s">
        <v>387</v>
      </c>
      <c r="B76">
        <f>香港换算01!B75+香港新定位结果!$P75</f>
        <v>0</v>
      </c>
      <c r="C76">
        <f>香港换算01!C75+香港新定位结果!$P75</f>
        <v>1</v>
      </c>
      <c r="D76" s="1">
        <f>香港换算01!D75+香港新定位结果!$P75</f>
        <v>1</v>
      </c>
      <c r="E76" s="1">
        <f>香港换算01!E75+香港新定位结果!$P75</f>
        <v>0</v>
      </c>
      <c r="F76">
        <f>香港换算01!F75+香港新定位结果!$P75</f>
        <v>0</v>
      </c>
      <c r="G76">
        <f>香港换算01!G75+香港新定位结果!$P75</f>
        <v>1</v>
      </c>
      <c r="H76">
        <f>香港换算01!H75+香港新定位结果!$P75</f>
        <v>1</v>
      </c>
      <c r="I76">
        <f>香港换算01!I75+香港新定位结果!$P75</f>
        <v>0</v>
      </c>
      <c r="J76">
        <f>香港换算01!J75+香港新定位结果!$P75</f>
        <v>0</v>
      </c>
      <c r="K76" s="1">
        <f>香港换算01!K75+香港新定位结果!$P75</f>
        <v>1</v>
      </c>
      <c r="L76">
        <f>香港换算01!L75+香港新定位结果!$P75</f>
        <v>1</v>
      </c>
      <c r="M76">
        <f>香港换算01!M75+香港新定位结果!$P75</f>
        <v>0</v>
      </c>
      <c r="N76">
        <f>香港换算01!N75+香港新定位结果!$P75</f>
        <v>0</v>
      </c>
      <c r="O76">
        <f>香港换算01!O75+香港新定位结果!$P75</f>
        <v>1</v>
      </c>
    </row>
    <row r="77" spans="1:15">
      <c r="A77" s="4" t="s">
        <v>391</v>
      </c>
      <c r="B77">
        <f>香港换算01!B76+香港新定位结果!$P76</f>
        <v>1</v>
      </c>
      <c r="C77">
        <f>香港换算01!C76+香港新定位结果!$P76</f>
        <v>2</v>
      </c>
      <c r="D77" s="1">
        <f>香港换算01!D76+香港新定位结果!$P76</f>
        <v>1</v>
      </c>
      <c r="E77" s="1">
        <f>香港换算01!E76+香港新定位结果!$P76</f>
        <v>2</v>
      </c>
      <c r="F77">
        <f>香港换算01!F76+香港新定位结果!$P76</f>
        <v>1</v>
      </c>
      <c r="G77">
        <f>香港换算01!G76+香港新定位结果!$P76</f>
        <v>1</v>
      </c>
      <c r="H77">
        <f>香港换算01!H76+香港新定位结果!$P76</f>
        <v>2</v>
      </c>
      <c r="I77">
        <f>香港换算01!I76+香港新定位结果!$P76</f>
        <v>1</v>
      </c>
      <c r="J77">
        <f>香港换算01!J76+香港新定位结果!$P76</f>
        <v>2</v>
      </c>
      <c r="K77" s="1">
        <f>香港换算01!K76+香港新定位结果!$P76</f>
        <v>2</v>
      </c>
      <c r="L77">
        <f>香港换算01!L76+香港新定位结果!$P76</f>
        <v>1</v>
      </c>
      <c r="M77">
        <f>香港换算01!M76+香港新定位结果!$P76</f>
        <v>1</v>
      </c>
      <c r="N77">
        <f>香港换算01!N76+香港新定位结果!$P76</f>
        <v>2</v>
      </c>
      <c r="O77">
        <f>香港换算01!O76+香港新定位结果!$P76</f>
        <v>1</v>
      </c>
    </row>
    <row r="78" spans="1:15">
      <c r="A78" s="4" t="s">
        <v>399</v>
      </c>
      <c r="B78">
        <f>香港换算01!B77+香港新定位结果!$P77</f>
        <v>0</v>
      </c>
      <c r="C78">
        <f>香港换算01!C77+香港新定位结果!$P77</f>
        <v>1</v>
      </c>
      <c r="D78" s="1">
        <f>香港换算01!D77+香港新定位结果!$P77</f>
        <v>0</v>
      </c>
      <c r="E78" s="1">
        <f>香港换算01!E77+香港新定位结果!$P77</f>
        <v>0</v>
      </c>
      <c r="F78">
        <f>香港换算01!F77+香港新定位结果!$P77</f>
        <v>0</v>
      </c>
      <c r="G78">
        <f>香港换算01!G77+香港新定位结果!$P77</f>
        <v>0</v>
      </c>
      <c r="H78">
        <f>香港换算01!H77+香港新定位结果!$P77</f>
        <v>0</v>
      </c>
      <c r="I78">
        <f>香港换算01!I77+香港新定位结果!$P77</f>
        <v>1</v>
      </c>
      <c r="J78">
        <f>香港换算01!J77+香港新定位结果!$P77</f>
        <v>0</v>
      </c>
      <c r="K78" s="1">
        <f>香港换算01!K77+香港新定位结果!$P77</f>
        <v>1</v>
      </c>
      <c r="L78">
        <f>香港换算01!L77+香港新定位结果!$P77</f>
        <v>1</v>
      </c>
      <c r="M78">
        <f>香港换算01!M77+香港新定位结果!$P77</f>
        <v>0</v>
      </c>
      <c r="N78">
        <f>香港换算01!N77+香港新定位结果!$P77</f>
        <v>1</v>
      </c>
      <c r="O78">
        <f>香港换算01!O77+香港新定位结果!$P77</f>
        <v>0</v>
      </c>
    </row>
    <row r="79" spans="1:15">
      <c r="A79" s="4" t="s">
        <v>405</v>
      </c>
      <c r="B79">
        <f>香港换算01!B78+香港新定位结果!$P78</f>
        <v>2</v>
      </c>
      <c r="C79">
        <f>香港换算01!C78+香港新定位结果!$P78</f>
        <v>2</v>
      </c>
      <c r="D79" s="1">
        <f>香港换算01!D78+香港新定位结果!$P78</f>
        <v>1</v>
      </c>
      <c r="E79" s="1">
        <f>香港换算01!E78+香港新定位结果!$P78</f>
        <v>1</v>
      </c>
      <c r="F79">
        <f>香港换算01!F78+香港新定位结果!$P78</f>
        <v>1</v>
      </c>
      <c r="G79">
        <f>香港换算01!G78+香港新定位结果!$P78</f>
        <v>2</v>
      </c>
      <c r="H79">
        <f>香港换算01!H78+香港新定位结果!$P78</f>
        <v>2</v>
      </c>
      <c r="I79">
        <f>香港换算01!I78+香港新定位结果!$P78</f>
        <v>2</v>
      </c>
      <c r="J79">
        <f>香港换算01!J78+香港新定位结果!$P78</f>
        <v>2</v>
      </c>
      <c r="K79" s="1">
        <f>香港换算01!K78+香港新定位结果!$P78</f>
        <v>1</v>
      </c>
      <c r="L79">
        <f>香港换算01!L78+香港新定位结果!$P78</f>
        <v>1</v>
      </c>
      <c r="M79">
        <f>香港换算01!M78+香港新定位结果!$P78</f>
        <v>1</v>
      </c>
      <c r="N79">
        <f>香港换算01!N78+香港新定位结果!$P78</f>
        <v>2</v>
      </c>
      <c r="O79">
        <f>香港换算01!O78+香港新定位结果!$P78</f>
        <v>2</v>
      </c>
    </row>
    <row r="80" spans="1:15">
      <c r="A80" s="4" t="s">
        <v>409</v>
      </c>
      <c r="B80">
        <f>香港换算01!B79+香港新定位结果!$P79</f>
        <v>0</v>
      </c>
      <c r="C80">
        <f>香港换算01!C79+香港新定位结果!$P79</f>
        <v>1</v>
      </c>
      <c r="D80" s="1">
        <f>香港换算01!D79+香港新定位结果!$P79</f>
        <v>0</v>
      </c>
      <c r="E80" s="1">
        <f>香港换算01!E79+香港新定位结果!$P79</f>
        <v>0</v>
      </c>
      <c r="F80">
        <f>香港换算01!F79+香港新定位结果!$P79</f>
        <v>1</v>
      </c>
      <c r="G80">
        <f>香港换算01!G79+香港新定位结果!$P79</f>
        <v>0</v>
      </c>
      <c r="H80">
        <f>香港换算01!H79+香港新定位结果!$P79</f>
        <v>0</v>
      </c>
      <c r="I80">
        <f>香港换算01!I79+香港新定位结果!$P79</f>
        <v>1</v>
      </c>
      <c r="J80">
        <f>香港换算01!J79+香港新定位结果!$P79</f>
        <v>0</v>
      </c>
      <c r="K80" s="1">
        <f>香港换算01!K79+香港新定位结果!$P79</f>
        <v>1</v>
      </c>
      <c r="L80">
        <f>香港换算01!L79+香港新定位结果!$P79</f>
        <v>0</v>
      </c>
      <c r="M80">
        <f>香港换算01!M79+香港新定位结果!$P79</f>
        <v>0</v>
      </c>
      <c r="N80">
        <f>香港换算01!N79+香港新定位结果!$P79</f>
        <v>0</v>
      </c>
      <c r="O80">
        <f>香港换算01!O79+香港新定位结果!$P79</f>
        <v>1</v>
      </c>
    </row>
    <row r="81" spans="1:15">
      <c r="A81" s="4" t="s">
        <v>413</v>
      </c>
      <c r="B81">
        <f>香港换算01!B80+香港新定位结果!$P80</f>
        <v>0</v>
      </c>
      <c r="C81">
        <f>香港换算01!C80+香港新定位结果!$P80</f>
        <v>1</v>
      </c>
      <c r="D81" s="1">
        <f>香港换算01!D80+香港新定位结果!$P80</f>
        <v>0</v>
      </c>
      <c r="E81" s="1">
        <f>香港换算01!E80+香港新定位结果!$P80</f>
        <v>0</v>
      </c>
      <c r="F81">
        <f>香港换算01!F80+香港新定位结果!$P80</f>
        <v>1</v>
      </c>
      <c r="G81">
        <f>香港换算01!G80+香港新定位结果!$P80</f>
        <v>0</v>
      </c>
      <c r="H81">
        <f>香港换算01!H80+香港新定位结果!$P80</f>
        <v>1</v>
      </c>
      <c r="I81">
        <f>香港换算01!I80+香港新定位结果!$P80</f>
        <v>1</v>
      </c>
      <c r="J81">
        <f>香港换算01!J80+香港新定位结果!$P80</f>
        <v>1</v>
      </c>
      <c r="K81" s="1">
        <f>香港换算01!K80+香港新定位结果!$P80</f>
        <v>0</v>
      </c>
      <c r="L81">
        <f>香港换算01!L80+香港新定位结果!$P80</f>
        <v>1</v>
      </c>
      <c r="M81">
        <f>香港换算01!M80+香港新定位结果!$P80</f>
        <v>0</v>
      </c>
      <c r="N81">
        <f>香港换算01!N80+香港新定位结果!$P80</f>
        <v>0</v>
      </c>
      <c r="O81">
        <f>香港换算01!O80+香港新定位结果!$P80</f>
        <v>1</v>
      </c>
    </row>
    <row r="82" spans="1:15">
      <c r="A82" s="4" t="s">
        <v>419</v>
      </c>
      <c r="B82">
        <f>香港换算01!B81+香港新定位结果!$P81</f>
        <v>1</v>
      </c>
      <c r="C82">
        <f>香港换算01!C81+香港新定位结果!$P81</f>
        <v>2</v>
      </c>
      <c r="D82" s="1">
        <f>香港换算01!D81+香港新定位结果!$P81</f>
        <v>2</v>
      </c>
      <c r="E82" s="1">
        <f>香港换算01!E81+香港新定位结果!$P81</f>
        <v>1</v>
      </c>
      <c r="F82">
        <f>香港换算01!F81+香港新定位结果!$P81</f>
        <v>2</v>
      </c>
      <c r="G82">
        <f>香港换算01!G81+香港新定位结果!$P81</f>
        <v>1</v>
      </c>
      <c r="H82">
        <f>香港换算01!H81+香港新定位结果!$P81</f>
        <v>1</v>
      </c>
      <c r="I82">
        <f>香港换算01!I81+香港新定位结果!$P81</f>
        <v>2</v>
      </c>
      <c r="J82">
        <f>香港换算01!J81+香港新定位结果!$P81</f>
        <v>1</v>
      </c>
      <c r="K82" s="1">
        <f>香港换算01!K81+香港新定位结果!$P81</f>
        <v>2</v>
      </c>
      <c r="L82">
        <f>香港换算01!L81+香港新定位结果!$P81</f>
        <v>1</v>
      </c>
      <c r="M82">
        <f>香港换算01!M81+香港新定位结果!$P81</f>
        <v>2</v>
      </c>
      <c r="N82">
        <f>香港换算01!N81+香港新定位结果!$P81</f>
        <v>1</v>
      </c>
      <c r="O82">
        <f>香港换算01!O81+香港新定位结果!$P81</f>
        <v>2</v>
      </c>
    </row>
    <row r="83" spans="1:15">
      <c r="A83" s="4" t="s">
        <v>423</v>
      </c>
      <c r="B83">
        <f>香港换算01!B82+香港新定位结果!$P82</f>
        <v>0</v>
      </c>
      <c r="C83">
        <f>香港换算01!C82+香港新定位结果!$P82</f>
        <v>0</v>
      </c>
      <c r="D83" s="1">
        <f>香港换算01!D82+香港新定位结果!$P82</f>
        <v>0</v>
      </c>
      <c r="E83" s="1">
        <f>香港换算01!E82+香港新定位结果!$P82</f>
        <v>0</v>
      </c>
      <c r="F83">
        <f>香港换算01!F82+香港新定位结果!$P82</f>
        <v>1</v>
      </c>
      <c r="G83">
        <f>香港换算01!G82+香港新定位结果!$P82</f>
        <v>0</v>
      </c>
      <c r="H83">
        <f>香港换算01!H82+香港新定位结果!$P82</f>
        <v>0</v>
      </c>
      <c r="I83">
        <f>香港换算01!I82+香港新定位结果!$P82</f>
        <v>0</v>
      </c>
      <c r="J83">
        <f>香港换算01!J82+香港新定位结果!$P82</f>
        <v>0</v>
      </c>
      <c r="K83" s="1">
        <f>香港换算01!K82+香港新定位结果!$P82</f>
        <v>0</v>
      </c>
      <c r="L83">
        <f>香港换算01!L82+香港新定位结果!$P82</f>
        <v>0</v>
      </c>
      <c r="M83">
        <f>香港换算01!M82+香港新定位结果!$P82</f>
        <v>0</v>
      </c>
      <c r="N83">
        <f>香港换算01!N82+香港新定位结果!$P82</f>
        <v>0</v>
      </c>
      <c r="O83">
        <f>香港换算01!O82+香港新定位结果!$P82</f>
        <v>1</v>
      </c>
    </row>
    <row r="84" spans="1:15">
      <c r="A84" s="4" t="s">
        <v>433</v>
      </c>
      <c r="B84">
        <f>香港换算01!B83+香港新定位结果!$P83</f>
        <v>2</v>
      </c>
      <c r="C84">
        <f>香港换算01!C83+香港新定位结果!$P83</f>
        <v>1</v>
      </c>
      <c r="D84" s="1">
        <f>香港换算01!D83+香港新定位结果!$P83</f>
        <v>1</v>
      </c>
      <c r="E84" s="1">
        <f>香港换算01!E83+香港新定位结果!$P83</f>
        <v>2</v>
      </c>
      <c r="F84">
        <f>香港换算01!F83+香港新定位结果!$P83</f>
        <v>2</v>
      </c>
      <c r="G84">
        <f>香港换算01!G83+香港新定位结果!$P83</f>
        <v>2</v>
      </c>
      <c r="H84">
        <f>香港换算01!H83+香港新定位结果!$P83</f>
        <v>2</v>
      </c>
      <c r="I84">
        <f>香港换算01!I83+香港新定位结果!$P83</f>
        <v>2</v>
      </c>
      <c r="J84">
        <f>香港换算01!J83+香港新定位结果!$P83</f>
        <v>1</v>
      </c>
      <c r="K84" s="1">
        <f>香港换算01!K83+香港新定位结果!$P83</f>
        <v>2</v>
      </c>
      <c r="L84">
        <f>香港换算01!L83+香港新定位结果!$P83</f>
        <v>2</v>
      </c>
      <c r="M84">
        <f>香港换算01!M83+香港新定位结果!$P83</f>
        <v>1</v>
      </c>
      <c r="N84">
        <f>香港换算01!N83+香港新定位结果!$P83</f>
        <v>1</v>
      </c>
      <c r="O84">
        <f>香港换算01!O83+香港新定位结果!$P83</f>
        <v>1</v>
      </c>
    </row>
    <row r="85" spans="1:15">
      <c r="A85" s="4" t="s">
        <v>437</v>
      </c>
      <c r="B85">
        <f>香港换算01!B84+香港新定位结果!$P84</f>
        <v>1</v>
      </c>
      <c r="C85">
        <f>香港换算01!C84+香港新定位结果!$P84</f>
        <v>2</v>
      </c>
      <c r="D85" s="1">
        <f>香港换算01!D84+香港新定位结果!$P84</f>
        <v>1</v>
      </c>
      <c r="E85" s="1">
        <f>香港换算01!E84+香港新定位结果!$P84</f>
        <v>2</v>
      </c>
      <c r="F85">
        <f>香港换算01!F84+香港新定位结果!$P84</f>
        <v>1</v>
      </c>
      <c r="G85">
        <f>香港换算01!G84+香港新定位结果!$P84</f>
        <v>1</v>
      </c>
      <c r="H85">
        <f>香港换算01!H84+香港新定位结果!$P84</f>
        <v>1</v>
      </c>
      <c r="I85">
        <f>香港换算01!I84+香港新定位结果!$P84</f>
        <v>1</v>
      </c>
      <c r="J85">
        <f>香港换算01!J84+香港新定位结果!$P84</f>
        <v>1</v>
      </c>
      <c r="K85" s="1">
        <f>香港换算01!K84+香港新定位结果!$P84</f>
        <v>1</v>
      </c>
      <c r="L85">
        <f>香港换算01!L84+香港新定位结果!$P84</f>
        <v>2</v>
      </c>
      <c r="M85">
        <f>香港换算01!M84+香港新定位结果!$P84</f>
        <v>2</v>
      </c>
      <c r="N85">
        <f>香港换算01!N84+香港新定位结果!$P84</f>
        <v>1</v>
      </c>
      <c r="O85">
        <f>香港换算01!O84+香港新定位结果!$P84</f>
        <v>1</v>
      </c>
    </row>
    <row r="86" spans="1:15">
      <c r="A86" s="4" t="s">
        <v>441</v>
      </c>
      <c r="B86">
        <f>香港换算01!B85+香港新定位结果!$P85</f>
        <v>0</v>
      </c>
      <c r="C86">
        <f>香港换算01!C85+香港新定位结果!$P85</f>
        <v>1</v>
      </c>
      <c r="D86" s="1">
        <f>香港换算01!D85+香港新定位结果!$P85</f>
        <v>0</v>
      </c>
      <c r="E86" s="1">
        <f>香港换算01!E85+香港新定位结果!$P85</f>
        <v>0</v>
      </c>
      <c r="F86">
        <f>香港换算01!F85+香港新定位结果!$P85</f>
        <v>0</v>
      </c>
      <c r="G86">
        <f>香港换算01!G85+香港新定位结果!$P85</f>
        <v>0</v>
      </c>
      <c r="H86">
        <f>香港换算01!H85+香港新定位结果!$P85</f>
        <v>1</v>
      </c>
      <c r="I86">
        <f>香港换算01!I85+香港新定位结果!$P85</f>
        <v>1</v>
      </c>
      <c r="J86">
        <f>香港换算01!J85+香港新定位结果!$P85</f>
        <v>1</v>
      </c>
      <c r="K86" s="1">
        <f>香港换算01!K85+香港新定位结果!$P85</f>
        <v>1</v>
      </c>
      <c r="L86">
        <f>香港换算01!L85+香港新定位结果!$P85</f>
        <v>1</v>
      </c>
      <c r="M86">
        <f>香港换算01!M85+香港新定位结果!$P85</f>
        <v>1</v>
      </c>
      <c r="N86">
        <f>香港换算01!N85+香港新定位结果!$P85</f>
        <v>0</v>
      </c>
      <c r="O86">
        <f>香港换算01!O85+香港新定位结果!$P85</f>
        <v>0</v>
      </c>
    </row>
    <row r="87" spans="1:15">
      <c r="A87" s="4" t="s">
        <v>447</v>
      </c>
      <c r="B87">
        <f>香港换算01!B86+香港新定位结果!$P86</f>
        <v>0</v>
      </c>
      <c r="C87">
        <f>香港换算01!C86+香港新定位结果!$P86</f>
        <v>0</v>
      </c>
      <c r="D87" s="1">
        <f>香港换算01!D86+香港新定位结果!$P86</f>
        <v>0</v>
      </c>
      <c r="E87" s="1">
        <f>香港换算01!E86+香港新定位结果!$P86</f>
        <v>0</v>
      </c>
      <c r="F87">
        <f>香港换算01!F86+香港新定位结果!$P86</f>
        <v>0</v>
      </c>
      <c r="G87">
        <f>香港换算01!G86+香港新定位结果!$P86</f>
        <v>0</v>
      </c>
      <c r="H87">
        <f>香港换算01!H86+香港新定位结果!$P86</f>
        <v>0</v>
      </c>
      <c r="I87">
        <f>香港换算01!I86+香港新定位结果!$P86</f>
        <v>1</v>
      </c>
      <c r="J87">
        <f>香港换算01!J86+香港新定位结果!$P86</f>
        <v>0</v>
      </c>
      <c r="K87" s="1">
        <f>香港换算01!K86+香港新定位结果!$P86</f>
        <v>1</v>
      </c>
      <c r="L87">
        <f>香港换算01!L86+香港新定位结果!$P86</f>
        <v>0</v>
      </c>
      <c r="M87">
        <f>香港换算01!M86+香港新定位结果!$P86</f>
        <v>0</v>
      </c>
      <c r="N87">
        <f>香港换算01!N86+香港新定位结果!$P86</f>
        <v>1</v>
      </c>
      <c r="O87">
        <f>香港换算01!O86+香港新定位结果!$P86</f>
        <v>1</v>
      </c>
    </row>
    <row r="88" spans="1:15">
      <c r="A88" s="4" t="s">
        <v>451</v>
      </c>
      <c r="B88">
        <f>香港换算01!B87+香港新定位结果!$P87</f>
        <v>0</v>
      </c>
      <c r="C88">
        <f>香港换算01!C87+香港新定位结果!$P87</f>
        <v>1</v>
      </c>
      <c r="D88" s="1">
        <f>香港换算01!D87+香港新定位结果!$P87</f>
        <v>0</v>
      </c>
      <c r="E88" s="1">
        <f>香港换算01!E87+香港新定位结果!$P87</f>
        <v>1</v>
      </c>
      <c r="F88">
        <f>香港换算01!F87+香港新定位结果!$P87</f>
        <v>0</v>
      </c>
      <c r="G88">
        <f>香港换算01!G87+香港新定位结果!$P87</f>
        <v>0</v>
      </c>
      <c r="H88">
        <f>香港换算01!H87+香港新定位结果!$P87</f>
        <v>0</v>
      </c>
      <c r="I88">
        <f>香港换算01!I87+香港新定位结果!$P87</f>
        <v>0</v>
      </c>
      <c r="J88">
        <f>香港换算01!J87+香港新定位结果!$P87</f>
        <v>1</v>
      </c>
      <c r="K88" s="1">
        <f>香港换算01!K87+香港新定位结果!$P87</f>
        <v>1</v>
      </c>
      <c r="L88">
        <f>香港换算01!L87+香港新定位结果!$P87</f>
        <v>1</v>
      </c>
      <c r="M88">
        <f>香港换算01!M87+香港新定位结果!$P87</f>
        <v>0</v>
      </c>
      <c r="N88">
        <f>香港换算01!N87+香港新定位结果!$P87</f>
        <v>0</v>
      </c>
      <c r="O88">
        <f>香港换算01!O87+香港新定位结果!$P87</f>
        <v>0</v>
      </c>
    </row>
    <row r="89" spans="1:15">
      <c r="A89" s="4" t="s">
        <v>455</v>
      </c>
      <c r="B89">
        <f>香港换算01!B88+香港新定位结果!$P88</f>
        <v>1</v>
      </c>
      <c r="C89">
        <f>香港换算01!C88+香港新定位结果!$P88</f>
        <v>2</v>
      </c>
      <c r="D89" s="1">
        <f>香港换算01!D88+香港新定位结果!$P88</f>
        <v>2</v>
      </c>
      <c r="E89" s="1">
        <f>香港换算01!E88+香港新定位结果!$P88</f>
        <v>1</v>
      </c>
      <c r="F89">
        <f>香港换算01!F88+香港新定位结果!$P88</f>
        <v>2</v>
      </c>
      <c r="G89">
        <f>香港换算01!G88+香港新定位结果!$P88</f>
        <v>1</v>
      </c>
      <c r="H89">
        <f>香港换算01!H88+香港新定位结果!$P88</f>
        <v>1</v>
      </c>
      <c r="I89">
        <f>香港换算01!I88+香港新定位结果!$P88</f>
        <v>2</v>
      </c>
      <c r="J89">
        <f>香港换算01!J88+香港新定位结果!$P88</f>
        <v>1</v>
      </c>
      <c r="K89" s="1">
        <f>香港换算01!K88+香港新定位结果!$P88</f>
        <v>1</v>
      </c>
      <c r="L89">
        <f>香港换算01!L88+香港新定位结果!$P88</f>
        <v>1</v>
      </c>
      <c r="M89">
        <f>香港换算01!M88+香港新定位结果!$P88</f>
        <v>2</v>
      </c>
      <c r="N89">
        <f>香港换算01!N88+香港新定位结果!$P88</f>
        <v>1</v>
      </c>
      <c r="O89">
        <f>香港换算01!O88+香港新定位结果!$P88</f>
        <v>2</v>
      </c>
    </row>
    <row r="90" spans="1:15">
      <c r="A90" s="4" t="s">
        <v>461</v>
      </c>
      <c r="B90">
        <f>香港换算01!B89+香港新定位结果!$P89</f>
        <v>1</v>
      </c>
      <c r="C90">
        <f>香港换算01!C89+香港新定位结果!$P89</f>
        <v>1</v>
      </c>
      <c r="D90" s="1">
        <f>香港换算01!D89+香港新定位结果!$P89</f>
        <v>1</v>
      </c>
      <c r="E90" s="1">
        <f>香港换算01!E89+香港新定位结果!$P89</f>
        <v>1</v>
      </c>
      <c r="F90">
        <f>香港换算01!F89+香港新定位结果!$P89</f>
        <v>1</v>
      </c>
      <c r="G90">
        <f>香港换算01!G89+香港新定位结果!$P89</f>
        <v>1</v>
      </c>
      <c r="H90">
        <f>香港换算01!H89+香港新定位结果!$P89</f>
        <v>2</v>
      </c>
      <c r="I90">
        <f>香港换算01!I89+香港新定位结果!$P89</f>
        <v>2</v>
      </c>
      <c r="J90">
        <f>香港换算01!J89+香港新定位结果!$P89</f>
        <v>1</v>
      </c>
      <c r="K90" s="1">
        <f>香港换算01!K89+香港新定位结果!$P89</f>
        <v>1</v>
      </c>
      <c r="L90">
        <f>香港换算01!L89+香港新定位结果!$P89</f>
        <v>1</v>
      </c>
      <c r="M90">
        <f>香港换算01!M89+香港新定位结果!$P89</f>
        <v>1</v>
      </c>
      <c r="N90">
        <f>香港换算01!N89+香港新定位结果!$P89</f>
        <v>1</v>
      </c>
      <c r="O90">
        <f>香港换算01!O89+香港新定位结果!$P89</f>
        <v>1</v>
      </c>
    </row>
    <row r="91" spans="1:15">
      <c r="A91" s="4" t="s">
        <v>465</v>
      </c>
      <c r="B91">
        <f>香港换算01!B90+香港新定位结果!$P90</f>
        <v>1</v>
      </c>
      <c r="C91">
        <f>香港换算01!C90+香港新定位结果!$P90</f>
        <v>0</v>
      </c>
      <c r="D91" s="1">
        <f>香港换算01!D90+香港新定位结果!$P90</f>
        <v>1</v>
      </c>
      <c r="E91" s="1">
        <f>香港换算01!E90+香港新定位结果!$P90</f>
        <v>1</v>
      </c>
      <c r="F91">
        <f>香港换算01!F90+香港新定位结果!$P90</f>
        <v>1</v>
      </c>
      <c r="G91">
        <f>香港换算01!G90+香港新定位结果!$P90</f>
        <v>0</v>
      </c>
      <c r="H91">
        <f>香港换算01!H90+香港新定位结果!$P90</f>
        <v>0</v>
      </c>
      <c r="I91">
        <f>香港换算01!I90+香港新定位结果!$P90</f>
        <v>1</v>
      </c>
      <c r="J91">
        <f>香港换算01!J90+香港新定位结果!$P90</f>
        <v>1</v>
      </c>
      <c r="K91" s="1">
        <f>香港换算01!K90+香港新定位结果!$P90</f>
        <v>1</v>
      </c>
      <c r="L91">
        <f>香港换算01!L90+香港新定位结果!$P90</f>
        <v>1</v>
      </c>
      <c r="M91">
        <f>香港换算01!M90+香港新定位结果!$P90</f>
        <v>1</v>
      </c>
      <c r="N91">
        <f>香港换算01!N90+香港新定位结果!$P90</f>
        <v>0</v>
      </c>
      <c r="O91">
        <f>香港换算01!O90+香港新定位结果!$P90</f>
        <v>1</v>
      </c>
    </row>
    <row r="92" spans="1:15">
      <c r="A92" s="4" t="s">
        <v>469</v>
      </c>
      <c r="B92">
        <f>香港换算01!B91+香港新定位结果!$P91</f>
        <v>2</v>
      </c>
      <c r="C92">
        <f>香港换算01!C91+香港新定位结果!$P91</f>
        <v>2</v>
      </c>
      <c r="D92" s="1">
        <f>香港换算01!D91+香港新定位结果!$P91</f>
        <v>2</v>
      </c>
      <c r="E92" s="1">
        <f>香港换算01!E91+香港新定位结果!$P91</f>
        <v>2</v>
      </c>
      <c r="F92">
        <f>香港换算01!F91+香港新定位结果!$P91</f>
        <v>2</v>
      </c>
      <c r="G92">
        <f>香港换算01!G91+香港新定位结果!$P91</f>
        <v>2</v>
      </c>
      <c r="H92">
        <f>香港换算01!H91+香港新定位结果!$P91</f>
        <v>1</v>
      </c>
      <c r="I92">
        <f>香港换算01!I91+香港新定位结果!$P91</f>
        <v>2</v>
      </c>
      <c r="J92">
        <f>香港换算01!J91+香港新定位结果!$P91</f>
        <v>1</v>
      </c>
      <c r="K92" s="1">
        <f>香港换算01!K91+香港新定位结果!$P91</f>
        <v>1</v>
      </c>
      <c r="L92">
        <f>香港换算01!L91+香港新定位结果!$P91</f>
        <v>1</v>
      </c>
      <c r="M92">
        <f>香港换算01!M91+香港新定位结果!$P91</f>
        <v>1</v>
      </c>
      <c r="N92">
        <f>香港换算01!N91+香港新定位结果!$P91</f>
        <v>2</v>
      </c>
      <c r="O92">
        <f>香港换算01!O91+香港新定位结果!$P91</f>
        <v>2</v>
      </c>
    </row>
    <row r="93" spans="1:15">
      <c r="A93" s="4" t="s">
        <v>475</v>
      </c>
      <c r="B93">
        <f>香港换算01!B92+香港新定位结果!$P92</f>
        <v>0</v>
      </c>
      <c r="C93">
        <f>香港换算01!C92+香港新定位结果!$P92</f>
        <v>0</v>
      </c>
      <c r="D93" s="1">
        <f>香港换算01!D92+香港新定位结果!$P92</f>
        <v>0</v>
      </c>
      <c r="E93" s="1">
        <f>香港换算01!E92+香港新定位结果!$P92</f>
        <v>1</v>
      </c>
      <c r="F93">
        <f>香港换算01!F92+香港新定位结果!$P92</f>
        <v>1</v>
      </c>
      <c r="G93">
        <f>香港换算01!G92+香港新定位结果!$P92</f>
        <v>0</v>
      </c>
      <c r="H93">
        <f>香港换算01!H92+香港新定位结果!$P92</f>
        <v>0</v>
      </c>
      <c r="I93">
        <f>香港换算01!I92+香港新定位结果!$P92</f>
        <v>0</v>
      </c>
      <c r="J93">
        <f>香港换算01!J92+香港新定位结果!$P92</f>
        <v>0</v>
      </c>
      <c r="K93" s="1">
        <f>香港换算01!K92+香港新定位结果!$P92</f>
        <v>0</v>
      </c>
      <c r="L93">
        <f>香港换算01!L92+香港新定位结果!$P92</f>
        <v>0</v>
      </c>
      <c r="M93">
        <f>香港换算01!M92+香港新定位结果!$P92</f>
        <v>0</v>
      </c>
      <c r="N93">
        <f>香港换算01!N92+香港新定位结果!$P92</f>
        <v>0</v>
      </c>
      <c r="O93">
        <f>香港换算01!O92+香港新定位结果!$P92</f>
        <v>0</v>
      </c>
    </row>
    <row r="94" spans="1:15">
      <c r="A94" s="4" t="s">
        <v>479</v>
      </c>
      <c r="B94">
        <f>香港换算01!B93+香港新定位结果!$P93</f>
        <v>1</v>
      </c>
      <c r="C94">
        <f>香港换算01!C93+香港新定位结果!$P93</f>
        <v>1</v>
      </c>
      <c r="D94" s="1">
        <f>香港换算01!D93+香港新定位结果!$P93</f>
        <v>0</v>
      </c>
      <c r="E94" s="1">
        <f>香港换算01!E93+香港新定位结果!$P93</f>
        <v>0</v>
      </c>
      <c r="F94">
        <f>香港换算01!F93+香港新定位结果!$P93</f>
        <v>0</v>
      </c>
      <c r="G94">
        <f>香港换算01!G93+香港新定位结果!$P93</f>
        <v>1</v>
      </c>
      <c r="H94">
        <f>香港换算01!H93+香港新定位结果!$P93</f>
        <v>0</v>
      </c>
      <c r="I94">
        <f>香港换算01!I93+香港新定位结果!$P93</f>
        <v>1</v>
      </c>
      <c r="J94">
        <f>香港换算01!J93+香港新定位结果!$P93</f>
        <v>0</v>
      </c>
      <c r="K94" s="1">
        <f>香港换算01!K93+香港新定位结果!$P93</f>
        <v>1</v>
      </c>
      <c r="L94">
        <f>香港换算01!L93+香港新定位结果!$P93</f>
        <v>1</v>
      </c>
      <c r="M94">
        <f>香港换算01!M93+香港新定位结果!$P93</f>
        <v>0</v>
      </c>
      <c r="N94">
        <f>香港换算01!N93+香港新定位结果!$P93</f>
        <v>1</v>
      </c>
      <c r="O94">
        <f>香港换算01!O93+香港新定位结果!$P93</f>
        <v>0</v>
      </c>
    </row>
    <row r="95" spans="1:15">
      <c r="A95" s="4" t="s">
        <v>483</v>
      </c>
      <c r="B95">
        <f>香港换算01!B94+香港新定位结果!$P94</f>
        <v>1</v>
      </c>
      <c r="C95">
        <f>香港换算01!C94+香港新定位结果!$P94</f>
        <v>2</v>
      </c>
      <c r="D95" s="1">
        <f>香港换算01!D94+香港新定位结果!$P94</f>
        <v>1</v>
      </c>
      <c r="E95" s="1">
        <f>香港换算01!E94+香港新定位结果!$P94</f>
        <v>2</v>
      </c>
      <c r="F95">
        <f>香港换算01!F94+香港新定位结果!$P94</f>
        <v>1</v>
      </c>
      <c r="G95">
        <f>香港换算01!G94+香港新定位结果!$P94</f>
        <v>1</v>
      </c>
      <c r="H95">
        <f>香港换算01!H94+香港新定位结果!$P94</f>
        <v>1</v>
      </c>
      <c r="I95">
        <f>香港换算01!I94+香港新定位结果!$P94</f>
        <v>2</v>
      </c>
      <c r="J95">
        <f>香港换算01!J94+香港新定位结果!$P94</f>
        <v>2</v>
      </c>
      <c r="K95" s="1">
        <f>香港换算01!K94+香港新定位结果!$P94</f>
        <v>2</v>
      </c>
      <c r="L95">
        <f>香港换算01!L94+香港新定位结果!$P94</f>
        <v>2</v>
      </c>
      <c r="M95">
        <f>香港换算01!M94+香港新定位结果!$P94</f>
        <v>1</v>
      </c>
      <c r="N95">
        <f>香港换算01!N94+香港新定位结果!$P94</f>
        <v>1</v>
      </c>
      <c r="O95">
        <f>香港换算01!O94+香港新定位结果!$P94</f>
        <v>1</v>
      </c>
    </row>
    <row r="96" spans="1:15">
      <c r="A96" s="4" t="s">
        <v>489</v>
      </c>
      <c r="B96">
        <f>香港换算01!B95+香港新定位结果!$P95</f>
        <v>1</v>
      </c>
      <c r="C96">
        <f>香港换算01!C95+香港新定位结果!$P95</f>
        <v>2</v>
      </c>
      <c r="D96" s="1">
        <f>香港换算01!D95+香港新定位结果!$P95</f>
        <v>1</v>
      </c>
      <c r="E96" s="1">
        <f>香港换算01!E95+香港新定位结果!$P95</f>
        <v>2</v>
      </c>
      <c r="F96">
        <f>香港换算01!F95+香港新定位结果!$P95</f>
        <v>2</v>
      </c>
      <c r="G96">
        <f>香港换算01!G95+香港新定位结果!$P95</f>
        <v>2</v>
      </c>
      <c r="H96">
        <f>香港换算01!H95+香港新定位结果!$P95</f>
        <v>1</v>
      </c>
      <c r="I96">
        <f>香港换算01!I95+香港新定位结果!$P95</f>
        <v>2</v>
      </c>
      <c r="J96">
        <f>香港换算01!J95+香港新定位结果!$P95</f>
        <v>1</v>
      </c>
      <c r="K96" s="1">
        <f>香港换算01!K95+香港新定位结果!$P95</f>
        <v>2</v>
      </c>
      <c r="L96">
        <f>香港换算01!L95+香港新定位结果!$P95</f>
        <v>2</v>
      </c>
      <c r="M96">
        <f>香港换算01!M95+香港新定位结果!$P95</f>
        <v>1</v>
      </c>
      <c r="N96">
        <f>香港换算01!N95+香港新定位结果!$P95</f>
        <v>1</v>
      </c>
      <c r="O96">
        <f>香港换算01!O95+香港新定位结果!$P95</f>
        <v>1</v>
      </c>
    </row>
    <row r="97" spans="1:15">
      <c r="A97" s="4" t="s">
        <v>493</v>
      </c>
      <c r="B97">
        <f>香港换算01!B96+香港新定位结果!$P96</f>
        <v>1</v>
      </c>
      <c r="C97">
        <f>香港换算01!C96+香港新定位结果!$P96</f>
        <v>1</v>
      </c>
      <c r="D97" s="1">
        <f>香港换算01!D96+香港新定位结果!$P96</f>
        <v>0</v>
      </c>
      <c r="E97" s="1">
        <f>香港换算01!E96+香港新定位结果!$P96</f>
        <v>1</v>
      </c>
      <c r="F97">
        <f>香港换算01!F96+香港新定位结果!$P96</f>
        <v>1</v>
      </c>
      <c r="G97">
        <f>香港换算01!G96+香港新定位结果!$P96</f>
        <v>1</v>
      </c>
      <c r="H97">
        <f>香港换算01!H96+香港新定位结果!$P96</f>
        <v>0</v>
      </c>
      <c r="I97">
        <f>香港换算01!I96+香港新定位结果!$P96</f>
        <v>1</v>
      </c>
      <c r="J97">
        <f>香港换算01!J96+香港新定位结果!$P96</f>
        <v>0</v>
      </c>
      <c r="K97" s="1">
        <f>香港换算01!K96+香港新定位结果!$P96</f>
        <v>1</v>
      </c>
      <c r="L97">
        <f>香港换算01!L96+香港新定位结果!$P96</f>
        <v>1</v>
      </c>
      <c r="M97">
        <f>香港换算01!M96+香港新定位结果!$P96</f>
        <v>1</v>
      </c>
      <c r="N97">
        <f>香港换算01!N96+香港新定位结果!$P96</f>
        <v>0</v>
      </c>
      <c r="O97">
        <f>香港换算01!O96+香港新定位结果!$P96</f>
        <v>1</v>
      </c>
    </row>
    <row r="98" spans="1:15">
      <c r="A98" s="4" t="s">
        <v>497</v>
      </c>
      <c r="B98">
        <f>香港换算01!B97+香港新定位结果!$P97</f>
        <v>1</v>
      </c>
      <c r="C98">
        <f>香港换算01!C97+香港新定位结果!$P97</f>
        <v>2</v>
      </c>
      <c r="D98" s="1">
        <f>香港换算01!D97+香港新定位结果!$P97</f>
        <v>1</v>
      </c>
      <c r="E98" s="1">
        <f>香港换算01!E97+香港新定位结果!$P97</f>
        <v>1</v>
      </c>
      <c r="F98">
        <f>香港换算01!F97+香港新定位结果!$P97</f>
        <v>2</v>
      </c>
      <c r="G98">
        <f>香港换算01!G97+香港新定位结果!$P97</f>
        <v>1</v>
      </c>
      <c r="H98">
        <f>香港换算01!H97+香港新定位结果!$P97</f>
        <v>1</v>
      </c>
      <c r="I98">
        <f>香港换算01!I97+香港新定位结果!$P97</f>
        <v>2</v>
      </c>
      <c r="J98">
        <f>香港换算01!J97+香港新定位结果!$P97</f>
        <v>1</v>
      </c>
      <c r="K98" s="1">
        <f>香港换算01!K97+香港新定位结果!$P97</f>
        <v>2</v>
      </c>
      <c r="L98">
        <f>香港换算01!L97+香港新定位结果!$P97</f>
        <v>2</v>
      </c>
      <c r="M98">
        <f>香港换算01!M97+香港新定位结果!$P97</f>
        <v>1</v>
      </c>
      <c r="N98">
        <f>香港换算01!N97+香港新定位结果!$P97</f>
        <v>1</v>
      </c>
      <c r="O98">
        <f>香港换算01!O97+香港新定位结果!$P97</f>
        <v>2</v>
      </c>
    </row>
    <row r="99" spans="1:15">
      <c r="A99" s="4" t="s">
        <v>503</v>
      </c>
      <c r="B99">
        <f>香港换算01!B98+香港新定位结果!$P98</f>
        <v>0</v>
      </c>
      <c r="C99">
        <f>香港换算01!C98+香港新定位结果!$P98</f>
        <v>1</v>
      </c>
      <c r="D99" s="1">
        <f>香港换算01!D98+香港新定位结果!$P98</f>
        <v>0</v>
      </c>
      <c r="E99" s="1">
        <f>香港换算01!E98+香港新定位结果!$P98</f>
        <v>0</v>
      </c>
      <c r="F99">
        <f>香港换算01!F98+香港新定位结果!$P98</f>
        <v>0</v>
      </c>
      <c r="G99">
        <f>香港换算01!G98+香港新定位结果!$P98</f>
        <v>0</v>
      </c>
      <c r="H99">
        <f>香港换算01!H98+香港新定位结果!$P98</f>
        <v>0</v>
      </c>
      <c r="I99">
        <f>香港换算01!I98+香港新定位结果!$P98</f>
        <v>1</v>
      </c>
      <c r="J99">
        <f>香港换算01!J98+香港新定位结果!$P98</f>
        <v>0</v>
      </c>
      <c r="K99" s="1">
        <f>香港换算01!K98+香港新定位结果!$P98</f>
        <v>0</v>
      </c>
      <c r="L99">
        <f>香港换算01!L98+香港新定位结果!$P98</f>
        <v>1</v>
      </c>
      <c r="M99">
        <f>香港换算01!M98+香港新定位结果!$P98</f>
        <v>0</v>
      </c>
      <c r="N99">
        <f>香港换算01!N98+香港新定位结果!$P98</f>
        <v>0</v>
      </c>
      <c r="O99">
        <f>香港换算01!O98+香港新定位结果!$P98</f>
        <v>0</v>
      </c>
    </row>
    <row r="100" spans="1:15">
      <c r="A100" s="4" t="s">
        <v>507</v>
      </c>
      <c r="B100">
        <f>香港换算01!B99+香港新定位结果!$P99</f>
        <v>1</v>
      </c>
      <c r="C100">
        <f>香港换算01!C99+香港新定位结果!$P99</f>
        <v>0</v>
      </c>
      <c r="D100" s="1">
        <f>香港换算01!D99+香港新定位结果!$P99</f>
        <v>1</v>
      </c>
      <c r="E100" s="1">
        <f>香港换算01!E99+香港新定位结果!$P99</f>
        <v>1</v>
      </c>
      <c r="F100">
        <f>香港换算01!F99+香港新定位结果!$P99</f>
        <v>0</v>
      </c>
      <c r="G100">
        <f>香港换算01!G99+香港新定位结果!$P99</f>
        <v>0</v>
      </c>
      <c r="H100">
        <f>香港换算01!H99+香港新定位结果!$P99</f>
        <v>0</v>
      </c>
      <c r="I100">
        <f>香港换算01!I99+香港新定位结果!$P99</f>
        <v>1</v>
      </c>
      <c r="J100">
        <f>香港换算01!J99+香港新定位结果!$P99</f>
        <v>0</v>
      </c>
      <c r="K100" s="1">
        <f>香港换算01!K99+香港新定位结果!$P99</f>
        <v>1</v>
      </c>
      <c r="L100">
        <f>香港换算01!L99+香港新定位结果!$P99</f>
        <v>1</v>
      </c>
      <c r="M100">
        <f>香港换算01!M99+香港新定位结果!$P99</f>
        <v>1</v>
      </c>
      <c r="N100">
        <f>香港换算01!N99+香港新定位结果!$P99</f>
        <v>0</v>
      </c>
      <c r="O100">
        <f>香港换算01!O99+香港新定位结果!$P99</f>
        <v>1</v>
      </c>
    </row>
    <row r="101" spans="1:15">
      <c r="A101" s="4" t="s">
        <v>513</v>
      </c>
      <c r="B101">
        <f>香港换算01!B100+香港新定位结果!$P100</f>
        <v>0</v>
      </c>
      <c r="C101">
        <f>香港换算01!C100+香港新定位结果!$P100</f>
        <v>0</v>
      </c>
      <c r="D101" s="1">
        <f>香港换算01!D100+香港新定位结果!$P100</f>
        <v>0</v>
      </c>
      <c r="E101" s="1">
        <f>香港换算01!E100+香港新定位结果!$P100</f>
        <v>1</v>
      </c>
      <c r="F101">
        <f>香港换算01!F100+香港新定位结果!$P100</f>
        <v>0</v>
      </c>
      <c r="G101">
        <f>香港换算01!G100+香港新定位结果!$P100</f>
        <v>1</v>
      </c>
      <c r="H101">
        <f>香港换算01!H100+香港新定位结果!$P100</f>
        <v>0</v>
      </c>
      <c r="I101">
        <f>香港换算01!I100+香港新定位结果!$P100</f>
        <v>1</v>
      </c>
      <c r="J101">
        <f>香港换算01!J100+香港新定位结果!$P100</f>
        <v>0</v>
      </c>
      <c r="K101" s="1">
        <f>香港换算01!K100+香港新定位结果!$P100</f>
        <v>0</v>
      </c>
      <c r="L101">
        <f>香港换算01!L100+香港新定位结果!$P100</f>
        <v>0</v>
      </c>
      <c r="M101">
        <f>香港换算01!M100+香港新定位结果!$P100</f>
        <v>0</v>
      </c>
      <c r="N101">
        <f>香港换算01!N100+香港新定位结果!$P100</f>
        <v>0</v>
      </c>
      <c r="O101">
        <f>香港换算01!O100+香港新定位结果!$P100</f>
        <v>0</v>
      </c>
    </row>
    <row r="102" spans="1:15">
      <c r="A102" s="4" t="s">
        <v>517</v>
      </c>
      <c r="B102">
        <f>香港换算01!B101+香港新定位结果!$P101</f>
        <v>1</v>
      </c>
      <c r="C102">
        <f>香港换算01!C101+香港新定位结果!$P101</f>
        <v>1</v>
      </c>
      <c r="D102" s="1">
        <f>香港换算01!D101+香港新定位结果!$P101</f>
        <v>1</v>
      </c>
      <c r="E102" s="1">
        <f>香港换算01!E101+香港新定位结果!$P101</f>
        <v>2</v>
      </c>
      <c r="F102">
        <f>香港换算01!F101+香港新定位结果!$P101</f>
        <v>1</v>
      </c>
      <c r="G102">
        <f>香港换算01!G101+香港新定位结果!$P101</f>
        <v>2</v>
      </c>
      <c r="H102">
        <f>香港换算01!H101+香港新定位结果!$P101</f>
        <v>1</v>
      </c>
      <c r="I102">
        <f>香港换算01!I101+香港新定位结果!$P101</f>
        <v>1</v>
      </c>
      <c r="J102">
        <f>香港换算01!J101+香港新定位结果!$P101</f>
        <v>1</v>
      </c>
      <c r="K102" s="1">
        <f>香港换算01!K101+香港新定位结果!$P101</f>
        <v>1</v>
      </c>
      <c r="L102">
        <f>香港换算01!L101+香港新定位结果!$P101</f>
        <v>1</v>
      </c>
      <c r="M102">
        <f>香港换算01!M101+香港新定位结果!$P101</f>
        <v>1</v>
      </c>
      <c r="N102">
        <f>香港换算01!N101+香港新定位结果!$P101</f>
        <v>1</v>
      </c>
      <c r="O102">
        <f>香港换算01!O101+香港新定位结果!$P101</f>
        <v>1</v>
      </c>
    </row>
    <row r="103" spans="1:15">
      <c r="A103" s="4" t="s">
        <v>521</v>
      </c>
      <c r="B103">
        <f>香港换算01!B102+香港新定位结果!$P102</f>
        <v>1</v>
      </c>
      <c r="C103">
        <f>香港换算01!C102+香港新定位结果!$P102</f>
        <v>1</v>
      </c>
      <c r="D103" s="1">
        <f>香港换算01!D102+香港新定位结果!$P102</f>
        <v>0</v>
      </c>
      <c r="E103" s="1">
        <f>香港换算01!E102+香港新定位结果!$P102</f>
        <v>0</v>
      </c>
      <c r="F103">
        <f>香港换算01!F102+香港新定位结果!$P102</f>
        <v>0</v>
      </c>
      <c r="G103">
        <f>香港换算01!G102+香港新定位结果!$P102</f>
        <v>0</v>
      </c>
      <c r="H103">
        <f>香港换算01!H102+香港新定位结果!$P102</f>
        <v>1</v>
      </c>
      <c r="I103">
        <f>香港换算01!I102+香港新定位结果!$P102</f>
        <v>1</v>
      </c>
      <c r="J103">
        <f>香港换算01!J102+香港新定位结果!$P102</f>
        <v>1</v>
      </c>
      <c r="K103" s="1">
        <f>香港换算01!K102+香港新定位结果!$P102</f>
        <v>1</v>
      </c>
      <c r="L103">
        <f>香港换算01!L102+香港新定位结果!$P102</f>
        <v>1</v>
      </c>
      <c r="M103">
        <f>香港换算01!M102+香港新定位结果!$P102</f>
        <v>1</v>
      </c>
      <c r="N103">
        <f>香港换算01!N102+香港新定位结果!$P102</f>
        <v>1</v>
      </c>
      <c r="O103">
        <f>香港换算01!O102+香港新定位结果!$P102</f>
        <v>0</v>
      </c>
    </row>
    <row r="104" spans="1:15">
      <c r="A104" s="4" t="s">
        <v>525</v>
      </c>
      <c r="B104">
        <f>香港换算01!B103+香港新定位结果!$P103</f>
        <v>1</v>
      </c>
      <c r="C104">
        <f>香港换算01!C103+香港新定位结果!$P103</f>
        <v>0</v>
      </c>
      <c r="D104" s="1">
        <f>香港换算01!D103+香港新定位结果!$P103</f>
        <v>0</v>
      </c>
      <c r="E104" s="1">
        <f>香港换算01!E103+香港新定位结果!$P103</f>
        <v>0</v>
      </c>
      <c r="F104">
        <f>香港换算01!F103+香港新定位结果!$P103</f>
        <v>0</v>
      </c>
      <c r="G104">
        <f>香港换算01!G103+香港新定位结果!$P103</f>
        <v>0</v>
      </c>
      <c r="H104">
        <f>香港换算01!H103+香港新定位结果!$P103</f>
        <v>0</v>
      </c>
      <c r="I104">
        <f>香港换算01!I103+香港新定位结果!$P103</f>
        <v>0</v>
      </c>
      <c r="J104">
        <f>香港换算01!J103+香港新定位结果!$P103</f>
        <v>1</v>
      </c>
      <c r="K104" s="1">
        <f>香港换算01!K103+香港新定位结果!$P103</f>
        <v>0</v>
      </c>
      <c r="L104">
        <f>香港换算01!L103+香港新定位结果!$P103</f>
        <v>0</v>
      </c>
      <c r="M104">
        <f>香港换算01!M103+香港新定位结果!$P103</f>
        <v>0</v>
      </c>
      <c r="N104">
        <f>香港换算01!N103+香港新定位结果!$P103</f>
        <v>0</v>
      </c>
      <c r="O104">
        <f>香港换算01!O103+香港新定位结果!$P103</f>
        <v>0</v>
      </c>
    </row>
    <row r="105" spans="1:15">
      <c r="A105" s="4" t="s">
        <v>531</v>
      </c>
      <c r="B105">
        <f>香港换算01!B104+香港新定位结果!$P104</f>
        <v>0</v>
      </c>
      <c r="C105">
        <f>香港换算01!C104+香港新定位结果!$P104</f>
        <v>0</v>
      </c>
      <c r="D105" s="1">
        <f>香港换算01!D104+香港新定位结果!$P104</f>
        <v>0</v>
      </c>
      <c r="E105" s="1">
        <f>香港换算01!E104+香港新定位结果!$P104</f>
        <v>0</v>
      </c>
      <c r="F105">
        <f>香港换算01!F104+香港新定位结果!$P104</f>
        <v>0</v>
      </c>
      <c r="G105">
        <f>香港换算01!G104+香港新定位结果!$P104</f>
        <v>0</v>
      </c>
      <c r="H105">
        <f>香港换算01!H104+香港新定位结果!$P104</f>
        <v>1</v>
      </c>
      <c r="I105">
        <f>香港换算01!I104+香港新定位结果!$P104</f>
        <v>1</v>
      </c>
      <c r="J105">
        <f>香港换算01!J104+香港新定位结果!$P104</f>
        <v>0</v>
      </c>
      <c r="K105" s="1">
        <f>香港换算01!K104+香港新定位结果!$P104</f>
        <v>0</v>
      </c>
      <c r="L105">
        <f>香港换算01!L104+香港新定位结果!$P104</f>
        <v>0</v>
      </c>
      <c r="M105">
        <f>香港换算01!M104+香港新定位结果!$P104</f>
        <v>0</v>
      </c>
      <c r="N105">
        <f>香港换算01!N104+香港新定位结果!$P104</f>
        <v>0</v>
      </c>
      <c r="O105">
        <f>香港换算01!O104+香港新定位结果!$P104</f>
        <v>0</v>
      </c>
    </row>
    <row r="106" spans="1:15">
      <c r="A106" s="4" t="s">
        <v>535</v>
      </c>
      <c r="B106">
        <f>香港换算01!B105+香港新定位结果!$P105</f>
        <v>2</v>
      </c>
      <c r="C106">
        <f>香港换算01!C105+香港新定位结果!$P105</f>
        <v>2</v>
      </c>
      <c r="D106" s="1">
        <f>香港换算01!D105+香港新定位结果!$P105</f>
        <v>2</v>
      </c>
      <c r="E106" s="1">
        <f>香港换算01!E105+香港新定位结果!$P105</f>
        <v>2</v>
      </c>
      <c r="F106">
        <f>香港换算01!F105+香港新定位结果!$P105</f>
        <v>1</v>
      </c>
      <c r="G106">
        <f>香港换算01!G105+香港新定位结果!$P105</f>
        <v>1</v>
      </c>
      <c r="H106">
        <f>香港换算01!H105+香港新定位结果!$P105</f>
        <v>1</v>
      </c>
      <c r="I106">
        <f>香港换算01!I105+香港新定位结果!$P105</f>
        <v>1</v>
      </c>
      <c r="J106">
        <f>香港换算01!J105+香港新定位结果!$P105</f>
        <v>1</v>
      </c>
      <c r="K106" s="1">
        <f>香港换算01!K105+香港新定位结果!$P105</f>
        <v>2</v>
      </c>
      <c r="L106">
        <f>香港换算01!L105+香港新定位结果!$P105</f>
        <v>1</v>
      </c>
      <c r="M106">
        <f>香港换算01!M105+香港新定位结果!$P105</f>
        <v>2</v>
      </c>
      <c r="N106">
        <f>香港换算01!N105+香港新定位结果!$P105</f>
        <v>2</v>
      </c>
      <c r="O106">
        <f>香港换算01!O105+香港新定位结果!$P105</f>
        <v>2</v>
      </c>
    </row>
    <row r="107" spans="1:15">
      <c r="A107" s="4" t="s">
        <v>539</v>
      </c>
      <c r="B107">
        <f>香港换算01!B106+香港新定位结果!$P106</f>
        <v>1</v>
      </c>
      <c r="C107">
        <f>香港换算01!C106+香港新定位结果!$P106</f>
        <v>1</v>
      </c>
      <c r="D107" s="1">
        <f>香港换算01!D106+香港新定位结果!$P106</f>
        <v>0</v>
      </c>
      <c r="E107" s="1">
        <f>香港换算01!E106+香港新定位结果!$P106</f>
        <v>1</v>
      </c>
      <c r="F107">
        <f>香港换算01!F106+香港新定位结果!$P106</f>
        <v>1</v>
      </c>
      <c r="G107">
        <f>香港换算01!G106+香港新定位结果!$P106</f>
        <v>1</v>
      </c>
      <c r="H107">
        <f>香港换算01!H106+香港新定位结果!$P106</f>
        <v>0</v>
      </c>
      <c r="I107">
        <f>香港换算01!I106+香港新定位结果!$P106</f>
        <v>1</v>
      </c>
      <c r="J107">
        <f>香港换算01!J106+香港新定位结果!$P106</f>
        <v>1</v>
      </c>
      <c r="K107" s="1">
        <f>香港换算01!K106+香港新定位结果!$P106</f>
        <v>1</v>
      </c>
      <c r="L107">
        <f>香港换算01!L106+香港新定位结果!$P106</f>
        <v>1</v>
      </c>
      <c r="M107">
        <f>香港换算01!M106+香港新定位结果!$P106</f>
        <v>0</v>
      </c>
      <c r="N107">
        <f>香港换算01!N106+香港新定位结果!$P106</f>
        <v>0</v>
      </c>
      <c r="O107">
        <f>香港换算01!O106+香港新定位结果!$P106</f>
        <v>1</v>
      </c>
    </row>
    <row r="108" spans="1:15">
      <c r="A108" s="4" t="s">
        <v>545</v>
      </c>
      <c r="B108">
        <f>香港换算01!B107+香港新定位结果!$P107</f>
        <v>1</v>
      </c>
      <c r="C108">
        <f>香港换算01!C107+香港新定位结果!$P107</f>
        <v>1</v>
      </c>
      <c r="D108" s="1">
        <f>香港换算01!D107+香港新定位结果!$P107</f>
        <v>0</v>
      </c>
      <c r="E108" s="1">
        <f>香港换算01!E107+香港新定位结果!$P107</f>
        <v>0</v>
      </c>
      <c r="F108">
        <f>香港换算01!F107+香港新定位结果!$P107</f>
        <v>0</v>
      </c>
      <c r="G108">
        <f>香港换算01!G107+香港新定位结果!$P107</f>
        <v>0</v>
      </c>
      <c r="H108">
        <f>香港换算01!H107+香港新定位结果!$P107</f>
        <v>1</v>
      </c>
      <c r="I108">
        <f>香港换算01!I107+香港新定位结果!$P107</f>
        <v>0</v>
      </c>
      <c r="J108">
        <f>香港换算01!J107+香港新定位结果!$P107</f>
        <v>0</v>
      </c>
      <c r="K108" s="1">
        <f>香港换算01!K107+香港新定位结果!$P107</f>
        <v>0</v>
      </c>
      <c r="L108">
        <f>香港换算01!L107+香港新定位结果!$P107</f>
        <v>0</v>
      </c>
      <c r="M108">
        <f>香港换算01!M107+香港新定位结果!$P107</f>
        <v>1</v>
      </c>
      <c r="N108">
        <f>香港换算01!N107+香港新定位结果!$P107</f>
        <v>1</v>
      </c>
      <c r="O108">
        <f>香港换算01!O107+香港新定位结果!$P107</f>
        <v>0</v>
      </c>
    </row>
    <row r="109" spans="1:15">
      <c r="A109" s="4" t="s">
        <v>549</v>
      </c>
      <c r="B109">
        <f>香港换算01!B108+香港新定位结果!$P108</f>
        <v>0</v>
      </c>
      <c r="C109">
        <f>香港换算01!C108+香港新定位结果!$P108</f>
        <v>0</v>
      </c>
      <c r="D109" s="1">
        <f>香港换算01!D108+香港新定位结果!$P108</f>
        <v>0</v>
      </c>
      <c r="E109" s="1">
        <f>香港换算01!E108+香港新定位结果!$P108</f>
        <v>0</v>
      </c>
      <c r="F109">
        <f>香港换算01!F108+香港新定位结果!$P108</f>
        <v>0</v>
      </c>
      <c r="G109">
        <f>香港换算01!G108+香港新定位结果!$P108</f>
        <v>0</v>
      </c>
      <c r="H109">
        <f>香港换算01!H108+香港新定位结果!$P108</f>
        <v>0</v>
      </c>
      <c r="I109">
        <f>香港换算01!I108+香港新定位结果!$P108</f>
        <v>0</v>
      </c>
      <c r="J109">
        <f>香港换算01!J108+香港新定位结果!$P108</f>
        <v>0</v>
      </c>
      <c r="K109" s="1">
        <f>香港换算01!K108+香港新定位结果!$P108</f>
        <v>1</v>
      </c>
      <c r="L109">
        <f>香港换算01!L108+香港新定位结果!$P108</f>
        <v>0</v>
      </c>
      <c r="M109">
        <f>香港换算01!M108+香港新定位结果!$P108</f>
        <v>1</v>
      </c>
      <c r="N109">
        <f>香港换算01!N108+香港新定位结果!$P108</f>
        <v>1</v>
      </c>
      <c r="O109">
        <f>香港换算01!O108+香港新定位结果!$P108</f>
        <v>1</v>
      </c>
    </row>
    <row r="110" spans="1:15">
      <c r="A110" s="4" t="s">
        <v>553</v>
      </c>
      <c r="B110">
        <f>香港换算01!B109+香港新定位结果!$P109</f>
        <v>0</v>
      </c>
      <c r="C110">
        <f>香港换算01!C109+香港新定位结果!$P109</f>
        <v>0</v>
      </c>
      <c r="D110" s="1">
        <f>香港换算01!D109+香港新定位结果!$P109</f>
        <v>0</v>
      </c>
      <c r="E110" s="1">
        <f>香港换算01!E109+香港新定位结果!$P109</f>
        <v>1</v>
      </c>
      <c r="F110">
        <f>香港换算01!F109+香港新定位结果!$P109</f>
        <v>0</v>
      </c>
      <c r="G110">
        <f>香港换算01!G109+香港新定位结果!$P109</f>
        <v>1</v>
      </c>
      <c r="H110">
        <f>香港换算01!H109+香港新定位结果!$P109</f>
        <v>0</v>
      </c>
      <c r="I110">
        <f>香港换算01!I109+香港新定位结果!$P109</f>
        <v>1</v>
      </c>
      <c r="J110">
        <f>香港换算01!J109+香港新定位结果!$P109</f>
        <v>0</v>
      </c>
      <c r="K110" s="1">
        <f>香港换算01!K109+香港新定位结果!$P109</f>
        <v>0</v>
      </c>
      <c r="L110">
        <f>香港换算01!L109+香港新定位结果!$P109</f>
        <v>0</v>
      </c>
      <c r="M110">
        <f>香港换算01!M109+香港新定位结果!$P109</f>
        <v>0</v>
      </c>
      <c r="N110">
        <f>香港换算01!N109+香港新定位结果!$P109</f>
        <v>0</v>
      </c>
      <c r="O110">
        <f>香港换算01!O109+香港新定位结果!$P109</f>
        <v>0</v>
      </c>
    </row>
    <row r="111" spans="1:15">
      <c r="A111" s="4" t="s">
        <v>563</v>
      </c>
      <c r="B111">
        <f>香港换算01!B110+香港新定位结果!$P110</f>
        <v>2</v>
      </c>
      <c r="C111">
        <f>香港换算01!C110+香港新定位结果!$P110</f>
        <v>1</v>
      </c>
      <c r="D111" s="1">
        <f>香港换算01!D110+香港新定位结果!$P110</f>
        <v>1</v>
      </c>
      <c r="E111" s="1">
        <f>香港换算01!E110+香港新定位结果!$P110</f>
        <v>2</v>
      </c>
      <c r="F111">
        <f>香港换算01!F110+香港新定位结果!$P110</f>
        <v>2</v>
      </c>
      <c r="G111">
        <f>香港换算01!G110+香港新定位结果!$P110</f>
        <v>2</v>
      </c>
      <c r="H111">
        <f>香港换算01!H110+香港新定位结果!$P110</f>
        <v>1</v>
      </c>
      <c r="I111">
        <f>香港换算01!I110+香港新定位结果!$P110</f>
        <v>1</v>
      </c>
      <c r="J111">
        <f>香港换算01!J110+香港新定位结果!$P110</f>
        <v>1</v>
      </c>
      <c r="K111" s="1">
        <f>香港换算01!K110+香港新定位结果!$P110</f>
        <v>2</v>
      </c>
      <c r="L111">
        <f>香港换算01!L110+香港新定位结果!$P110</f>
        <v>2</v>
      </c>
      <c r="M111">
        <f>香港换算01!M110+香港新定位结果!$P110</f>
        <v>2</v>
      </c>
      <c r="N111">
        <f>香港换算01!N110+香港新定位结果!$P110</f>
        <v>1</v>
      </c>
      <c r="O111">
        <f>香港换算01!O110+香港新定位结果!$P110</f>
        <v>2</v>
      </c>
    </row>
    <row r="112" spans="1:15">
      <c r="A112" s="4" t="s">
        <v>567</v>
      </c>
      <c r="B112">
        <f>香港换算01!B111+香港新定位结果!$P111</f>
        <v>0</v>
      </c>
      <c r="C112">
        <f>香港换算01!C111+香港新定位结果!$P111</f>
        <v>0</v>
      </c>
      <c r="D112" s="1">
        <f>香港换算01!D111+香港新定位结果!$P111</f>
        <v>0</v>
      </c>
      <c r="E112" s="1">
        <f>香港换算01!E111+香港新定位结果!$P111</f>
        <v>0</v>
      </c>
      <c r="F112">
        <f>香港换算01!F111+香港新定位结果!$P111</f>
        <v>1</v>
      </c>
      <c r="G112">
        <f>香港换算01!G111+香港新定位结果!$P111</f>
        <v>0</v>
      </c>
      <c r="H112">
        <f>香港换算01!H111+香港新定位结果!$P111</f>
        <v>0</v>
      </c>
      <c r="I112">
        <f>香港换算01!I111+香港新定位结果!$P111</f>
        <v>1</v>
      </c>
      <c r="J112">
        <f>香港换算01!J111+香港新定位结果!$P111</f>
        <v>0</v>
      </c>
      <c r="K112" s="1">
        <f>香港换算01!K111+香港新定位结果!$P111</f>
        <v>1</v>
      </c>
      <c r="L112">
        <f>香港换算01!L111+香港新定位结果!$P111</f>
        <v>1</v>
      </c>
      <c r="M112">
        <f>香港换算01!M111+香港新定位结果!$P111</f>
        <v>0</v>
      </c>
      <c r="N112">
        <f>香港换算01!N111+香港新定位结果!$P111</f>
        <v>0</v>
      </c>
      <c r="O112">
        <f>香港换算01!O111+香港新定位结果!$P111</f>
        <v>1</v>
      </c>
    </row>
    <row r="113" spans="1:15">
      <c r="A113" s="4" t="s">
        <v>573</v>
      </c>
      <c r="B113">
        <f>香港换算01!B112+香港新定位结果!$P112</f>
        <v>0</v>
      </c>
      <c r="C113">
        <f>香港换算01!C112+香港新定位结果!$P112</f>
        <v>0</v>
      </c>
      <c r="D113" s="1">
        <f>香港换算01!D112+香港新定位结果!$P112</f>
        <v>0</v>
      </c>
      <c r="E113" s="1">
        <f>香港换算01!E112+香港新定位结果!$P112</f>
        <v>0</v>
      </c>
      <c r="F113">
        <f>香港换算01!F112+香港新定位结果!$P112</f>
        <v>0</v>
      </c>
      <c r="G113">
        <f>香港换算01!G112+香港新定位结果!$P112</f>
        <v>1</v>
      </c>
      <c r="H113">
        <f>香港换算01!H112+香港新定位结果!$P112</f>
        <v>0</v>
      </c>
      <c r="I113">
        <f>香港换算01!I112+香港新定位结果!$P112</f>
        <v>1</v>
      </c>
      <c r="J113">
        <f>香港换算01!J112+香港新定位结果!$P112</f>
        <v>0</v>
      </c>
      <c r="K113" s="1">
        <f>香港换算01!K112+香港新定位结果!$P112</f>
        <v>0</v>
      </c>
      <c r="L113">
        <f>香港换算01!L112+香港新定位结果!$P112</f>
        <v>0</v>
      </c>
      <c r="M113">
        <f>香港换算01!M112+香港新定位结果!$P112</f>
        <v>0</v>
      </c>
      <c r="N113">
        <f>香港换算01!N112+香港新定位结果!$P112</f>
        <v>0</v>
      </c>
      <c r="O113">
        <f>香港换算01!O112+香港新定位结果!$P112</f>
        <v>0</v>
      </c>
    </row>
    <row r="114" spans="1:15">
      <c r="A114" s="4" t="s">
        <v>577</v>
      </c>
      <c r="B114">
        <f>香港换算01!B113+香港新定位结果!$P113</f>
        <v>1</v>
      </c>
      <c r="C114">
        <f>香港换算01!C113+香港新定位结果!$P113</f>
        <v>1</v>
      </c>
      <c r="D114" s="1">
        <f>香港换算01!D113+香港新定位结果!$P113</f>
        <v>0</v>
      </c>
      <c r="E114" s="1">
        <f>香港换算01!E113+香港新定位结果!$P113</f>
        <v>1</v>
      </c>
      <c r="F114">
        <f>香港换算01!F113+香港新定位结果!$P113</f>
        <v>0</v>
      </c>
      <c r="G114">
        <f>香港换算01!G113+香港新定位结果!$P113</f>
        <v>0</v>
      </c>
      <c r="H114">
        <f>香港换算01!H113+香港新定位结果!$P113</f>
        <v>0</v>
      </c>
      <c r="I114">
        <f>香港换算01!I113+香港新定位结果!$P113</f>
        <v>1</v>
      </c>
      <c r="J114">
        <f>香港换算01!J113+香港新定位结果!$P113</f>
        <v>1</v>
      </c>
      <c r="K114" s="1">
        <f>香港换算01!K113+香港新定位结果!$P113</f>
        <v>0</v>
      </c>
      <c r="L114">
        <f>香港换算01!L113+香港新定位结果!$P113</f>
        <v>1</v>
      </c>
      <c r="M114">
        <f>香港换算01!M113+香港新定位结果!$P113</f>
        <v>1</v>
      </c>
      <c r="N114">
        <f>香港换算01!N113+香港新定位结果!$P113</f>
        <v>0</v>
      </c>
      <c r="O114">
        <f>香港换算01!O113+香港新定位结果!$P113</f>
        <v>1</v>
      </c>
    </row>
    <row r="115" spans="1:15">
      <c r="A115" s="4" t="s">
        <v>581</v>
      </c>
      <c r="B115">
        <f>香港换算01!B114+香港新定位结果!$P114</f>
        <v>2</v>
      </c>
      <c r="C115">
        <f>香港换算01!C114+香港新定位结果!$P114</f>
        <v>2</v>
      </c>
      <c r="D115" s="1">
        <f>香港换算01!D114+香港新定位结果!$P114</f>
        <v>2</v>
      </c>
      <c r="E115" s="1">
        <f>香港换算01!E114+香港新定位结果!$P114</f>
        <v>2</v>
      </c>
      <c r="F115">
        <f>香港换算01!F114+香港新定位结果!$P114</f>
        <v>1</v>
      </c>
      <c r="G115">
        <f>香港换算01!G114+香港新定位结果!$P114</f>
        <v>2</v>
      </c>
      <c r="H115">
        <f>香港换算01!H114+香港新定位结果!$P114</f>
        <v>2</v>
      </c>
      <c r="I115">
        <f>香港换算01!I114+香港新定位结果!$P114</f>
        <v>1</v>
      </c>
      <c r="J115">
        <f>香港换算01!J114+香港新定位结果!$P114</f>
        <v>2</v>
      </c>
      <c r="K115" s="1">
        <f>香港换算01!K114+香港新定位结果!$P114</f>
        <v>2</v>
      </c>
      <c r="L115">
        <f>香港换算01!L114+香港新定位结果!$P114</f>
        <v>2</v>
      </c>
      <c r="M115">
        <f>香港换算01!M114+香港新定位结果!$P114</f>
        <v>2</v>
      </c>
      <c r="N115">
        <f>香港换算01!N114+香港新定位结果!$P114</f>
        <v>2</v>
      </c>
      <c r="O115">
        <f>香港换算01!O114+香港新定位结果!$P114</f>
        <v>1</v>
      </c>
    </row>
    <row r="116" spans="1:15">
      <c r="A116" s="4" t="s">
        <v>587</v>
      </c>
      <c r="B116">
        <f>香港换算01!B115+香港新定位结果!$P115</f>
        <v>0</v>
      </c>
      <c r="C116">
        <f>香港换算01!C115+香港新定位结果!$P115</f>
        <v>1</v>
      </c>
      <c r="D116" s="1">
        <f>香港换算01!D115+香港新定位结果!$P115</f>
        <v>0</v>
      </c>
      <c r="E116" s="1">
        <f>香港换算01!E115+香港新定位结果!$P115</f>
        <v>0</v>
      </c>
      <c r="F116">
        <f>香港换算01!F115+香港新定位结果!$P115</f>
        <v>0</v>
      </c>
      <c r="G116">
        <f>香港换算01!G115+香港新定位结果!$P115</f>
        <v>1</v>
      </c>
      <c r="H116">
        <f>香港换算01!H115+香港新定位结果!$P115</f>
        <v>0</v>
      </c>
      <c r="I116">
        <f>香港换算01!I115+香港新定位结果!$P115</f>
        <v>1</v>
      </c>
      <c r="J116">
        <f>香港换算01!J115+香港新定位结果!$P115</f>
        <v>0</v>
      </c>
      <c r="K116" s="1">
        <f>香港换算01!K115+香港新定位结果!$P115</f>
        <v>0</v>
      </c>
      <c r="L116">
        <f>香港换算01!L115+香港新定位结果!$P115</f>
        <v>1</v>
      </c>
      <c r="M116">
        <f>香港换算01!M115+香港新定位结果!$P115</f>
        <v>0</v>
      </c>
      <c r="N116">
        <f>香港换算01!N115+香港新定位结果!$P115</f>
        <v>0</v>
      </c>
      <c r="O116">
        <f>香港换算01!O115+香港新定位结果!$P115</f>
        <v>0</v>
      </c>
    </row>
    <row r="117" spans="1:15">
      <c r="A117" s="4" t="s">
        <v>591</v>
      </c>
      <c r="B117">
        <f>香港换算01!B116+香港新定位结果!$P116</f>
        <v>1</v>
      </c>
      <c r="C117">
        <f>香港换算01!C116+香港新定位结果!$P116</f>
        <v>0</v>
      </c>
      <c r="D117" s="1">
        <f>香港换算01!D116+香港新定位结果!$P116</f>
        <v>0</v>
      </c>
      <c r="E117" s="1">
        <f>香港换算01!E116+香港新定位结果!$P116</f>
        <v>0</v>
      </c>
      <c r="F117">
        <f>香港换算01!F116+香港新定位结果!$P116</f>
        <v>0</v>
      </c>
      <c r="G117">
        <f>香港换算01!G116+香港新定位结果!$P116</f>
        <v>1</v>
      </c>
      <c r="H117">
        <f>香港换算01!H116+香港新定位结果!$P116</f>
        <v>1</v>
      </c>
      <c r="I117">
        <f>香港换算01!I116+香港新定位结果!$P116</f>
        <v>1</v>
      </c>
      <c r="J117">
        <f>香港换算01!J116+香港新定位结果!$P116</f>
        <v>0</v>
      </c>
      <c r="K117" s="1">
        <f>香港换算01!K116+香港新定位结果!$P116</f>
        <v>1</v>
      </c>
      <c r="L117">
        <f>香港换算01!L116+香港新定位结果!$P116</f>
        <v>1</v>
      </c>
      <c r="M117">
        <f>香港换算01!M116+香港新定位结果!$P116</f>
        <v>1</v>
      </c>
      <c r="N117">
        <f>香港换算01!N116+香港新定位结果!$P116</f>
        <v>1</v>
      </c>
      <c r="O117">
        <f>香港换算01!O116+香港新定位结果!$P116</f>
        <v>0</v>
      </c>
    </row>
    <row r="118" spans="1:15">
      <c r="A118" s="4" t="s">
        <v>595</v>
      </c>
      <c r="B118">
        <f>香港换算01!B117+香港新定位结果!$P117</f>
        <v>2</v>
      </c>
      <c r="C118">
        <f>香港换算01!C117+香港新定位结果!$P117</f>
        <v>2</v>
      </c>
      <c r="D118" s="1">
        <f>香港换算01!D117+香港新定位结果!$P117</f>
        <v>1</v>
      </c>
      <c r="E118" s="1">
        <f>香港换算01!E117+香港新定位结果!$P117</f>
        <v>1</v>
      </c>
      <c r="F118">
        <f>香港换算01!F117+香港新定位结果!$P117</f>
        <v>1</v>
      </c>
      <c r="G118">
        <f>香港换算01!G117+香港新定位结果!$P117</f>
        <v>1</v>
      </c>
      <c r="H118">
        <f>香港换算01!H117+香港新定位结果!$P117</f>
        <v>1</v>
      </c>
      <c r="I118">
        <f>香港换算01!I117+香港新定位结果!$P117</f>
        <v>2</v>
      </c>
      <c r="J118">
        <f>香港换算01!J117+香港新定位结果!$P117</f>
        <v>2</v>
      </c>
      <c r="K118" s="1">
        <f>香港换算01!K117+香港新定位结果!$P117</f>
        <v>1</v>
      </c>
      <c r="L118">
        <f>香港换算01!L117+香港新定位结果!$P117</f>
        <v>1</v>
      </c>
      <c r="M118">
        <f>香港换算01!M117+香港新定位结果!$P117</f>
        <v>2</v>
      </c>
      <c r="N118">
        <f>香港换算01!N117+香港新定位结果!$P117</f>
        <v>1</v>
      </c>
      <c r="O118">
        <f>香港换算01!O117+香港新定位结果!$P117</f>
        <v>2</v>
      </c>
    </row>
    <row r="119" spans="1:15">
      <c r="A119" s="4" t="s">
        <v>601</v>
      </c>
      <c r="B119">
        <f>香港换算01!B118+香港新定位结果!$P118</f>
        <v>0</v>
      </c>
      <c r="C119">
        <f>香港换算01!C118+香港新定位结果!$P118</f>
        <v>1</v>
      </c>
      <c r="D119" s="1">
        <f>香港换算01!D118+香港新定位结果!$P118</f>
        <v>0</v>
      </c>
      <c r="E119" s="1">
        <f>香港换算01!E118+香港新定位结果!$P118</f>
        <v>0</v>
      </c>
      <c r="F119">
        <f>香港换算01!F118+香港新定位结果!$P118</f>
        <v>0</v>
      </c>
      <c r="G119">
        <f>香港换算01!G118+香港新定位结果!$P118</f>
        <v>0</v>
      </c>
      <c r="H119">
        <f>香港换算01!H118+香港新定位结果!$P118</f>
        <v>0</v>
      </c>
      <c r="I119">
        <f>香港换算01!I118+香港新定位结果!$P118</f>
        <v>0</v>
      </c>
      <c r="J119">
        <f>香港换算01!J118+香港新定位结果!$P118</f>
        <v>1</v>
      </c>
      <c r="K119" s="1">
        <f>香港换算01!K118+香港新定位结果!$P118</f>
        <v>1</v>
      </c>
      <c r="L119">
        <f>香港换算01!L118+香港新定位结果!$P118</f>
        <v>0</v>
      </c>
      <c r="M119">
        <f>香港换算01!M118+香港新定位结果!$P118</f>
        <v>1</v>
      </c>
      <c r="N119">
        <f>香港换算01!N118+香港新定位结果!$P118</f>
        <v>1</v>
      </c>
      <c r="O119">
        <f>香港换算01!O118+香港新定位结果!$P118</f>
        <v>0</v>
      </c>
    </row>
    <row r="120" spans="1:15">
      <c r="A120" s="4" t="s">
        <v>605</v>
      </c>
      <c r="B120">
        <f>香港换算01!B119+香港新定位结果!$P119</f>
        <v>2</v>
      </c>
      <c r="C120">
        <f>香港换算01!C119+香港新定位结果!$P119</f>
        <v>1</v>
      </c>
      <c r="D120" s="1">
        <f>香港换算01!D119+香港新定位结果!$P119</f>
        <v>2</v>
      </c>
      <c r="E120" s="1">
        <f>香港换算01!E119+香港新定位结果!$P119</f>
        <v>2</v>
      </c>
      <c r="F120">
        <f>香港换算01!F119+香港新定位结果!$P119</f>
        <v>1</v>
      </c>
      <c r="G120">
        <f>香港换算01!G119+香港新定位结果!$P119</f>
        <v>1</v>
      </c>
      <c r="H120">
        <f>香港换算01!H119+香港新定位结果!$P119</f>
        <v>1</v>
      </c>
      <c r="I120">
        <f>香港换算01!I119+香港新定位结果!$P119</f>
        <v>1</v>
      </c>
      <c r="J120">
        <f>香港换算01!J119+香港新定位结果!$P119</f>
        <v>1</v>
      </c>
      <c r="K120" s="1">
        <f>香港换算01!K119+香港新定位结果!$P119</f>
        <v>2</v>
      </c>
      <c r="L120">
        <f>香港换算01!L119+香港新定位结果!$P119</f>
        <v>2</v>
      </c>
      <c r="M120">
        <f>香港换算01!M119+香港新定位结果!$P119</f>
        <v>2</v>
      </c>
      <c r="N120">
        <f>香港换算01!N119+香港新定位结果!$P119</f>
        <v>2</v>
      </c>
      <c r="O120">
        <f>香港换算01!O119+香港新定位结果!$P119</f>
        <v>1</v>
      </c>
    </row>
    <row r="121" spans="1:15">
      <c r="A121" s="4" t="s">
        <v>609</v>
      </c>
      <c r="B121">
        <f>香港换算01!B120+香港新定位结果!$P120</f>
        <v>0</v>
      </c>
      <c r="C121">
        <f>香港换算01!C120+香港新定位结果!$P120</f>
        <v>1</v>
      </c>
      <c r="D121" s="1">
        <f>香港换算01!D120+香港新定位结果!$P120</f>
        <v>0</v>
      </c>
      <c r="E121" s="1">
        <f>香港换算01!E120+香港新定位结果!$P120</f>
        <v>1</v>
      </c>
      <c r="F121">
        <f>香港换算01!F120+香港新定位结果!$P120</f>
        <v>1</v>
      </c>
      <c r="G121">
        <f>香港换算01!G120+香港新定位结果!$P120</f>
        <v>1</v>
      </c>
      <c r="H121">
        <f>香港换算01!H120+香港新定位结果!$P120</f>
        <v>0</v>
      </c>
      <c r="I121">
        <f>香港换算01!I120+香港新定位结果!$P120</f>
        <v>0</v>
      </c>
      <c r="J121">
        <f>香港换算01!J120+香港新定位结果!$P120</f>
        <v>1</v>
      </c>
      <c r="K121" s="1">
        <f>香港换算01!K120+香港新定位结果!$P120</f>
        <v>1</v>
      </c>
      <c r="L121">
        <f>香港换算01!L120+香港新定位结果!$P120</f>
        <v>1</v>
      </c>
      <c r="M121">
        <f>香港换算01!M120+香港新定位结果!$P120</f>
        <v>0</v>
      </c>
      <c r="N121">
        <f>香港换算01!N120+香港新定位结果!$P120</f>
        <v>0</v>
      </c>
      <c r="O121">
        <f>香港换算01!O120+香港新定位结果!$P120</f>
        <v>1</v>
      </c>
    </row>
    <row r="122" spans="1:15">
      <c r="A122" s="4" t="s">
        <v>615</v>
      </c>
      <c r="B122">
        <f>香港换算01!B121+香港新定位结果!$P121</f>
        <v>1</v>
      </c>
      <c r="C122">
        <f>香港换算01!C121+香港新定位结果!$P121</f>
        <v>1</v>
      </c>
      <c r="D122" s="1">
        <f>香港换算01!D121+香港新定位结果!$P121</f>
        <v>2</v>
      </c>
      <c r="E122" s="1">
        <f>香港换算01!E121+香港新定位结果!$P121</f>
        <v>1</v>
      </c>
      <c r="F122">
        <f>香港换算01!F121+香港新定位结果!$P121</f>
        <v>2</v>
      </c>
      <c r="G122">
        <f>香港换算01!G121+香港新定位结果!$P121</f>
        <v>1</v>
      </c>
      <c r="H122">
        <f>香港换算01!H121+香港新定位结果!$P121</f>
        <v>1</v>
      </c>
      <c r="I122">
        <f>香港换算01!I121+香港新定位结果!$P121</f>
        <v>1</v>
      </c>
      <c r="J122">
        <f>香港换算01!J121+香港新定位结果!$P121</f>
        <v>1</v>
      </c>
      <c r="K122" s="1">
        <f>香港换算01!K121+香港新定位结果!$P121</f>
        <v>1</v>
      </c>
      <c r="L122">
        <f>香港换算01!L121+香港新定位结果!$P121</f>
        <v>1</v>
      </c>
      <c r="M122">
        <f>香港换算01!M121+香港新定位结果!$P121</f>
        <v>1</v>
      </c>
      <c r="N122">
        <f>香港换算01!N121+香港新定位结果!$P121</f>
        <v>1</v>
      </c>
      <c r="O122">
        <f>香港换算01!O121+香港新定位结果!$P121</f>
        <v>2</v>
      </c>
    </row>
    <row r="123" spans="1:15">
      <c r="A123" s="4" t="s">
        <v>619</v>
      </c>
      <c r="B123">
        <f>香港换算01!B122+香港新定位结果!$P122</f>
        <v>2</v>
      </c>
      <c r="C123">
        <f>香港换算01!C122+香港新定位结果!$P122</f>
        <v>2</v>
      </c>
      <c r="D123" s="1">
        <f>香港换算01!D122+香港新定位结果!$P122</f>
        <v>1</v>
      </c>
      <c r="E123" s="1">
        <f>香港换算01!E122+香港新定位结果!$P122</f>
        <v>1</v>
      </c>
      <c r="F123">
        <f>香港换算01!F122+香港新定位结果!$P122</f>
        <v>1</v>
      </c>
      <c r="G123">
        <f>香港换算01!G122+香港新定位结果!$P122</f>
        <v>1</v>
      </c>
      <c r="H123">
        <f>香港换算01!H122+香港新定位结果!$P122</f>
        <v>1</v>
      </c>
      <c r="I123">
        <f>香港换算01!I122+香港新定位结果!$P122</f>
        <v>2</v>
      </c>
      <c r="J123">
        <f>香港换算01!J122+香港新定位结果!$P122</f>
        <v>1</v>
      </c>
      <c r="K123" s="1">
        <f>香港换算01!K122+香港新定位结果!$P122</f>
        <v>2</v>
      </c>
      <c r="L123">
        <f>香港换算01!L122+香港新定位结果!$P122</f>
        <v>2</v>
      </c>
      <c r="M123">
        <f>香港换算01!M122+香港新定位结果!$P122</f>
        <v>2</v>
      </c>
      <c r="N123">
        <f>香港换算01!N122+香港新定位结果!$P122</f>
        <v>2</v>
      </c>
      <c r="O123">
        <f>香港换算01!O122+香港新定位结果!$P122</f>
        <v>1</v>
      </c>
    </row>
    <row r="124" spans="1:15">
      <c r="A124" s="4" t="s">
        <v>629</v>
      </c>
      <c r="B124">
        <f>香港换算01!B123+香港新定位结果!$P123</f>
        <v>0</v>
      </c>
      <c r="C124">
        <f>香港换算01!C123+香港新定位结果!$P123</f>
        <v>1</v>
      </c>
      <c r="D124" s="1">
        <f>香港换算01!D123+香港新定位结果!$P123</f>
        <v>0</v>
      </c>
      <c r="E124" s="1">
        <f>香港换算01!E123+香港新定位结果!$P123</f>
        <v>1</v>
      </c>
      <c r="F124">
        <f>香港换算01!F123+香港新定位结果!$P123</f>
        <v>1</v>
      </c>
      <c r="G124">
        <f>香港换算01!G123+香港新定位结果!$P123</f>
        <v>0</v>
      </c>
      <c r="H124">
        <f>香港换算01!H123+香港新定位结果!$P123</f>
        <v>0</v>
      </c>
      <c r="I124">
        <f>香港换算01!I123+香港新定位结果!$P123</f>
        <v>1</v>
      </c>
      <c r="J124">
        <f>香港换算01!J123+香港新定位结果!$P123</f>
        <v>0</v>
      </c>
      <c r="K124" s="1">
        <f>香港换算01!K123+香港新定位结果!$P123</f>
        <v>1</v>
      </c>
      <c r="L124">
        <f>香港换算01!L123+香港新定位结果!$P123</f>
        <v>0</v>
      </c>
      <c r="M124">
        <f>香港换算01!M123+香港新定位结果!$P123</f>
        <v>0</v>
      </c>
      <c r="N124">
        <f>香港换算01!N123+香港新定位结果!$P123</f>
        <v>0</v>
      </c>
      <c r="O124">
        <f>香港换算01!O123+香港新定位结果!$P123</f>
        <v>1</v>
      </c>
    </row>
    <row r="125" spans="1:15">
      <c r="A125" s="4" t="s">
        <v>633</v>
      </c>
      <c r="B125">
        <f>香港换算01!B124+香港新定位结果!$P124</f>
        <v>1</v>
      </c>
      <c r="C125">
        <f>香港换算01!C124+香港新定位结果!$P124</f>
        <v>2</v>
      </c>
      <c r="D125" s="1">
        <f>香港换算01!D124+香港新定位结果!$P124</f>
        <v>1</v>
      </c>
      <c r="E125" s="1">
        <f>香港换算01!E124+香港新定位结果!$P124</f>
        <v>1</v>
      </c>
      <c r="F125">
        <f>香港换算01!F124+香港新定位结果!$P124</f>
        <v>2</v>
      </c>
      <c r="G125">
        <f>香港换算01!G124+香港新定位结果!$P124</f>
        <v>1</v>
      </c>
      <c r="H125">
        <f>香港换算01!H124+香港新定位结果!$P124</f>
        <v>2</v>
      </c>
      <c r="I125">
        <f>香港换算01!I124+香港新定位结果!$P124</f>
        <v>2</v>
      </c>
      <c r="J125">
        <f>香港换算01!J124+香港新定位结果!$P124</f>
        <v>2</v>
      </c>
      <c r="K125" s="1">
        <f>香港换算01!K124+香港新定位结果!$P124</f>
        <v>1</v>
      </c>
      <c r="L125">
        <f>香港换算01!L124+香港新定位结果!$P124</f>
        <v>2</v>
      </c>
      <c r="M125">
        <f>香港换算01!M124+香港新定位结果!$P124</f>
        <v>1</v>
      </c>
      <c r="N125">
        <f>香港换算01!N124+香港新定位结果!$P124</f>
        <v>1</v>
      </c>
      <c r="O125">
        <f>香港换算01!O124+香港新定位结果!$P124</f>
        <v>2</v>
      </c>
    </row>
    <row r="126" spans="1:15">
      <c r="A126" s="4" t="s">
        <v>637</v>
      </c>
      <c r="B126">
        <f>香港换算01!B125+香港新定位结果!$P125</f>
        <v>2</v>
      </c>
      <c r="C126">
        <f>香港换算01!C125+香港新定位结果!$P125</f>
        <v>1</v>
      </c>
      <c r="D126" s="1">
        <f>香港换算01!D125+香港新定位结果!$P125</f>
        <v>1</v>
      </c>
      <c r="E126" s="1">
        <f>香港换算01!E125+香港新定位结果!$P125</f>
        <v>2</v>
      </c>
      <c r="F126">
        <f>香港换算01!F125+香港新定位结果!$P125</f>
        <v>2</v>
      </c>
      <c r="G126">
        <f>香港换算01!G125+香港新定位结果!$P125</f>
        <v>2</v>
      </c>
      <c r="H126">
        <f>香港换算01!H125+香港新定位结果!$P125</f>
        <v>2</v>
      </c>
      <c r="I126">
        <f>香港换算01!I125+香港新定位结果!$P125</f>
        <v>2</v>
      </c>
      <c r="J126">
        <f>香港换算01!J125+香港新定位结果!$P125</f>
        <v>1</v>
      </c>
      <c r="K126" s="1">
        <f>香港换算01!K125+香港新定位结果!$P125</f>
        <v>1</v>
      </c>
      <c r="L126">
        <f>香港换算01!L125+香港新定位结果!$P125</f>
        <v>1</v>
      </c>
      <c r="M126">
        <f>香港换算01!M125+香港新定位结果!$P125</f>
        <v>1</v>
      </c>
      <c r="N126">
        <f>香港换算01!N125+香港新定位结果!$P125</f>
        <v>1</v>
      </c>
      <c r="O126">
        <f>香港换算01!O125+香港新定位结果!$P125</f>
        <v>1</v>
      </c>
    </row>
    <row r="127" spans="1:15">
      <c r="A127" s="4" t="s">
        <v>643</v>
      </c>
      <c r="B127">
        <f>香港换算01!B126+香港新定位结果!$P126</f>
        <v>1</v>
      </c>
      <c r="C127">
        <f>香港换算01!C126+香港新定位结果!$P126</f>
        <v>1</v>
      </c>
      <c r="D127" s="1">
        <f>香港换算01!D126+香港新定位结果!$P126</f>
        <v>1</v>
      </c>
      <c r="E127" s="1">
        <f>香港换算01!E126+香港新定位结果!$P126</f>
        <v>1</v>
      </c>
      <c r="F127">
        <f>香港换算01!F126+香港新定位结果!$P126</f>
        <v>2</v>
      </c>
      <c r="G127">
        <f>香港换算01!G126+香港新定位结果!$P126</f>
        <v>1</v>
      </c>
      <c r="H127">
        <f>香港换算01!H126+香港新定位结果!$P126</f>
        <v>1</v>
      </c>
      <c r="I127">
        <f>香港换算01!I126+香港新定位结果!$P126</f>
        <v>1</v>
      </c>
      <c r="J127">
        <f>香港换算01!J126+香港新定位结果!$P126</f>
        <v>1</v>
      </c>
      <c r="K127" s="1">
        <f>香港换算01!K126+香港新定位结果!$P126</f>
        <v>1</v>
      </c>
      <c r="L127">
        <f>香港换算01!L126+香港新定位结果!$P126</f>
        <v>1</v>
      </c>
      <c r="M127">
        <f>香港换算01!M126+香港新定位结果!$P126</f>
        <v>1</v>
      </c>
      <c r="N127">
        <f>香港换算01!N126+香港新定位结果!$P126</f>
        <v>1</v>
      </c>
      <c r="O127">
        <f>香港换算01!O126+香港新定位结果!$P126</f>
        <v>2</v>
      </c>
    </row>
    <row r="128" spans="1:15">
      <c r="A128" s="4" t="s">
        <v>647</v>
      </c>
      <c r="B128">
        <f>香港换算01!B127+香港新定位结果!$P127</f>
        <v>0</v>
      </c>
      <c r="C128">
        <f>香港换算01!C127+香港新定位结果!$P127</f>
        <v>1</v>
      </c>
      <c r="D128" s="1">
        <f>香港换算01!D127+香港新定位结果!$P127</f>
        <v>1</v>
      </c>
      <c r="E128" s="1">
        <f>香港换算01!E127+香港新定位结果!$P127</f>
        <v>1</v>
      </c>
      <c r="F128">
        <f>香港换算01!F127+香港新定位结果!$P127</f>
        <v>0</v>
      </c>
      <c r="G128">
        <f>香港换算01!G127+香港新定位结果!$P127</f>
        <v>1</v>
      </c>
      <c r="H128">
        <f>香港换算01!H127+香港新定位结果!$P127</f>
        <v>1</v>
      </c>
      <c r="I128">
        <f>香港换算01!I127+香港新定位结果!$P127</f>
        <v>1</v>
      </c>
      <c r="J128">
        <f>香港换算01!J127+香港新定位结果!$P127</f>
        <v>0</v>
      </c>
      <c r="K128" s="1">
        <f>香港换算01!K127+香港新定位结果!$P127</f>
        <v>0</v>
      </c>
      <c r="L128">
        <f>香港换算01!L127+香港新定位结果!$P127</f>
        <v>1</v>
      </c>
      <c r="M128">
        <f>香港换算01!M127+香港新定位结果!$P127</f>
        <v>0</v>
      </c>
      <c r="N128">
        <f>香港换算01!N127+香港新定位结果!$P127</f>
        <v>0</v>
      </c>
      <c r="O128">
        <f>香港换算01!O127+香港新定位结果!$P127</f>
        <v>0</v>
      </c>
    </row>
    <row r="129" spans="1:15">
      <c r="A129" s="4" t="s">
        <v>653</v>
      </c>
      <c r="B129">
        <f>香港换算01!B128+香港新定位结果!$P128</f>
        <v>1</v>
      </c>
      <c r="C129">
        <f>香港换算01!C128+香港新定位结果!$P128</f>
        <v>1</v>
      </c>
      <c r="D129" s="1">
        <f>香港换算01!D128+香港新定位结果!$P128</f>
        <v>1</v>
      </c>
      <c r="E129" s="1">
        <f>香港换算01!E128+香港新定位结果!$P128</f>
        <v>2</v>
      </c>
      <c r="F129">
        <f>香港换算01!F128+香港新定位结果!$P128</f>
        <v>1</v>
      </c>
      <c r="G129">
        <f>香港换算01!G128+香港新定位结果!$P128</f>
        <v>1</v>
      </c>
      <c r="H129">
        <f>香港换算01!H128+香港新定位结果!$P128</f>
        <v>1</v>
      </c>
      <c r="I129">
        <f>香港换算01!I128+香港新定位结果!$P128</f>
        <v>1</v>
      </c>
      <c r="J129">
        <f>香港换算01!J128+香港新定位结果!$P128</f>
        <v>2</v>
      </c>
      <c r="K129" s="1">
        <f>香港换算01!K128+香港新定位结果!$P128</f>
        <v>1</v>
      </c>
      <c r="L129">
        <f>香港换算01!L128+香港新定位结果!$P128</f>
        <v>2</v>
      </c>
      <c r="M129">
        <f>香港换算01!M128+香港新定位结果!$P128</f>
        <v>1</v>
      </c>
      <c r="N129">
        <f>香港换算01!N128+香港新定位结果!$P128</f>
        <v>1</v>
      </c>
      <c r="O129">
        <f>香港换算01!O128+香港新定位结果!$P128</f>
        <v>2</v>
      </c>
    </row>
    <row r="130" spans="1:15">
      <c r="A130" s="4" t="s">
        <v>657</v>
      </c>
      <c r="B130">
        <f>香港换算01!B129+香港新定位结果!$P129</f>
        <v>1</v>
      </c>
      <c r="C130">
        <f>香港换算01!C129+香港新定位结果!$P129</f>
        <v>2</v>
      </c>
      <c r="D130" s="1">
        <f>香港换算01!D129+香港新定位结果!$P129</f>
        <v>1</v>
      </c>
      <c r="E130" s="1">
        <f>香港换算01!E129+香港新定位结果!$P129</f>
        <v>2</v>
      </c>
      <c r="F130">
        <f>香港换算01!F129+香港新定位结果!$P129</f>
        <v>1</v>
      </c>
      <c r="G130">
        <f>香港换算01!G129+香港新定位结果!$P129</f>
        <v>1</v>
      </c>
      <c r="H130">
        <f>香港换算01!H129+香港新定位结果!$P129</f>
        <v>2</v>
      </c>
      <c r="I130">
        <f>香港换算01!I129+香港新定位结果!$P129</f>
        <v>2</v>
      </c>
      <c r="J130">
        <f>香港换算01!J129+香港新定位结果!$P129</f>
        <v>1</v>
      </c>
      <c r="K130" s="1">
        <f>香港换算01!K129+香港新定位结果!$P129</f>
        <v>2</v>
      </c>
      <c r="L130">
        <f>香港换算01!L129+香港新定位结果!$P129</f>
        <v>2</v>
      </c>
      <c r="M130">
        <f>香港换算01!M129+香港新定位结果!$P129</f>
        <v>2</v>
      </c>
      <c r="N130">
        <f>香港换算01!N129+香港新定位结果!$P129</f>
        <v>1</v>
      </c>
      <c r="O130">
        <f>香港换算01!O129+香港新定位结果!$P129</f>
        <v>2</v>
      </c>
    </row>
    <row r="131" spans="1:15">
      <c r="A131" s="4" t="s">
        <v>661</v>
      </c>
      <c r="B131">
        <f>香港换算01!B130+香港新定位结果!$P130</f>
        <v>1</v>
      </c>
      <c r="C131">
        <f>香港换算01!C130+香港新定位结果!$P130</f>
        <v>1</v>
      </c>
      <c r="D131" s="1">
        <f>香港换算01!D130+香港新定位结果!$P130</f>
        <v>1</v>
      </c>
      <c r="E131" s="1">
        <f>香港换算01!E130+香港新定位结果!$P130</f>
        <v>1</v>
      </c>
      <c r="F131">
        <f>香港换算01!F130+香港新定位结果!$P130</f>
        <v>1</v>
      </c>
      <c r="G131">
        <f>香港换算01!G130+香港新定位结果!$P130</f>
        <v>1</v>
      </c>
      <c r="H131">
        <f>香港换算01!H130+香港新定位结果!$P130</f>
        <v>2</v>
      </c>
      <c r="I131">
        <f>香港换算01!I130+香港新定位结果!$P130</f>
        <v>2</v>
      </c>
      <c r="J131">
        <f>香港换算01!J130+香港新定位结果!$P130</f>
        <v>1</v>
      </c>
      <c r="K131" s="1">
        <f>香港换算01!K130+香港新定位结果!$P130</f>
        <v>2</v>
      </c>
      <c r="L131">
        <f>香港换算01!L130+香港新定位结果!$P130</f>
        <v>1</v>
      </c>
      <c r="M131">
        <f>香港换算01!M130+香港新定位结果!$P130</f>
        <v>1</v>
      </c>
      <c r="N131">
        <f>香港换算01!N130+香港新定位结果!$P130</f>
        <v>1</v>
      </c>
      <c r="O131">
        <f>香港换算01!O130+香港新定位结果!$P130</f>
        <v>1</v>
      </c>
    </row>
    <row r="132" spans="1:15">
      <c r="A132" s="4" t="s">
        <v>665</v>
      </c>
      <c r="B132">
        <f>香港换算01!B131+香港新定位结果!$P131</f>
        <v>1</v>
      </c>
      <c r="C132">
        <f>香港换算01!C131+香港新定位结果!$P131</f>
        <v>1</v>
      </c>
      <c r="D132" s="1">
        <f>香港换算01!D131+香港新定位结果!$P131</f>
        <v>2</v>
      </c>
      <c r="E132" s="1">
        <f>香港换算01!E131+香港新定位结果!$P131</f>
        <v>2</v>
      </c>
      <c r="F132">
        <f>香港换算01!F131+香港新定位结果!$P131</f>
        <v>2</v>
      </c>
      <c r="G132">
        <f>香港换算01!G131+香港新定位结果!$P131</f>
        <v>1</v>
      </c>
      <c r="H132">
        <f>香港换算01!H131+香港新定位结果!$P131</f>
        <v>1</v>
      </c>
      <c r="I132">
        <f>香港换算01!I131+香港新定位结果!$P131</f>
        <v>2</v>
      </c>
      <c r="J132">
        <f>香港换算01!J131+香港新定位结果!$P131</f>
        <v>2</v>
      </c>
      <c r="K132" s="1">
        <f>香港换算01!K131+香港新定位结果!$P131</f>
        <v>2</v>
      </c>
      <c r="L132">
        <f>香港换算01!L131+香港新定位结果!$P131</f>
        <v>1</v>
      </c>
      <c r="M132">
        <f>香港换算01!M131+香港新定位结果!$P131</f>
        <v>2</v>
      </c>
      <c r="N132">
        <f>香港换算01!N131+香港新定位结果!$P131</f>
        <v>2</v>
      </c>
      <c r="O132">
        <f>香港换算01!O131+香港新定位结果!$P131</f>
        <v>2</v>
      </c>
    </row>
    <row r="133" spans="1:15">
      <c r="A133" s="4" t="s">
        <v>671</v>
      </c>
      <c r="B133">
        <f>香港换算01!B132+香港新定位结果!$P132</f>
        <v>2</v>
      </c>
      <c r="C133">
        <f>香港换算01!C132+香港新定位结果!$P132</f>
        <v>2</v>
      </c>
      <c r="D133" s="1">
        <f>香港换算01!D132+香港新定位结果!$P132</f>
        <v>2</v>
      </c>
      <c r="E133" s="1">
        <f>香港换算01!E132+香港新定位结果!$P132</f>
        <v>2</v>
      </c>
      <c r="F133">
        <f>香港换算01!F132+香港新定位结果!$P132</f>
        <v>1</v>
      </c>
      <c r="G133">
        <f>香港换算01!G132+香港新定位结果!$P132</f>
        <v>1</v>
      </c>
      <c r="H133">
        <f>香港换算01!H132+香港新定位结果!$P132</f>
        <v>1</v>
      </c>
      <c r="I133">
        <f>香港换算01!I132+香港新定位结果!$P132</f>
        <v>1</v>
      </c>
      <c r="J133">
        <f>香港换算01!J132+香港新定位结果!$P132</f>
        <v>1</v>
      </c>
      <c r="K133" s="1">
        <f>香港换算01!K132+香港新定位结果!$P132</f>
        <v>2</v>
      </c>
      <c r="L133">
        <f>香港换算01!L132+香港新定位结果!$P132</f>
        <v>1</v>
      </c>
      <c r="M133">
        <f>香港换算01!M132+香港新定位结果!$P132</f>
        <v>1</v>
      </c>
      <c r="N133">
        <f>香港换算01!N132+香港新定位结果!$P132</f>
        <v>1</v>
      </c>
      <c r="O133">
        <f>香港换算01!O132+香港新定位结果!$P132</f>
        <v>1</v>
      </c>
    </row>
    <row r="134" spans="1:15">
      <c r="A134" s="4" t="s">
        <v>675</v>
      </c>
      <c r="B134">
        <f>香港换算01!B133+香港新定位结果!$P133</f>
        <v>0</v>
      </c>
      <c r="C134">
        <f>香港换算01!C133+香港新定位结果!$P133</f>
        <v>0</v>
      </c>
      <c r="D134" s="1">
        <f>香港换算01!D133+香港新定位结果!$P133</f>
        <v>1</v>
      </c>
      <c r="E134" s="1">
        <f>香港换算01!E133+香港新定位结果!$P133</f>
        <v>1</v>
      </c>
      <c r="F134">
        <f>香港换算01!F133+香港新定位结果!$P133</f>
        <v>1</v>
      </c>
      <c r="G134">
        <f>香港换算01!G133+香港新定位结果!$P133</f>
        <v>1</v>
      </c>
      <c r="H134">
        <f>香港换算01!H133+香港新定位结果!$P133</f>
        <v>1</v>
      </c>
      <c r="I134">
        <f>香港换算01!I133+香港新定位结果!$P133</f>
        <v>1</v>
      </c>
      <c r="J134">
        <f>香港换算01!J133+香港新定位结果!$P133</f>
        <v>0</v>
      </c>
      <c r="K134" s="1">
        <f>香港换算01!K133+香港新定位结果!$P133</f>
        <v>0</v>
      </c>
      <c r="L134">
        <f>香港换算01!L133+香港新定位结果!$P133</f>
        <v>0</v>
      </c>
      <c r="M134">
        <f>香港换算01!M133+香港新定位结果!$P133</f>
        <v>0</v>
      </c>
      <c r="N134">
        <f>香港换算01!N133+香港新定位结果!$P133</f>
        <v>0</v>
      </c>
      <c r="O134">
        <f>香港换算01!O133+香港新定位结果!$P133</f>
        <v>0</v>
      </c>
    </row>
    <row r="135" spans="1:15">
      <c r="A135" s="4" t="s">
        <v>679</v>
      </c>
      <c r="B135">
        <f>香港换算01!B134+香港新定位结果!$P134</f>
        <v>1</v>
      </c>
      <c r="C135">
        <f>香港换算01!C134+香港新定位结果!$P134</f>
        <v>1</v>
      </c>
      <c r="D135" s="1">
        <f>香港换算01!D134+香港新定位结果!$P134</f>
        <v>0</v>
      </c>
      <c r="E135" s="1">
        <f>香港换算01!E134+香港新定位结果!$P134</f>
        <v>0</v>
      </c>
      <c r="F135">
        <f>香港换算01!F134+香港新定位结果!$P134</f>
        <v>0</v>
      </c>
      <c r="G135">
        <f>香港换算01!G134+香港新定位结果!$P134</f>
        <v>1</v>
      </c>
      <c r="H135">
        <f>香港换算01!H134+香港新定位结果!$P134</f>
        <v>0</v>
      </c>
      <c r="I135">
        <f>香港换算01!I134+香港新定位结果!$P134</f>
        <v>1</v>
      </c>
      <c r="J135">
        <f>香港换算01!J134+香港新定位结果!$P134</f>
        <v>0</v>
      </c>
      <c r="K135" s="1">
        <f>香港换算01!K134+香港新定位结果!$P134</f>
        <v>1</v>
      </c>
      <c r="L135">
        <f>香港换算01!L134+香港新定位结果!$P134</f>
        <v>1</v>
      </c>
      <c r="M135">
        <f>香港换算01!M134+香港新定位结果!$P134</f>
        <v>0</v>
      </c>
      <c r="N135">
        <f>香港换算01!N134+香港新定位结果!$P134</f>
        <v>1</v>
      </c>
      <c r="O135">
        <f>香港换算01!O134+香港新定位结果!$P134</f>
        <v>1</v>
      </c>
    </row>
    <row r="136" spans="1:15">
      <c r="A136" s="4" t="s">
        <v>685</v>
      </c>
      <c r="B136">
        <f>香港换算01!B135+香港新定位结果!$P135</f>
        <v>1</v>
      </c>
      <c r="C136">
        <f>香港换算01!C135+香港新定位结果!$P135</f>
        <v>2</v>
      </c>
      <c r="D136" s="1">
        <f>香港换算01!D135+香港新定位结果!$P135</f>
        <v>1</v>
      </c>
      <c r="E136" s="1">
        <f>香港换算01!E135+香港新定位结果!$P135</f>
        <v>1</v>
      </c>
      <c r="F136">
        <f>香港换算01!F135+香港新定位结果!$P135</f>
        <v>1</v>
      </c>
      <c r="G136">
        <f>香港换算01!G135+香港新定位结果!$P135</f>
        <v>2</v>
      </c>
      <c r="H136">
        <f>香港换算01!H135+香港新定位结果!$P135</f>
        <v>2</v>
      </c>
      <c r="I136">
        <f>香港换算01!I135+香港新定位结果!$P135</f>
        <v>2</v>
      </c>
      <c r="J136">
        <f>香港换算01!J135+香港新定位结果!$P135</f>
        <v>2</v>
      </c>
      <c r="K136" s="1">
        <f>香港换算01!K135+香港新定位结果!$P135</f>
        <v>1</v>
      </c>
      <c r="L136">
        <f>香港换算01!L135+香港新定位结果!$P135</f>
        <v>2</v>
      </c>
      <c r="M136">
        <f>香港换算01!M135+香港新定位结果!$P135</f>
        <v>2</v>
      </c>
      <c r="N136">
        <f>香港换算01!N135+香港新定位结果!$P135</f>
        <v>2</v>
      </c>
      <c r="O136">
        <f>香港换算01!O135+香港新定位结果!$P135</f>
        <v>1</v>
      </c>
    </row>
    <row r="137" spans="1:15">
      <c r="A137" s="4" t="s">
        <v>689</v>
      </c>
      <c r="B137">
        <f>香港换算01!B136+香港新定位结果!$P136</f>
        <v>1</v>
      </c>
      <c r="C137">
        <f>香港换算01!C136+香港新定位结果!$P136</f>
        <v>2</v>
      </c>
      <c r="D137" s="1">
        <f>香港换算01!D136+香港新定位结果!$P136</f>
        <v>1</v>
      </c>
      <c r="E137" s="1">
        <f>香港换算01!E136+香港新定位结果!$P136</f>
        <v>2</v>
      </c>
      <c r="F137">
        <f>香港换算01!F136+香港新定位结果!$P136</f>
        <v>2</v>
      </c>
      <c r="G137">
        <f>香港换算01!G136+香港新定位结果!$P136</f>
        <v>2</v>
      </c>
      <c r="H137">
        <f>香港换算01!H136+香港新定位结果!$P136</f>
        <v>1</v>
      </c>
      <c r="I137">
        <f>香港换算01!I136+香港新定位结果!$P136</f>
        <v>2</v>
      </c>
      <c r="J137">
        <f>香港换算01!J136+香港新定位结果!$P136</f>
        <v>1</v>
      </c>
      <c r="K137" s="1">
        <f>香港换算01!K136+香港新定位结果!$P136</f>
        <v>2</v>
      </c>
      <c r="L137">
        <f>香港换算01!L136+香港新定位结果!$P136</f>
        <v>2</v>
      </c>
      <c r="M137">
        <f>香港换算01!M136+香港新定位结果!$P136</f>
        <v>1</v>
      </c>
      <c r="N137">
        <f>香港换算01!N136+香港新定位结果!$P136</f>
        <v>1</v>
      </c>
      <c r="O137">
        <f>香港换算01!O136+香港新定位结果!$P136</f>
        <v>2</v>
      </c>
    </row>
    <row r="138" spans="1:15">
      <c r="A138" s="4" t="s">
        <v>693</v>
      </c>
      <c r="B138">
        <f>香港换算01!B137+香港新定位结果!$P137</f>
        <v>1</v>
      </c>
      <c r="C138">
        <f>香港换算01!C137+香港新定位结果!$P137</f>
        <v>1</v>
      </c>
      <c r="D138" s="1">
        <f>香港换算01!D137+香港新定位结果!$P137</f>
        <v>0</v>
      </c>
      <c r="E138" s="1">
        <f>香港换算01!E137+香港新定位结果!$P137</f>
        <v>1</v>
      </c>
      <c r="F138">
        <f>香港换算01!F137+香港新定位结果!$P137</f>
        <v>1</v>
      </c>
      <c r="G138">
        <f>香港换算01!G137+香港新定位结果!$P137</f>
        <v>1</v>
      </c>
      <c r="H138">
        <f>香港换算01!H137+香港新定位结果!$P137</f>
        <v>0</v>
      </c>
      <c r="I138">
        <f>香港换算01!I137+香港新定位结果!$P137</f>
        <v>1</v>
      </c>
      <c r="J138">
        <f>香港换算01!J137+香港新定位结果!$P137</f>
        <v>1</v>
      </c>
      <c r="K138" s="1">
        <f>香港换算01!K137+香港新定位结果!$P137</f>
        <v>1</v>
      </c>
      <c r="L138">
        <f>香港换算01!L137+香港新定位结果!$P137</f>
        <v>1</v>
      </c>
      <c r="M138">
        <f>香港换算01!M137+香港新定位结果!$P137</f>
        <v>1</v>
      </c>
      <c r="N138">
        <f>香港换算01!N137+香港新定位结果!$P137</f>
        <v>0</v>
      </c>
      <c r="O138">
        <f>香港换算01!O137+香港新定位结果!$P137</f>
        <v>0</v>
      </c>
    </row>
    <row r="139" spans="1:15">
      <c r="A139" s="4" t="s">
        <v>699</v>
      </c>
      <c r="B139">
        <f>香港换算01!B138+香港新定位结果!$P138</f>
        <v>2</v>
      </c>
      <c r="C139">
        <f>香港换算01!C138+香港新定位结果!$P138</f>
        <v>1</v>
      </c>
      <c r="D139" s="1">
        <f>香港换算01!D138+香港新定位结果!$P138</f>
        <v>2</v>
      </c>
      <c r="E139" s="1">
        <f>香港换算01!E138+香港新定位结果!$P138</f>
        <v>2</v>
      </c>
      <c r="F139">
        <f>香港换算01!F138+香港新定位结果!$P138</f>
        <v>2</v>
      </c>
      <c r="G139">
        <f>香港换算01!G138+香港新定位结果!$P138</f>
        <v>2</v>
      </c>
      <c r="H139">
        <f>香港换算01!H138+香港新定位结果!$P138</f>
        <v>1</v>
      </c>
      <c r="I139">
        <f>香港换算01!I138+香港新定位结果!$P138</f>
        <v>2</v>
      </c>
      <c r="J139">
        <f>香港换算01!J138+香港新定位结果!$P138</f>
        <v>1</v>
      </c>
      <c r="K139" s="1">
        <f>香港换算01!K138+香港新定位结果!$P138</f>
        <v>1</v>
      </c>
      <c r="L139">
        <f>香港换算01!L138+香港新定位结果!$P138</f>
        <v>1</v>
      </c>
      <c r="M139">
        <f>香港换算01!M138+香港新定位结果!$P138</f>
        <v>2</v>
      </c>
      <c r="N139">
        <f>香港换算01!N138+香港新定位结果!$P138</f>
        <v>2</v>
      </c>
      <c r="O139">
        <f>香港换算01!O138+香港新定位结果!$P138</f>
        <v>2</v>
      </c>
    </row>
    <row r="140" spans="1:15">
      <c r="A140" s="4" t="s">
        <v>703</v>
      </c>
      <c r="B140">
        <f>香港换算01!B139+香港新定位结果!$P139</f>
        <v>1</v>
      </c>
      <c r="C140">
        <f>香港换算01!C139+香港新定位结果!$P139</f>
        <v>1</v>
      </c>
      <c r="D140" s="1">
        <f>香港换算01!D139+香港新定位结果!$P139</f>
        <v>0</v>
      </c>
      <c r="E140" s="1">
        <f>香港换算01!E139+香港新定位结果!$P139</f>
        <v>1</v>
      </c>
      <c r="F140">
        <f>香港换算01!F139+香港新定位结果!$P139</f>
        <v>1</v>
      </c>
      <c r="G140">
        <f>香港换算01!G139+香港新定位结果!$P139</f>
        <v>0</v>
      </c>
      <c r="H140">
        <f>香港换算01!H139+香港新定位结果!$P139</f>
        <v>1</v>
      </c>
      <c r="I140">
        <f>香港换算01!I139+香港新定位结果!$P139</f>
        <v>1</v>
      </c>
      <c r="J140">
        <f>香港换算01!J139+香港新定位结果!$P139</f>
        <v>0</v>
      </c>
      <c r="K140" s="1">
        <f>香港换算01!K139+香港新定位结果!$P139</f>
        <v>1</v>
      </c>
      <c r="L140">
        <f>香港换算01!L139+香港新定位结果!$P139</f>
        <v>1</v>
      </c>
      <c r="M140">
        <f>香港换算01!M139+香港新定位结果!$P139</f>
        <v>0</v>
      </c>
      <c r="N140">
        <f>香港换算01!N139+香港新定位结果!$P139</f>
        <v>0</v>
      </c>
      <c r="O140">
        <f>香港换算01!O139+香港新定位结果!$P139</f>
        <v>1</v>
      </c>
    </row>
    <row r="141" spans="1:15">
      <c r="A141" s="4" t="s">
        <v>707</v>
      </c>
      <c r="B141">
        <f>香港换算01!B140+香港新定位结果!$P140</f>
        <v>2</v>
      </c>
      <c r="C141">
        <f>香港换算01!C140+香港新定位结果!$P140</f>
        <v>1</v>
      </c>
      <c r="D141" s="1">
        <f>香港换算01!D140+香港新定位结果!$P140</f>
        <v>2</v>
      </c>
      <c r="E141" s="1">
        <f>香港换算01!E140+香港新定位结果!$P140</f>
        <v>2</v>
      </c>
      <c r="F141">
        <f>香港换算01!F140+香港新定位结果!$P140</f>
        <v>1</v>
      </c>
      <c r="G141">
        <f>香港换算01!G140+香港新定位结果!$P140</f>
        <v>1</v>
      </c>
      <c r="H141">
        <f>香港换算01!H140+香港新定位结果!$P140</f>
        <v>2</v>
      </c>
      <c r="I141">
        <f>香港换算01!I140+香港新定位结果!$P140</f>
        <v>2</v>
      </c>
      <c r="J141">
        <f>香港换算01!J140+香港新定位结果!$P140</f>
        <v>1</v>
      </c>
      <c r="K141" s="1">
        <f>香港换算01!K140+香港新定位结果!$P140</f>
        <v>2</v>
      </c>
      <c r="L141">
        <f>香港换算01!L140+香港新定位结果!$P140</f>
        <v>2</v>
      </c>
      <c r="M141">
        <f>香港换算01!M140+香港新定位结果!$P140</f>
        <v>1</v>
      </c>
      <c r="N141">
        <f>香港换算01!N140+香港新定位结果!$P140</f>
        <v>1</v>
      </c>
      <c r="O141">
        <f>香港换算01!O140+香港新定位结果!$P140</f>
        <v>2</v>
      </c>
    </row>
    <row r="142" spans="1:15">
      <c r="A142" s="4" t="s">
        <v>713</v>
      </c>
      <c r="B142">
        <f>香港换算01!B141+香港新定位结果!$P141</f>
        <v>0</v>
      </c>
      <c r="C142">
        <f>香港换算01!C141+香港新定位结果!$P141</f>
        <v>1</v>
      </c>
      <c r="D142" s="1">
        <f>香港换算01!D141+香港新定位结果!$P141</f>
        <v>0</v>
      </c>
      <c r="E142" s="1">
        <f>香港换算01!E141+香港新定位结果!$P141</f>
        <v>1</v>
      </c>
      <c r="F142">
        <f>香港换算01!F141+香港新定位结果!$P141</f>
        <v>0</v>
      </c>
      <c r="G142">
        <f>香港换算01!G141+香港新定位结果!$P141</f>
        <v>1</v>
      </c>
      <c r="H142">
        <f>香港换算01!H141+香港新定位结果!$P141</f>
        <v>0</v>
      </c>
      <c r="I142">
        <f>香港换算01!I141+香港新定位结果!$P141</f>
        <v>1</v>
      </c>
      <c r="J142">
        <f>香港换算01!J141+香港新定位结果!$P141</f>
        <v>0</v>
      </c>
      <c r="K142" s="1">
        <f>香港换算01!K141+香港新定位结果!$P141</f>
        <v>1</v>
      </c>
      <c r="L142">
        <f>香港换算01!L141+香港新定位结果!$P141</f>
        <v>1</v>
      </c>
      <c r="M142">
        <f>香港换算01!M141+香港新定位结果!$P141</f>
        <v>0</v>
      </c>
      <c r="N142">
        <f>香港换算01!N141+香港新定位结果!$P141</f>
        <v>0</v>
      </c>
      <c r="O142">
        <f>香港换算01!O141+香港新定位结果!$P141</f>
        <v>1</v>
      </c>
    </row>
    <row r="143" spans="1:15">
      <c r="A143" s="4" t="s">
        <v>717</v>
      </c>
      <c r="B143">
        <f>香港换算01!B142+香港新定位结果!$P142</f>
        <v>1</v>
      </c>
      <c r="C143">
        <f>香港换算01!C142+香港新定位结果!$P142</f>
        <v>2</v>
      </c>
      <c r="D143" s="1">
        <f>香港换算01!D142+香港新定位结果!$P142</f>
        <v>1</v>
      </c>
      <c r="E143" s="1">
        <f>香港换算01!E142+香港新定位结果!$P142</f>
        <v>2</v>
      </c>
      <c r="F143">
        <f>香港换算01!F142+香港新定位结果!$P142</f>
        <v>1</v>
      </c>
      <c r="G143">
        <f>香港换算01!G142+香港新定位结果!$P142</f>
        <v>2</v>
      </c>
      <c r="H143">
        <f>香港换算01!H142+香港新定位结果!$P142</f>
        <v>1</v>
      </c>
      <c r="I143">
        <f>香港换算01!I142+香港新定位结果!$P142</f>
        <v>2</v>
      </c>
      <c r="J143">
        <f>香港换算01!J142+香港新定位结果!$P142</f>
        <v>1</v>
      </c>
      <c r="K143" s="1">
        <f>香港换算01!K142+香港新定位结果!$P142</f>
        <v>2</v>
      </c>
      <c r="L143">
        <f>香港换算01!L142+香港新定位结果!$P142</f>
        <v>2</v>
      </c>
      <c r="M143">
        <f>香港换算01!M142+香港新定位结果!$P142</f>
        <v>1</v>
      </c>
      <c r="N143">
        <f>香港换算01!N142+香港新定位结果!$P142</f>
        <v>2</v>
      </c>
      <c r="O143">
        <f>香港换算01!O142+香港新定位结果!$P142</f>
        <v>2</v>
      </c>
    </row>
    <row r="144" spans="1:15">
      <c r="A144" s="4" t="s">
        <v>727</v>
      </c>
      <c r="B144">
        <f>香港换算01!B143+香港新定位结果!$P143</f>
        <v>2</v>
      </c>
      <c r="C144">
        <f>香港换算01!C143+香港新定位结果!$P143</f>
        <v>1</v>
      </c>
      <c r="D144" s="1">
        <f>香港换算01!D143+香港新定位结果!$P143</f>
        <v>1</v>
      </c>
      <c r="E144" s="1">
        <f>香港换算01!E143+香港新定位结果!$P143</f>
        <v>1</v>
      </c>
      <c r="F144">
        <f>香港换算01!F143+香港新定位结果!$P143</f>
        <v>2</v>
      </c>
      <c r="G144">
        <f>香港换算01!G143+香港新定位结果!$P143</f>
        <v>1</v>
      </c>
      <c r="H144">
        <f>香港换算01!H143+香港新定位结果!$P143</f>
        <v>2</v>
      </c>
      <c r="I144">
        <f>香港换算01!I143+香港新定位结果!$P143</f>
        <v>2</v>
      </c>
      <c r="J144">
        <f>香港换算01!J143+香港新定位结果!$P143</f>
        <v>1</v>
      </c>
      <c r="K144" s="1">
        <f>香港换算01!K143+香港新定位结果!$P143</f>
        <v>2</v>
      </c>
      <c r="L144">
        <f>香港换算01!L143+香港新定位结果!$P143</f>
        <v>2</v>
      </c>
      <c r="M144">
        <f>香港换算01!M143+香港新定位结果!$P143</f>
        <v>1</v>
      </c>
      <c r="N144">
        <f>香港换算01!N143+香港新定位结果!$P143</f>
        <v>1</v>
      </c>
      <c r="O144">
        <f>香港换算01!O143+香港新定位结果!$P143</f>
        <v>2</v>
      </c>
    </row>
    <row r="145" spans="1:15">
      <c r="A145" s="4" t="s">
        <v>731</v>
      </c>
      <c r="B145">
        <f>香港换算01!B144+香港新定位结果!$P144</f>
        <v>1</v>
      </c>
      <c r="C145">
        <f>香港换算01!C144+香港新定位结果!$P144</f>
        <v>1</v>
      </c>
      <c r="D145" s="1">
        <f>香港换算01!D144+香港新定位结果!$P144</f>
        <v>0</v>
      </c>
      <c r="E145" s="1">
        <f>香港换算01!E144+香港新定位结果!$P144</f>
        <v>1</v>
      </c>
      <c r="F145">
        <f>香港换算01!F144+香港新定位结果!$P144</f>
        <v>0</v>
      </c>
      <c r="G145">
        <f>香港换算01!G144+香港新定位结果!$P144</f>
        <v>0</v>
      </c>
      <c r="H145">
        <f>香港换算01!H144+香港新定位结果!$P144</f>
        <v>0</v>
      </c>
      <c r="I145">
        <f>香港换算01!I144+香港新定位结果!$P144</f>
        <v>1</v>
      </c>
      <c r="J145">
        <f>香港换算01!J144+香港新定位结果!$P144</f>
        <v>1</v>
      </c>
      <c r="K145" s="1">
        <f>香港换算01!K144+香港新定位结果!$P144</f>
        <v>1</v>
      </c>
      <c r="L145">
        <f>香港换算01!L144+香港新定位结果!$P144</f>
        <v>1</v>
      </c>
      <c r="M145">
        <f>香港换算01!M144+香港新定位结果!$P144</f>
        <v>0</v>
      </c>
      <c r="N145">
        <f>香港换算01!N144+香港新定位结果!$P144</f>
        <v>0</v>
      </c>
      <c r="O145">
        <f>香港换算01!O144+香港新定位结果!$P144</f>
        <v>0</v>
      </c>
    </row>
    <row r="146" spans="1:15">
      <c r="A146" s="4" t="s">
        <v>737</v>
      </c>
      <c r="B146">
        <f>香港换算01!B145+香港新定位结果!$P145</f>
        <v>1</v>
      </c>
      <c r="C146">
        <f>香港换算01!C145+香港新定位结果!$P145</f>
        <v>1</v>
      </c>
      <c r="D146" s="1">
        <f>香港换算01!D145+香港新定位结果!$P145</f>
        <v>1</v>
      </c>
      <c r="E146" s="1">
        <f>香港换算01!E145+香港新定位结果!$P145</f>
        <v>2</v>
      </c>
      <c r="F146">
        <f>香港换算01!F145+香港新定位结果!$P145</f>
        <v>1</v>
      </c>
      <c r="G146">
        <f>香港换算01!G145+香港新定位结果!$P145</f>
        <v>2</v>
      </c>
      <c r="H146">
        <f>香港换算01!H145+香港新定位结果!$P145</f>
        <v>1</v>
      </c>
      <c r="I146">
        <f>香港换算01!I145+香港新定位结果!$P145</f>
        <v>2</v>
      </c>
      <c r="J146">
        <f>香港换算01!J145+香港新定位结果!$P145</f>
        <v>1</v>
      </c>
      <c r="K146" s="1">
        <f>香港换算01!K145+香港新定位结果!$P145</f>
        <v>1</v>
      </c>
      <c r="L146">
        <f>香港换算01!L145+香港新定位结果!$P145</f>
        <v>1</v>
      </c>
      <c r="M146">
        <f>香港换算01!M145+香港新定位结果!$P145</f>
        <v>1</v>
      </c>
      <c r="N146">
        <f>香港换算01!N145+香港新定位结果!$P145</f>
        <v>1</v>
      </c>
      <c r="O146">
        <f>香港换算01!O145+香港新定位结果!$P145</f>
        <v>1</v>
      </c>
    </row>
    <row r="147" spans="1:15">
      <c r="A147" s="5" t="s">
        <v>745</v>
      </c>
      <c r="B147">
        <f>香港换算01!B146+香港新定位结果!$P146</f>
        <v>0</v>
      </c>
      <c r="C147">
        <f>香港换算01!C146+香港新定位结果!$P146</f>
        <v>0</v>
      </c>
      <c r="D147" s="1">
        <f>香港换算01!D146+香港新定位结果!$P146</f>
        <v>1</v>
      </c>
      <c r="E147" s="1">
        <f>香港换算01!E146+香港新定位结果!$P146</f>
        <v>1</v>
      </c>
      <c r="F147">
        <f>香港换算01!F146+香港新定位结果!$P146</f>
        <v>1</v>
      </c>
      <c r="G147">
        <f>香港换算01!G146+香港新定位结果!$P146</f>
        <v>0</v>
      </c>
      <c r="H147">
        <f>香港换算01!H146+香港新定位结果!$P146</f>
        <v>0</v>
      </c>
      <c r="I147">
        <f>香港换算01!I146+香港新定位结果!$P146</f>
        <v>1</v>
      </c>
      <c r="J147">
        <f>香港换算01!J146+香港新定位结果!$P146</f>
        <v>1</v>
      </c>
      <c r="K147" s="1">
        <f>香港换算01!K146+香港新定位结果!$P146</f>
        <v>1</v>
      </c>
      <c r="L147">
        <f>香港换算01!L146+香港新定位结果!$P146</f>
        <v>0</v>
      </c>
      <c r="M147">
        <f>香港换算01!M146+香港新定位结果!$P146</f>
        <v>0</v>
      </c>
      <c r="N147">
        <f>香港换算01!N146+香港新定位结果!$P146</f>
        <v>1</v>
      </c>
      <c r="O147">
        <f>香港换算01!O146+香港新定位结果!$P146</f>
        <v>1</v>
      </c>
    </row>
    <row r="148" spans="1:15">
      <c r="A148" s="5" t="s">
        <v>749</v>
      </c>
      <c r="B148">
        <f>香港换算01!B147+香港新定位结果!$P147</f>
        <v>1</v>
      </c>
      <c r="C148">
        <f>香港换算01!C147+香港新定位结果!$P147</f>
        <v>0</v>
      </c>
      <c r="D148" s="1">
        <f>香港换算01!D147+香港新定位结果!$P147</f>
        <v>1</v>
      </c>
      <c r="E148" s="1">
        <f>香港换算01!E147+香港新定位结果!$P147</f>
        <v>1</v>
      </c>
      <c r="F148">
        <f>香港换算01!F147+香港新定位结果!$P147</f>
        <v>0</v>
      </c>
      <c r="G148">
        <f>香港换算01!G147+香港新定位结果!$P147</f>
        <v>1</v>
      </c>
      <c r="H148">
        <f>香港换算01!H147+香港新定位结果!$P147</f>
        <v>0</v>
      </c>
      <c r="I148">
        <f>香港换算01!I147+香港新定位结果!$P147</f>
        <v>1</v>
      </c>
      <c r="J148">
        <f>香港换算01!J147+香港新定位结果!$P147</f>
        <v>0</v>
      </c>
      <c r="K148" s="1">
        <f>香港换算01!K147+香港新定位结果!$P147</f>
        <v>0</v>
      </c>
      <c r="L148">
        <f>香港换算01!L147+香港新定位结果!$P147</f>
        <v>1</v>
      </c>
      <c r="M148">
        <f>香港换算01!M147+香港新定位结果!$P147</f>
        <v>1</v>
      </c>
      <c r="N148">
        <f>香港换算01!N147+香港新定位结果!$P147</f>
        <v>1</v>
      </c>
      <c r="O148">
        <f>香港换算01!O147+香港新定位结果!$P147</f>
        <v>0</v>
      </c>
    </row>
    <row r="149" spans="1:15">
      <c r="A149" s="5" t="s">
        <v>757</v>
      </c>
      <c r="B149">
        <f>香港换算01!B148+香港新定位结果!$P148</f>
        <v>0</v>
      </c>
      <c r="C149">
        <f>香港换算01!C148+香港新定位结果!$P148</f>
        <v>1</v>
      </c>
      <c r="D149" s="1">
        <f>香港换算01!D148+香港新定位结果!$P148</f>
        <v>1</v>
      </c>
      <c r="E149" s="1">
        <f>香港换算01!E148+香港新定位结果!$P148</f>
        <v>0</v>
      </c>
      <c r="F149">
        <f>香港换算01!F148+香港新定位结果!$P148</f>
        <v>0</v>
      </c>
      <c r="G149">
        <f>香港换算01!G148+香港新定位结果!$P148</f>
        <v>0</v>
      </c>
      <c r="H149">
        <f>香港换算01!H148+香港新定位结果!$P148</f>
        <v>1</v>
      </c>
      <c r="I149">
        <f>香港换算01!I148+香港新定位结果!$P148</f>
        <v>1</v>
      </c>
      <c r="J149">
        <f>香港换算01!J148+香港新定位结果!$P148</f>
        <v>0</v>
      </c>
      <c r="K149" s="1">
        <f>香港换算01!K148+香港新定位结果!$P148</f>
        <v>0</v>
      </c>
      <c r="L149">
        <f>香港换算01!L148+香港新定位结果!$P148</f>
        <v>1</v>
      </c>
      <c r="M149">
        <f>香港换算01!M148+香港新定位结果!$P148</f>
        <v>1</v>
      </c>
      <c r="N149">
        <f>香港换算01!N148+香港新定位结果!$P148</f>
        <v>0</v>
      </c>
      <c r="O149">
        <f>香港换算01!O148+香港新定位结果!$P148</f>
        <v>1</v>
      </c>
    </row>
    <row r="150" spans="1:15">
      <c r="A150" s="5" t="s">
        <v>763</v>
      </c>
      <c r="B150">
        <f>香港换算01!B149+香港新定位结果!$P149</f>
        <v>2</v>
      </c>
      <c r="C150">
        <f>香港换算01!C149+香港新定位结果!$P149</f>
        <v>2</v>
      </c>
      <c r="D150" s="1">
        <f>香港换算01!D149+香港新定位结果!$P149</f>
        <v>1</v>
      </c>
      <c r="E150" s="1">
        <f>香港换算01!E149+香港新定位结果!$P149</f>
        <v>1</v>
      </c>
      <c r="F150">
        <f>香港换算01!F149+香港新定位结果!$P149</f>
        <v>2</v>
      </c>
      <c r="G150">
        <f>香港换算01!G149+香港新定位结果!$P149</f>
        <v>1</v>
      </c>
      <c r="H150">
        <f>香港换算01!H149+香港新定位结果!$P149</f>
        <v>2</v>
      </c>
      <c r="I150">
        <f>香港换算01!I149+香港新定位结果!$P149</f>
        <v>2</v>
      </c>
      <c r="J150">
        <f>香港换算01!J149+香港新定位结果!$P149</f>
        <v>1</v>
      </c>
      <c r="K150" s="1">
        <f>香港换算01!K149+香港新定位结果!$P149</f>
        <v>2</v>
      </c>
      <c r="L150">
        <f>香港换算01!L149+香港新定位结果!$P149</f>
        <v>1</v>
      </c>
      <c r="M150">
        <f>香港换算01!M149+香港新定位结果!$P149</f>
        <v>1</v>
      </c>
      <c r="N150">
        <f>香港换算01!N149+香港新定位结果!$P149</f>
        <v>1</v>
      </c>
      <c r="O150">
        <f>香港换算01!O149+香港新定位结果!$P149</f>
        <v>2</v>
      </c>
    </row>
    <row r="151" spans="1:15">
      <c r="A151" s="5" t="s">
        <v>769</v>
      </c>
      <c r="B151">
        <f>香港换算01!B150+香港新定位结果!$P150</f>
        <v>0</v>
      </c>
      <c r="C151">
        <f>香港换算01!C150+香港新定位结果!$P150</f>
        <v>1</v>
      </c>
      <c r="D151" s="1">
        <f>香港换算01!D150+香港新定位结果!$P150</f>
        <v>0</v>
      </c>
      <c r="E151" s="1">
        <f>香港换算01!E150+香港新定位结果!$P150</f>
        <v>0</v>
      </c>
      <c r="F151">
        <f>香港换算01!F150+香港新定位结果!$P150</f>
        <v>1</v>
      </c>
      <c r="G151">
        <f>香港换算01!G150+香港新定位结果!$P150</f>
        <v>0</v>
      </c>
      <c r="H151">
        <f>香港换算01!H150+香港新定位结果!$P150</f>
        <v>0</v>
      </c>
      <c r="I151">
        <f>香港换算01!I150+香港新定位结果!$P150</f>
        <v>0</v>
      </c>
      <c r="J151">
        <f>香港换算01!J150+香港新定位结果!$P150</f>
        <v>0</v>
      </c>
      <c r="K151" s="1">
        <f>香港换算01!K150+香港新定位结果!$P150</f>
        <v>1</v>
      </c>
      <c r="L151">
        <f>香港换算01!L150+香港新定位结果!$P150</f>
        <v>0</v>
      </c>
      <c r="M151">
        <f>香港换算01!M150+香港新定位结果!$P150</f>
        <v>0</v>
      </c>
      <c r="N151">
        <f>香港换算01!N150+香港新定位结果!$P150</f>
        <v>1</v>
      </c>
      <c r="O151">
        <f>香港换算01!O150+香港新定位结果!$P150</f>
        <v>1</v>
      </c>
    </row>
    <row r="152" spans="1:15">
      <c r="A152" s="6" t="s">
        <v>773</v>
      </c>
      <c r="B152">
        <f>香港换算01!B151+香港新定位结果!$P151</f>
        <v>0</v>
      </c>
      <c r="C152">
        <f>香港换算01!C151+香港新定位结果!$P151</f>
        <v>1</v>
      </c>
      <c r="D152" s="1">
        <f>香港换算01!D151+香港新定位结果!$P151</f>
        <v>0</v>
      </c>
      <c r="E152" s="1">
        <f>香港换算01!E151+香港新定位结果!$P151</f>
        <v>0</v>
      </c>
      <c r="F152">
        <f>香港换算01!F151+香港新定位结果!$P151</f>
        <v>0</v>
      </c>
      <c r="G152">
        <f>香港换算01!G151+香港新定位结果!$P151</f>
        <v>0</v>
      </c>
      <c r="H152">
        <f>香港换算01!H151+香港新定位结果!$P151</f>
        <v>0</v>
      </c>
      <c r="I152">
        <f>香港换算01!I151+香港新定位结果!$P151</f>
        <v>1</v>
      </c>
      <c r="J152">
        <f>香港换算01!J151+香港新定位结果!$P151</f>
        <v>1</v>
      </c>
      <c r="K152" s="1">
        <f>香港换算01!K151+香港新定位结果!$P151</f>
        <v>1</v>
      </c>
      <c r="L152">
        <f>香港换算01!L151+香港新定位结果!$P151</f>
        <v>1</v>
      </c>
      <c r="M152">
        <f>香港换算01!M151+香港新定位结果!$P151</f>
        <v>0</v>
      </c>
      <c r="N152">
        <f>香港换算01!N151+香港新定位结果!$P151</f>
        <v>0</v>
      </c>
      <c r="O152">
        <f>香港换算01!O151+香港新定位结果!$P151</f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澳门正确率最高三个时辰</vt:lpstr>
      <vt:lpstr>香港正确率最高三个时辰</vt:lpstr>
      <vt:lpstr>澳门新定位结果</vt:lpstr>
      <vt:lpstr>澳门换算01</vt:lpstr>
      <vt:lpstr>澳门误差分析</vt:lpstr>
      <vt:lpstr>香港新定位结果</vt:lpstr>
      <vt:lpstr>香港换算01</vt:lpstr>
      <vt:lpstr>香港误差分析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2024-01-09T06:29:00Z</dcterms:created>
  <dcterms:modified xsi:type="dcterms:W3CDTF">2024-01-13T10:55:45Z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1D68E6E4D4D04686AEB47B72B0E3BF29_13</vt:lpwstr>
  </property>
  <property fmtid="{D5CDD505-2E9C-101B-9397-08002B2CF9AE}" pid="3" name="KSOProductBuildVer">
    <vt:lpwstr>2052-12.1.0.16120</vt:lpwstr>
  </property>
</Properties>
</file>